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AW" sheetId="1" r:id="rId5"/>
    <sheet state="visible" name="DATA TK PANEN" sheetId="2" r:id="rId6"/>
    <sheet state="visible" name="DATA TARGET" sheetId="3" r:id="rId7"/>
  </sheets>
  <definedNames/>
  <calcPr/>
</workbook>
</file>

<file path=xl/sharedStrings.xml><?xml version="1.0" encoding="utf-8"?>
<sst xmlns="http://schemas.openxmlformats.org/spreadsheetml/2006/main" count="9424" uniqueCount="2432">
  <si>
    <t>CRO</t>
  </si>
  <si>
    <t>Wilayah</t>
  </si>
  <si>
    <t>Nama Kebun/PT HO</t>
  </si>
  <si>
    <t>LUASAN</t>
  </si>
  <si>
    <t>Nama Kebun/PT di lapangan</t>
  </si>
  <si>
    <t>NAME TAG KEBUN</t>
  </si>
  <si>
    <t>Kebutuhan Tenaga Panen</t>
  </si>
  <si>
    <t>LUASAN PALM OPS</t>
  </si>
  <si>
    <t>TK PANEN MEI</t>
  </si>
  <si>
    <t>LUASAN FIX</t>
  </si>
  <si>
    <t>TK PANEN JUNI</t>
  </si>
  <si>
    <t>TK PANEN JULI</t>
  </si>
  <si>
    <t>TK PANEN AGUSTUS</t>
  </si>
  <si>
    <t>TARGET TK PANEN JULI</t>
  </si>
  <si>
    <t>CRO 1</t>
  </si>
  <si>
    <t>TARGET TK PANEN AGUSTUS</t>
  </si>
  <si>
    <t>Regional Aceh</t>
  </si>
  <si>
    <t>CRO I</t>
  </si>
  <si>
    <t>PT Bintang Permata Alue Waki</t>
  </si>
  <si>
    <t>Aceh</t>
  </si>
  <si>
    <t>PT-BPA-01</t>
  </si>
  <si>
    <t>Bintang Permata Alue Waki</t>
  </si>
  <si>
    <t>Dharmasawita Nusantara</t>
  </si>
  <si>
    <t>Global Sawit Semesta</t>
  </si>
  <si>
    <t>Mestika Prima Lestari Indah</t>
  </si>
  <si>
    <t>Perkebunan dan Pertanian Sumber Asih</t>
  </si>
  <si>
    <t>Sisirau</t>
  </si>
  <si>
    <t>Teunggulon Raya</t>
  </si>
  <si>
    <t>PT Dharmasawita Nusantara</t>
  </si>
  <si>
    <t>PT-DNH-01</t>
  </si>
  <si>
    <t>Watu Gede Utama</t>
  </si>
  <si>
    <t>Sumut 1</t>
  </si>
  <si>
    <t>Andalas Intiagro Lestari</t>
  </si>
  <si>
    <t>PT Global Sawit Semesta</t>
  </si>
  <si>
    <t>PT-GSS-01</t>
  </si>
  <si>
    <t>Barumun Raya Padang Langkat</t>
  </si>
  <si>
    <t>PT Mestika Prima Lestari Indah</t>
  </si>
  <si>
    <t>Grahadura Leidongprim/Bakrie Group</t>
  </si>
  <si>
    <t>PT-MPL-02</t>
  </si>
  <si>
    <t>PT Perkebunan Dan Pertanian Sumber Asih</t>
  </si>
  <si>
    <t>Gunung Bangau</t>
  </si>
  <si>
    <t>PT-PDP-01</t>
  </si>
  <si>
    <t>Koperasi Produsen Maju Bersama</t>
  </si>
  <si>
    <t>PT Sisirau</t>
  </si>
  <si>
    <t>PT-SIS-02</t>
  </si>
  <si>
    <t>Paten Alam Lestari</t>
  </si>
  <si>
    <t>Perkebunan Nusantara I (Eks PTPN II)</t>
  </si>
  <si>
    <t>PT Teunggulon Raya</t>
  </si>
  <si>
    <t>PT-TRE-01</t>
  </si>
  <si>
    <t>PT. Bakrie Sumatera Plantations/Bakrie group</t>
  </si>
  <si>
    <t>Sibuah Raya</t>
  </si>
  <si>
    <t>Supra Matra Abadi</t>
  </si>
  <si>
    <t>PT Watu Gede Utama</t>
  </si>
  <si>
    <t>Syarikat Tandikat Adidaya</t>
  </si>
  <si>
    <t>PT-WGU-01</t>
  </si>
  <si>
    <t>Regional Sumut 1</t>
  </si>
  <si>
    <t>Kelompok Tani Mahoni Rimbun</t>
  </si>
  <si>
    <t>KT-MRA-01</t>
  </si>
  <si>
    <t>Anugerah Langkat Makmur</t>
  </si>
  <si>
    <t>Anugerah Sawindo</t>
  </si>
  <si>
    <t>KP-PMB-01</t>
  </si>
  <si>
    <t>PT Abdi Budi Mulia</t>
  </si>
  <si>
    <t>Bandar Meriah*</t>
  </si>
  <si>
    <t>Karimun Aromatics Co. Ltd</t>
  </si>
  <si>
    <t>PT-ABM-01</t>
  </si>
  <si>
    <t>Karya Hevea Indonesia</t>
  </si>
  <si>
    <t>PT Andalas Intiagro Lestari</t>
  </si>
  <si>
    <t>PT-AIL-01</t>
  </si>
  <si>
    <t>Kembang Sepatu Alam Abadi</t>
  </si>
  <si>
    <t>PT Anugerah Langkat Makmur</t>
  </si>
  <si>
    <t>PT-ALM-01</t>
  </si>
  <si>
    <t>Perkebunan Inti Sawit Subur</t>
  </si>
  <si>
    <t>Perkebunan Karetia</t>
  </si>
  <si>
    <t>PT Anugerah Sawindo</t>
  </si>
  <si>
    <t>PT-ASN-01</t>
  </si>
  <si>
    <t>Perkebunanan Sungai Wang</t>
  </si>
  <si>
    <t>PT Austindo Nusantara Jaya Agri</t>
  </si>
  <si>
    <t>PT-ANJ-01</t>
  </si>
  <si>
    <t>PT Bakrie Sumatera Plantations/Bakrie group</t>
  </si>
  <si>
    <t>Perusahaan Perkebunan &amp; Dagangan Indah Pontjan (1)</t>
  </si>
  <si>
    <t>PT Bakrie Sumatera Plantations/Bakrie Group</t>
  </si>
  <si>
    <t>PT-BSP-01</t>
  </si>
  <si>
    <t>Perusahaan Perkebunan &amp; Dagangan Indah Pontjan (2)</t>
  </si>
  <si>
    <t>PT Bandar Meriah*</t>
  </si>
  <si>
    <t>PT-BMA-01</t>
  </si>
  <si>
    <t>Sawit Indah Abadi</t>
  </si>
  <si>
    <t>PT Barumun Raya Padang Langkat</t>
  </si>
  <si>
    <t>PT-BRP-01</t>
  </si>
  <si>
    <t>Sekoci</t>
  </si>
  <si>
    <t>PT Gaharu Mas</t>
  </si>
  <si>
    <t>PT-GMA-01</t>
  </si>
  <si>
    <t>PT Grahadura Leidongprima/Bakrie Group</t>
  </si>
  <si>
    <t>PT Agrinas Palma Nusantara</t>
  </si>
  <si>
    <t>PT-APN-02</t>
  </si>
  <si>
    <t>PT Gunung Bangau</t>
  </si>
  <si>
    <t>Tondy Barumun Sejahtera</t>
  </si>
  <si>
    <t>PT-GBU-01</t>
  </si>
  <si>
    <t>Sumut 2</t>
  </si>
  <si>
    <t>Bukit Harapan I</t>
  </si>
  <si>
    <t>PT Hexansetia Sawita</t>
  </si>
  <si>
    <t>PT-HSE-01</t>
  </si>
  <si>
    <t>Bukit Harapan I Plasma</t>
  </si>
  <si>
    <t>PT Karimun Aromatics Co. Ltd</t>
  </si>
  <si>
    <t>PT-KAC-01</t>
  </si>
  <si>
    <t>Wonorejo Perdana</t>
  </si>
  <si>
    <t>Bukit Harapan II</t>
  </si>
  <si>
    <t>PT Karya Hevea Indonesia</t>
  </si>
  <si>
    <t>PT-KHI-01</t>
  </si>
  <si>
    <t>Bukit Harapan II Plasma</t>
  </si>
  <si>
    <t>PT Kembang Sepatu Alam Abadi</t>
  </si>
  <si>
    <t>PT-KSA-02</t>
  </si>
  <si>
    <t>Parsub</t>
  </si>
  <si>
    <t>Parsub Plasma</t>
  </si>
  <si>
    <t>PT Pancasawit Kurniamas</t>
  </si>
  <si>
    <t>PT-PKA-01</t>
  </si>
  <si>
    <t>Patogu Janji</t>
  </si>
  <si>
    <t>PT Paten Alam Lestari</t>
  </si>
  <si>
    <t>PT-PAL-04</t>
  </si>
  <si>
    <t>Patogu Janji KSO</t>
  </si>
  <si>
    <t>PT Perkebunan Inti Sawit Subur</t>
  </si>
  <si>
    <t>PT-PIS-01</t>
  </si>
  <si>
    <t>Patogu Janji Plasma</t>
  </si>
  <si>
    <t>PT Perkebunan Karetia</t>
  </si>
  <si>
    <t>PT-PKE-01</t>
  </si>
  <si>
    <t>CRO II</t>
  </si>
  <si>
    <t>Riau 1</t>
  </si>
  <si>
    <t>Kencana Amal Tani (Kat) I</t>
  </si>
  <si>
    <t>PT Perkebunan Nusantara I (Eks PTPN II)</t>
  </si>
  <si>
    <t>PT-PNI-01</t>
  </si>
  <si>
    <t>Kencana Amal Tani (Kat) II</t>
  </si>
  <si>
    <t>PT Perkebunan Sungai Wang</t>
  </si>
  <si>
    <t>PT-PSW-01</t>
  </si>
  <si>
    <t>Kencana Amal Tani (Kat) III</t>
  </si>
  <si>
    <t>PT Permata Hijau Sawit</t>
  </si>
  <si>
    <t>Kppa Mal</t>
  </si>
  <si>
    <t>PT-PHS-01</t>
  </si>
  <si>
    <t>PT Perusahaan Perkebunan &amp; Dagangan Indah Pontjan (1)</t>
  </si>
  <si>
    <t>Mekar Alam Lestari (Mal) I</t>
  </si>
  <si>
    <t>PT-PP&amp;-01</t>
  </si>
  <si>
    <t>PT Perusahaan Perkebunan &amp; Dagangan Indah Pontjan (2)</t>
  </si>
  <si>
    <t>Mekar Alam Lestari (Mal) II</t>
  </si>
  <si>
    <t>PT-PP&amp;-02</t>
  </si>
  <si>
    <t>PT Samukti Karya Lestari</t>
  </si>
  <si>
    <t>PT-SKL-01</t>
  </si>
  <si>
    <t>Siberida Subur (Ss)</t>
  </si>
  <si>
    <t>PT Sari Persada Raya</t>
  </si>
  <si>
    <t>PT-SPR-01</t>
  </si>
  <si>
    <t>Banyu Bening Utama (Bbu) I</t>
  </si>
  <si>
    <t>PT Sawit Indah Abadi</t>
  </si>
  <si>
    <t>PT-SIA-01</t>
  </si>
  <si>
    <t>PT Sawit Tetap Subur</t>
  </si>
  <si>
    <t>Banyu Bening Utama (Bbu) II</t>
  </si>
  <si>
    <t>PT-STS-01</t>
  </si>
  <si>
    <t>Palma I (Ps I)</t>
  </si>
  <si>
    <t>PT Sekoci</t>
  </si>
  <si>
    <t>PT-SEK-01</t>
  </si>
  <si>
    <t>PT Sibuah Raya</t>
  </si>
  <si>
    <t>Palma II (Ps II)</t>
  </si>
  <si>
    <t>PT-SRI-01</t>
  </si>
  <si>
    <t>Panca Agro Lestari (Pal)</t>
  </si>
  <si>
    <t>PT Socfin Indonesia</t>
  </si>
  <si>
    <t>PT-SIO-01</t>
  </si>
  <si>
    <t>Cerenti Subur (Csb) I</t>
  </si>
  <si>
    <t>PT Sumber Sawit Makmur</t>
  </si>
  <si>
    <t>PT-SSM-04</t>
  </si>
  <si>
    <t>Cerenti Subur (Csb) II</t>
  </si>
  <si>
    <t>PT Supra Matra Abadi (Sumut)</t>
  </si>
  <si>
    <t>PT-SMA-01</t>
  </si>
  <si>
    <t>Wana Jingga Timur (Wjt)</t>
  </si>
  <si>
    <t>Duta Palma Nusantara (Dpn) I</t>
  </si>
  <si>
    <t>PT Syarikat Tandikat Adidaya</t>
  </si>
  <si>
    <t>PT-STA-01</t>
  </si>
  <si>
    <t>Duta Palma Nusantara (Dpn) II</t>
  </si>
  <si>
    <t>Duta Palma Nusantara (Dpn) III</t>
  </si>
  <si>
    <t>PT Tepian Gayor Langkat</t>
  </si>
  <si>
    <t>PT-TGL-01</t>
  </si>
  <si>
    <t>Eluan Mahkota (EMA) - KT</t>
  </si>
  <si>
    <t>PT Tondy Barumun Sejahtera</t>
  </si>
  <si>
    <t>PT-TBS-01</t>
  </si>
  <si>
    <t>Johan Sentosa</t>
  </si>
  <si>
    <t>Regional Sumut 2</t>
  </si>
  <si>
    <t>Palma Inti Lestari (PIL)</t>
  </si>
  <si>
    <t>PT Torganda</t>
  </si>
  <si>
    <t>KB-BHI-01</t>
  </si>
  <si>
    <t>Aditya Palma Nusantara (Apn Inti)</t>
  </si>
  <si>
    <t>CRO III</t>
  </si>
  <si>
    <t>Riau 2</t>
  </si>
  <si>
    <t>KB-BHI-02</t>
  </si>
  <si>
    <t>Andika Permata Sawit Lestari</t>
  </si>
  <si>
    <t>Anugerah Tuah Mulya Perkasa</t>
  </si>
  <si>
    <t>KB-PJA-01</t>
  </si>
  <si>
    <t>Apsl Rayon 1</t>
  </si>
  <si>
    <t>KB-PAR-01</t>
  </si>
  <si>
    <t>Kelompok Tani Kepau Jaya Sukses Lestari</t>
  </si>
  <si>
    <t>Muriniwood Indah Industry</t>
  </si>
  <si>
    <t>PT Wonorejo Perdana</t>
  </si>
  <si>
    <t>PT-WPO-01</t>
  </si>
  <si>
    <t>Priatama Riau</t>
  </si>
  <si>
    <t>CRO 2</t>
  </si>
  <si>
    <t>Regional Riau 1</t>
  </si>
  <si>
    <t>Kppa Mal Kso</t>
  </si>
  <si>
    <t>KKPA MAL 250</t>
  </si>
  <si>
    <t>KB-KM2-01</t>
  </si>
  <si>
    <t>Riau Jaya Utama</t>
  </si>
  <si>
    <t>KB-PIL-01</t>
  </si>
  <si>
    <t>Surya Dumai Agrindo</t>
  </si>
  <si>
    <t>Adimulia Agrolestari Takeover Dari Blangkolam</t>
  </si>
  <si>
    <t>PT Aditya Palma Nusantara</t>
  </si>
  <si>
    <t>Aditya Palma Nusantara (APN)</t>
  </si>
  <si>
    <t>KB-APN-01</t>
  </si>
  <si>
    <t>Agro Mitra Rokan</t>
  </si>
  <si>
    <t>Arindo Trisejahtera</t>
  </si>
  <si>
    <t>PT Banyu Bening Utama</t>
  </si>
  <si>
    <t>Banyu Bening Utama (BBU I)</t>
  </si>
  <si>
    <t>KB-BBU-01</t>
  </si>
  <si>
    <t>Bagas Indah Perkasa</t>
  </si>
  <si>
    <t>Banyu Bening Utama (BBU II)</t>
  </si>
  <si>
    <t>Bina Pitri Jaya</t>
  </si>
  <si>
    <t>KB-BBU-02</t>
  </si>
  <si>
    <t>Citra Sardela Abadi</t>
  </si>
  <si>
    <t>PT Cerenti Subur</t>
  </si>
  <si>
    <t>Cerenti Subur (CSB I)</t>
  </si>
  <si>
    <t>KB-CSC-01</t>
  </si>
  <si>
    <t>CV Agro Sukses Abadi/CV Sawit Makmur Lestari</t>
  </si>
  <si>
    <t>CV Makmur Jaya Sentosa</t>
  </si>
  <si>
    <t>Cerenti Subur (CSB II)</t>
  </si>
  <si>
    <t>KB-CSC-02</t>
  </si>
  <si>
    <t>PT Duta Palma Nusantara</t>
  </si>
  <si>
    <t>CV Sianipar Putra Mandiri</t>
  </si>
  <si>
    <t>Duta Palma Nusantara (DPN I)</t>
  </si>
  <si>
    <t>KB-DPN-01</t>
  </si>
  <si>
    <t>Duta Palma Nusantara (DPN II)</t>
  </si>
  <si>
    <t>KB-DPN-02</t>
  </si>
  <si>
    <t>Gatipura Mulya</t>
  </si>
  <si>
    <t>Duta Palma Nusantara (DPN III)</t>
  </si>
  <si>
    <t>KB-DPN-03</t>
  </si>
  <si>
    <t>Guna Usagri Pratama - Yingerh Gunawan</t>
  </si>
  <si>
    <t>Hendri Padang</t>
  </si>
  <si>
    <t>PT Eluan Mahkota</t>
  </si>
  <si>
    <t>Eluan Mahkota (EMA)</t>
  </si>
  <si>
    <t>KB-EMA-01</t>
  </si>
  <si>
    <t>PT Johan Sentosa</t>
  </si>
  <si>
    <t>Hutahean</t>
  </si>
  <si>
    <t>Johan Sentosa (JHS)</t>
  </si>
  <si>
    <t>KB-JHS-01</t>
  </si>
  <si>
    <t>Indrawan Perkasa</t>
  </si>
  <si>
    <t>PT Kencana Amal Tani</t>
  </si>
  <si>
    <t>Kencana Amal Tani (KAT I)</t>
  </si>
  <si>
    <t>KB-KAT-01</t>
  </si>
  <si>
    <t>Jaya Gemilang Sukses</t>
  </si>
  <si>
    <t>Kencana Amal Tani (KAT II)</t>
  </si>
  <si>
    <t>Kelompok Tani Karya Mandiri (PT SPA)</t>
  </si>
  <si>
    <t>KB-KAT-02</t>
  </si>
  <si>
    <t>Kencana Amal Tani (KAT III)</t>
  </si>
  <si>
    <t>KB-KAT-03</t>
  </si>
  <si>
    <t>Masuba Citra Mandiri</t>
  </si>
  <si>
    <t>PT Mekarsari Alam Lestari</t>
  </si>
  <si>
    <t>Mekar Alam Lestari (MAL I)</t>
  </si>
  <si>
    <t>KB-MAL-01</t>
  </si>
  <si>
    <t>Merauke Tetap Jaya (Koperasi Guna Karya Sejahtera)</t>
  </si>
  <si>
    <t>PT Mekarsari Alam Lestari 2</t>
  </si>
  <si>
    <t>Mekar Alam Lestari (MAL II)</t>
  </si>
  <si>
    <t>KB-MAL-02</t>
  </si>
  <si>
    <t>Mustika Agro Sari</t>
  </si>
  <si>
    <t>PT Palma S</t>
  </si>
  <si>
    <t>Palma I (PS I)</t>
  </si>
  <si>
    <t>Pasirmas Giri Raya</t>
  </si>
  <si>
    <t>KB-PIP-01</t>
  </si>
  <si>
    <t>Rama Salomo (Kebun Hendri Sianipar)</t>
  </si>
  <si>
    <t>Palma II (PS II)</t>
  </si>
  <si>
    <t>KB-PIP-02</t>
  </si>
  <si>
    <t>Rama Salomo Tanjung Medan (Michael Chandra Sianipar)</t>
  </si>
  <si>
    <t>PT Panca Agro Lestari</t>
  </si>
  <si>
    <t>Ramajaya Pramukti</t>
  </si>
  <si>
    <t>Panca Agro Lestari (PAL)</t>
  </si>
  <si>
    <t>KB-PAL-01</t>
  </si>
  <si>
    <t>Salim Ivomas Pratama/Salim</t>
  </si>
  <si>
    <t>PT Seberida Subur</t>
  </si>
  <si>
    <t>Seberida Subur (SS)</t>
  </si>
  <si>
    <t>KB-SS-01</t>
  </si>
  <si>
    <t>Sandria Sukses Bersama</t>
  </si>
  <si>
    <t>Sarana Inti Pratama</t>
  </si>
  <si>
    <t>PT Wana Jingga Timur</t>
  </si>
  <si>
    <t>Wana Jingga Timur (WJT)</t>
  </si>
  <si>
    <t>KB-WJT-01</t>
  </si>
  <si>
    <t>Simas Sawit Aliantan</t>
  </si>
  <si>
    <t>CRO 3</t>
  </si>
  <si>
    <t>Regional Riau 2</t>
  </si>
  <si>
    <t>CV-ASA-01</t>
  </si>
  <si>
    <t>Sumber Alam Makmur Sentosa</t>
  </si>
  <si>
    <t>Surya Agrolika Reksa I</t>
  </si>
  <si>
    <t>CV Alam Riau Bertuah</t>
  </si>
  <si>
    <t>CV-ARB-01</t>
  </si>
  <si>
    <t>Telangka Indo Permai</t>
  </si>
  <si>
    <t>CV Kamparindo (CV inti sawit Perkasa)</t>
  </si>
  <si>
    <t>Udaya Lohjinawi (Sadria Sukses Bersama)</t>
  </si>
  <si>
    <t>CV-ISP-01</t>
  </si>
  <si>
    <t>Agro Wisata Industri</t>
  </si>
  <si>
    <t>CV Makmur Jaya Sentosa (awalnya PT Jimmy Mitra dari PT Air Kampar Grup)</t>
  </si>
  <si>
    <t>KT-KJB-01</t>
  </si>
  <si>
    <t>Armada Putra</t>
  </si>
  <si>
    <t>CV Sepakat Bersama Ali</t>
  </si>
  <si>
    <t>KP-SBE-01</t>
  </si>
  <si>
    <t>Berlian Agro Plantation</t>
  </si>
  <si>
    <t>Berlian Mitra Inti</t>
  </si>
  <si>
    <t>CV-SPM-01</t>
  </si>
  <si>
    <t>KP-MKP-01</t>
  </si>
  <si>
    <t>Hotman Silalahi/Sipangkar (Perorangan)</t>
  </si>
  <si>
    <t>KB-HSS-01</t>
  </si>
  <si>
    <t>Darmali Jaya Lestari</t>
  </si>
  <si>
    <t>Kelompok Tani Karya Mandiri (PT Sinar Permata Agro)</t>
  </si>
  <si>
    <t>KT-KMS-01</t>
  </si>
  <si>
    <t>KT-RJM-01</t>
  </si>
  <si>
    <t>Dumai Tani Unggul</t>
  </si>
  <si>
    <t>PT Adimulia Agrolestari Takeover Dari Blangkolam</t>
  </si>
  <si>
    <t>PT-AAT-01</t>
  </si>
  <si>
    <t>Duta Mas Makmur Perkasa</t>
  </si>
  <si>
    <t>PT Agrita Sari Prima</t>
  </si>
  <si>
    <t>PT-ASP-01</t>
  </si>
  <si>
    <t>Ganda Buanindo</t>
  </si>
  <si>
    <t>PT Agro Mitra Rokan</t>
  </si>
  <si>
    <t>PT-KTT-01</t>
  </si>
  <si>
    <t>Gunung Mas Raya</t>
  </si>
  <si>
    <t>PT Agro Sarimas Indonesia</t>
  </si>
  <si>
    <t>PT-CMB-01</t>
  </si>
  <si>
    <t>Indograha Makmur Sentosa</t>
  </si>
  <si>
    <t>PT Agro Wisata Industri</t>
  </si>
  <si>
    <t>KP-PMJ-02</t>
  </si>
  <si>
    <t>Ivo Mas Tunggal</t>
  </si>
  <si>
    <t>PT Andika Permata Sawit Lestari (PT Kebun Kosmar Saudara Anton)</t>
  </si>
  <si>
    <t>PT-TPI-01</t>
  </si>
  <si>
    <t>Lahan Tani Sakti</t>
  </si>
  <si>
    <t>PT Aneka Inti Persada</t>
  </si>
  <si>
    <t>PT-AIP-01</t>
  </si>
  <si>
    <t>Mitra Unggul Pusaka</t>
  </si>
  <si>
    <t>Murini Sam Sam</t>
  </si>
  <si>
    <t>PT Anugerah Tuah Mulya Perkasa</t>
  </si>
  <si>
    <t>PT-ATM-01</t>
  </si>
  <si>
    <t>Padasa Enam Utama</t>
  </si>
  <si>
    <t>Peputra Maha Raya</t>
  </si>
  <si>
    <t>PT Apsl Rayon 1</t>
  </si>
  <si>
    <t>Prima Agro Sawitindo</t>
  </si>
  <si>
    <t>PT-SSS-01</t>
  </si>
  <si>
    <t>Riau Bumi Bina Makmur (Lokasi 1)</t>
  </si>
  <si>
    <t>PT Apsl Rayon 2 (Kelompok Tani Nelayan Andalan)</t>
  </si>
  <si>
    <t>PT-AR2-01</t>
  </si>
  <si>
    <t>Sinar Inti Sawit</t>
  </si>
  <si>
    <t>PT Apsl Rayon 3 ( Poktan Maju Bersama)</t>
  </si>
  <si>
    <t>KP-PMB-02</t>
  </si>
  <si>
    <t>Sinar Sawit Sejahtera</t>
  </si>
  <si>
    <t>Supra Matra Abadi (Riau)</t>
  </si>
  <si>
    <t>PT Arindo Trisejahtera</t>
  </si>
  <si>
    <t>PT-ATR-01</t>
  </si>
  <si>
    <t>Triomas FDI</t>
  </si>
  <si>
    <t>PT Armada Putra</t>
  </si>
  <si>
    <t>KP-PRS-01</t>
  </si>
  <si>
    <t>Agrita Sari Prima</t>
  </si>
  <si>
    <t>PT Bagas Indah Perkasa</t>
  </si>
  <si>
    <t>PT-BIP-01</t>
  </si>
  <si>
    <t>Agro Sarimas Indonesia</t>
  </si>
  <si>
    <t>Bintang Riau Sejahtera</t>
  </si>
  <si>
    <t>PT Berkat Satu</t>
  </si>
  <si>
    <t>PT-PJN-01</t>
  </si>
  <si>
    <t>Buana Wira Lestari Mas</t>
  </si>
  <si>
    <t>Bumi Palma Lestari Persada</t>
  </si>
  <si>
    <t>PT Berlian Agro Plantation</t>
  </si>
  <si>
    <t>PT-BAP-02</t>
  </si>
  <si>
    <t>Eka Sari Lorena /Koperasi Segati Sejahtera Mandiri</t>
  </si>
  <si>
    <t>PT Berlian Mitra Inti</t>
  </si>
  <si>
    <t>CV-AAS-01</t>
  </si>
  <si>
    <t>Ganderah Hendana</t>
  </si>
  <si>
    <t>Guna Dodos</t>
  </si>
  <si>
    <t>PT Bina Pitri Jaya</t>
  </si>
  <si>
    <t>KP-KSM-01</t>
  </si>
  <si>
    <t>Guntung Hasrat Makmur</t>
  </si>
  <si>
    <t>PT Bintang Riau Sejahtera</t>
  </si>
  <si>
    <t>CV-AKP-01</t>
  </si>
  <si>
    <t>Indogreen Jaya Abadi</t>
  </si>
  <si>
    <t>Inti Indosawit Subur</t>
  </si>
  <si>
    <t>PT Buana Wira Lestari Mas</t>
  </si>
  <si>
    <t>PT-BWL-01</t>
  </si>
  <si>
    <t>Kharisma Riau Sentosa Prima</t>
  </si>
  <si>
    <t>PT Budi Tani Kembang Jaya</t>
  </si>
  <si>
    <t>KP-JSS-01</t>
  </si>
  <si>
    <t>Koperasi Serik Indah Mandiri (GUP)</t>
  </si>
  <si>
    <t>PT Bumi Palma Lestari Persada</t>
  </si>
  <si>
    <t>KP-PKS-02</t>
  </si>
  <si>
    <t>PT Cahaya Indah Sangsurya</t>
  </si>
  <si>
    <t>KP-PBL-01</t>
  </si>
  <si>
    <t>Mega Nusa Inti Sawit</t>
  </si>
  <si>
    <t>Palm Lestari Makmur</t>
  </si>
  <si>
    <t>Riau Sakti United Plantations</t>
  </si>
  <si>
    <t>PT Cibaliung Tunggal Plantation</t>
  </si>
  <si>
    <t>KT-PNT-01</t>
  </si>
  <si>
    <t>Riausakti Transmandiri</t>
  </si>
  <si>
    <t>Rimba Sawit Kusuma</t>
  </si>
  <si>
    <t>PT Ciliandra Perkasa</t>
  </si>
  <si>
    <t>KP-DMP-01</t>
  </si>
  <si>
    <t>Sari Lembah Subur</t>
  </si>
  <si>
    <t>Serikat Putra/Salim</t>
  </si>
  <si>
    <t>PT Citra Sardela Abadi</t>
  </si>
  <si>
    <t>PT-CSA-01</t>
  </si>
  <si>
    <t>Setia Agrindo Mandiri</t>
  </si>
  <si>
    <t>Sinar Widita Pamarta</t>
  </si>
  <si>
    <t>PT Darmali Jaya Lestari</t>
  </si>
  <si>
    <t>PT-DJL-02</t>
  </si>
  <si>
    <t>Tani Subur Makmur</t>
  </si>
  <si>
    <t>PT Dumai Tani Unggul</t>
  </si>
  <si>
    <t>PT-DTU-01</t>
  </si>
  <si>
    <t>Teso Indah</t>
  </si>
  <si>
    <t>PT Duta Mas Makmur Perkasa</t>
  </si>
  <si>
    <t>PT-DMM-01</t>
  </si>
  <si>
    <t>Th Indo Plantation</t>
  </si>
  <si>
    <t>Tri Bakti Sarimas</t>
  </si>
  <si>
    <t>PT Eka Sari Lorena /Koperasi Segati Sejahtera Mandiri</t>
  </si>
  <si>
    <t>KP-SSM-01</t>
  </si>
  <si>
    <t>Tugu Palma Sumatera</t>
  </si>
  <si>
    <t>PT Ekadura Indonesia</t>
  </si>
  <si>
    <t>Tunggal Perkasa Plantation</t>
  </si>
  <si>
    <t>CV-GSA-01</t>
  </si>
  <si>
    <t>Victorindo Alam Lestari/Permata Hijau Indonesia</t>
  </si>
  <si>
    <t>PT Ganda Buanindo</t>
  </si>
  <si>
    <t>PT-GBA-01</t>
  </si>
  <si>
    <t>Aneka Inti Persada</t>
  </si>
  <si>
    <t>PT Ganderah Hendana</t>
  </si>
  <si>
    <t>PT-BNP-01</t>
  </si>
  <si>
    <t>Apsl Rayon 3 ( Poktan Maju Bersama)</t>
  </si>
  <si>
    <t>PT Gatipura Mulya</t>
  </si>
  <si>
    <t>PT-BBP-01</t>
  </si>
  <si>
    <t>Budi Tani Kembang Jaya</t>
  </si>
  <si>
    <t>PT Gerbang Sawit Indah</t>
  </si>
  <si>
    <t>PT-GSI-01</t>
  </si>
  <si>
    <t>Cahaya Indah Sangsurya</t>
  </si>
  <si>
    <t>PT Guna Dodos</t>
  </si>
  <si>
    <t>PT-GDU-01</t>
  </si>
  <si>
    <t>Cibaliung Tunggal Plantation</t>
  </si>
  <si>
    <t>PT Guntung Hasrat Makmur</t>
  </si>
  <si>
    <t>PT-GHM-01</t>
  </si>
  <si>
    <t>Ciliandra Perkasa</t>
  </si>
  <si>
    <t>PT Gunung Mas Raya</t>
  </si>
  <si>
    <t>PT-UTS-01</t>
  </si>
  <si>
    <t>PT Gup (Guna Usagri Pratama) Yingerh Gunawan</t>
  </si>
  <si>
    <t>PT-ASP-03</t>
  </si>
  <si>
    <t>Ekadura Indonesia</t>
  </si>
  <si>
    <t>PT Gup (Koperasi Serik Indah Mandiri)</t>
  </si>
  <si>
    <t>KP-SIM-01</t>
  </si>
  <si>
    <t>PT Hutahean</t>
  </si>
  <si>
    <t>Gerbang Sawit Indah</t>
  </si>
  <si>
    <t>PT-CGI-01</t>
  </si>
  <si>
    <t>Pelintung Jaya Bersama</t>
  </si>
  <si>
    <t>PT Indograha Makmur Sentosa</t>
  </si>
  <si>
    <t>PT-IMS-01</t>
  </si>
  <si>
    <t>PT Indogreen Jaya Abadi</t>
  </si>
  <si>
    <t>Perawang Sukses Perkasa Industri</t>
  </si>
  <si>
    <t>PT-IJA-01</t>
  </si>
  <si>
    <t>PT Indrawan Perkasa</t>
  </si>
  <si>
    <t>Sawit Asahan Indah</t>
  </si>
  <si>
    <t>PT-TRM-01</t>
  </si>
  <si>
    <t>PT Inti Indosawit Subur</t>
  </si>
  <si>
    <t>PT-IIS-01</t>
  </si>
  <si>
    <t>Sinar Riau Palm Oil</t>
  </si>
  <si>
    <t>PT Ivo Mas Tunggal</t>
  </si>
  <si>
    <t>PT-IMT-01</t>
  </si>
  <si>
    <t>Subur Arum Makmur</t>
  </si>
  <si>
    <t>PT Jaya Gemilang Sukses</t>
  </si>
  <si>
    <t>PT-JGS-01</t>
  </si>
  <si>
    <t>Sugih Indah Sejati</t>
  </si>
  <si>
    <t>PT Kharisma Riau Sentosa Prima</t>
  </si>
  <si>
    <t>PT-KRS-02</t>
  </si>
  <si>
    <t>Surya Intisari Raya</t>
  </si>
  <si>
    <t>PT Lahan Tani Sakti</t>
  </si>
  <si>
    <t>PT-AJR-01</t>
  </si>
  <si>
    <t>Berkat Satu</t>
  </si>
  <si>
    <t>PT Masuba Citra Mandiri</t>
  </si>
  <si>
    <t>PT-MCM-01</t>
  </si>
  <si>
    <t>Riau 3</t>
  </si>
  <si>
    <t>Agroraya Gematrans</t>
  </si>
  <si>
    <t>PT Mega Nusa Inti Sawit</t>
  </si>
  <si>
    <t>PT-MNI-01</t>
  </si>
  <si>
    <t>Krisna Kereta Kencana</t>
  </si>
  <si>
    <t>PT Merauke Tetap Jaya (Koperasi Guna Karya Sejahtera)</t>
  </si>
  <si>
    <t>Oscar Investama</t>
  </si>
  <si>
    <t>PT-WAS-01</t>
  </si>
  <si>
    <t>PT Mitra Unggul Pusaka</t>
  </si>
  <si>
    <t>KP-JKI-01</t>
  </si>
  <si>
    <t>Riau Sawitindo Abadi</t>
  </si>
  <si>
    <t>Sumatera Timur Indonesia</t>
  </si>
  <si>
    <t>PT Murini Sam Sam</t>
  </si>
  <si>
    <t>PT-IGI-01</t>
  </si>
  <si>
    <t>Agro Sarimas Indonesia (Plasma)</t>
  </si>
  <si>
    <t>PT Muriniwood Indah Industry</t>
  </si>
  <si>
    <t>Berlian Inti Mekar</t>
  </si>
  <si>
    <t>KT-MDX-01</t>
  </si>
  <si>
    <t>PT Mustika Agro Sari</t>
  </si>
  <si>
    <t>PT-MAS-04</t>
  </si>
  <si>
    <t>Kelompok Tani Jaya Mandiri (awalnya PT Andalas)</t>
  </si>
  <si>
    <t>PT Padasa Enam Utama</t>
  </si>
  <si>
    <t>PT-PEU-01</t>
  </si>
  <si>
    <t>Sumatera Makmur Lestari</t>
  </si>
  <si>
    <t>Runggu Divisi I s.d IV (Koperasi Jasa Sawit Mulia)</t>
  </si>
  <si>
    <t>PT Palm Lestari Makmur</t>
  </si>
  <si>
    <t>KP-JTS-01</t>
  </si>
  <si>
    <t>Selantai Agro Lestari</t>
  </si>
  <si>
    <t>PT Pasirmas Giri Raya</t>
  </si>
  <si>
    <t>PT-SAR-01</t>
  </si>
  <si>
    <t>Sumber Sawindo Kencana</t>
  </si>
  <si>
    <t>PT Pelintung Jaya Bersama</t>
  </si>
  <si>
    <t>PT-PJB-01</t>
  </si>
  <si>
    <t>Tasma Puja Inhu</t>
  </si>
  <si>
    <t>PT Peputra Maha Raya</t>
  </si>
  <si>
    <t>PT-PMR-01</t>
  </si>
  <si>
    <t>Toton/Kelompok Tani Sumber Makmur Bersama</t>
  </si>
  <si>
    <t>Tri Hasta Palma</t>
  </si>
  <si>
    <t>PT Perawang Sukses Perkasa Industri</t>
  </si>
  <si>
    <t>PT-PPA-01</t>
  </si>
  <si>
    <t>Cakra Alam Sejati</t>
  </si>
  <si>
    <t>Karya Panen Terus</t>
  </si>
  <si>
    <t>PT Priatama Riau</t>
  </si>
  <si>
    <t>PT-PRR-01</t>
  </si>
  <si>
    <t>Sinar Haska Lestari</t>
  </si>
  <si>
    <t>PT Prima Agro Sawitindo</t>
  </si>
  <si>
    <t>PT-PAS-01</t>
  </si>
  <si>
    <t>Wanasari Nusantara</t>
  </si>
  <si>
    <t>PT Rama Salomo (Kebun Hendri Sianipar)</t>
  </si>
  <si>
    <t>KP-PBK-01</t>
  </si>
  <si>
    <t>Marita Makmur Jaya</t>
  </si>
  <si>
    <t>Bukit Gajah Putih</t>
  </si>
  <si>
    <t>PT Rama Salomo Kebun Tanjung Medan/Salomo Michael Chandra Sianipar</t>
  </si>
  <si>
    <t>KP-PRS-02</t>
  </si>
  <si>
    <t>PT Ramajaya Pramukti</t>
  </si>
  <si>
    <t>Tunggal Mitra Plantation/Minamas</t>
  </si>
  <si>
    <t>CV-MJA-01</t>
  </si>
  <si>
    <t>PT Riau Bumi Bina Makmur (Lokasi 1)</t>
  </si>
  <si>
    <t>PT-BSP-05</t>
  </si>
  <si>
    <t>Air Jernih</t>
  </si>
  <si>
    <t>PT Riau Jaya Utama</t>
  </si>
  <si>
    <t>Budi Murni Pancajaya</t>
  </si>
  <si>
    <t>PT-LPS-01</t>
  </si>
  <si>
    <t>PT Riau Sakti United Plantations</t>
  </si>
  <si>
    <t>PT-RSU-01</t>
  </si>
  <si>
    <t>Graha Permata Hijau</t>
  </si>
  <si>
    <t>PT Riausakti Transmandiri</t>
  </si>
  <si>
    <t>PT-RTI-01</t>
  </si>
  <si>
    <t>Inti Kamparindo Sejahtera</t>
  </si>
  <si>
    <t>PT Rimba Sawit Kusuma</t>
  </si>
  <si>
    <t>PT-RSK-01</t>
  </si>
  <si>
    <t>Sitapongan Lestari</t>
  </si>
  <si>
    <t>PT Salim Ivomas Pratama/Salim</t>
  </si>
  <si>
    <t>PT-DNP-01</t>
  </si>
  <si>
    <t>Sumber Jaya Indahnusa Coy</t>
  </si>
  <si>
    <t>PT Sandria Sukses Bersama</t>
  </si>
  <si>
    <t>Tasma Puja Kampar</t>
  </si>
  <si>
    <t>PT-WAS-02</t>
  </si>
  <si>
    <t>CRO IV</t>
  </si>
  <si>
    <t>Riau 4</t>
  </si>
  <si>
    <t>Torus Ganda Kebun Rantau Kasai</t>
  </si>
  <si>
    <t>PT Sarana Inti Pratama</t>
  </si>
  <si>
    <t>PT-SIP-01</t>
  </si>
  <si>
    <t>Tor Ganda Kebun Batang Kumu 1</t>
  </si>
  <si>
    <t>PT Sari Lembah Subur</t>
  </si>
  <si>
    <t>PT-SLS-01</t>
  </si>
  <si>
    <t>Tor Ganda Kebun Batang Kumu 2</t>
  </si>
  <si>
    <t>PT Sawit Asahan Indah</t>
  </si>
  <si>
    <t>PT-SAI-01</t>
  </si>
  <si>
    <t>Tor Ganda / Togos Gopas</t>
  </si>
  <si>
    <t>PT Serikat Putra/Salim</t>
  </si>
  <si>
    <t>KB-KPJ-01</t>
  </si>
  <si>
    <t>Tor Ganda Kebun Karya Perdana</t>
  </si>
  <si>
    <t>PT Setia Agrindo Mandiri</t>
  </si>
  <si>
    <t>KT-BTS-01</t>
  </si>
  <si>
    <t>Torus Ganda Kebun Tambusai Timur</t>
  </si>
  <si>
    <t>PT Simas Sawit Aliantan</t>
  </si>
  <si>
    <t>PT-SSA-01</t>
  </si>
  <si>
    <t>CRO V</t>
  </si>
  <si>
    <t>PT Sinar Inti Sawit</t>
  </si>
  <si>
    <t>Babel</t>
  </si>
  <si>
    <t>Agrolestari Subur Sejahtera (Sinarmas)</t>
  </si>
  <si>
    <t>PT-PAB-01</t>
  </si>
  <si>
    <t>PT Sinar Riau Palm Oil</t>
  </si>
  <si>
    <t>Bumi Sawit Sukses Pratama</t>
  </si>
  <si>
    <t>PT-SRP-01</t>
  </si>
  <si>
    <t>Bumi Sawit Sukses Pratama (Bangka Kota)</t>
  </si>
  <si>
    <t>PT Sinar Sawit Sejahtera</t>
  </si>
  <si>
    <t>Fenyen Agro Lestari (Kebun Kotawaringin+Jeriji)</t>
  </si>
  <si>
    <t>PT-SSS-02</t>
  </si>
  <si>
    <t>PT Sinar Widita Pamarta</t>
  </si>
  <si>
    <t>KP-PBJ-01</t>
  </si>
  <si>
    <t>Gunung Maras Lestari</t>
  </si>
  <si>
    <t>PT Subur Arum Makmur</t>
  </si>
  <si>
    <t>KB-KPP-01</t>
  </si>
  <si>
    <t>Hans Buana Inti guna Lestari</t>
  </si>
  <si>
    <t>PT Sugih Indah Sejati</t>
  </si>
  <si>
    <t>CV-BJS-01</t>
  </si>
  <si>
    <t>PT Sumber Alam Makmur Sentosa</t>
  </si>
  <si>
    <t>Mp Leidong West Indonesia (Sinarmas)</t>
  </si>
  <si>
    <t>KP-TEB-01</t>
  </si>
  <si>
    <t>PT Supra Matra Abadi (Riau)</t>
  </si>
  <si>
    <t>KP-PJM-01</t>
  </si>
  <si>
    <t>Rebinmas Jaya</t>
  </si>
  <si>
    <t>PT Surya Agrolika Reksa I</t>
  </si>
  <si>
    <t>KP-PSU-01</t>
  </si>
  <si>
    <t>Sinar Agro Makmur Lestari (Bukit Luwi)</t>
  </si>
  <si>
    <t>Sinar Agro Makmur Lestari (Kurau)</t>
  </si>
  <si>
    <t>PT Surya Dumai Agrindo</t>
  </si>
  <si>
    <t>KP-MBB-01</t>
  </si>
  <si>
    <t>PT Surya Intisari Raya</t>
  </si>
  <si>
    <t>Swarna Nusa Sentosa (Kebun Malik)</t>
  </si>
  <si>
    <t>KP-PSB-01</t>
  </si>
  <si>
    <t>PT Tani Subur Makmur</t>
  </si>
  <si>
    <t>Swarna Nusa Sentosa (Kebun Muntok)</t>
  </si>
  <si>
    <t>PT-RJK-01</t>
  </si>
  <si>
    <t>Jambi</t>
  </si>
  <si>
    <t>Agrowiyana</t>
  </si>
  <si>
    <t>PT Telangka Indo Permai</t>
  </si>
  <si>
    <t>PT-KJB-01</t>
  </si>
  <si>
    <t>Anugrah Polanusa</t>
  </si>
  <si>
    <t>PT Teso Indah</t>
  </si>
  <si>
    <t>PT-NJA-01</t>
  </si>
  <si>
    <t>PT Th Indo Plantation</t>
  </si>
  <si>
    <t>Bahana Karya Semesta</t>
  </si>
  <si>
    <t>PT-SIM-01</t>
  </si>
  <si>
    <t>PT Tri Bakti Sarimas</t>
  </si>
  <si>
    <t>KT-BKN-01</t>
  </si>
  <si>
    <t>Batanghari Sawit Sejahtera</t>
  </si>
  <si>
    <t>Bintang Selatan Agro</t>
  </si>
  <si>
    <t>PT Triomas FDI</t>
  </si>
  <si>
    <t>PT-TFR-01</t>
  </si>
  <si>
    <t>Brahma Binabakti/Kirana Sakernan</t>
  </si>
  <si>
    <t>PT Tugu Palma Sumatera</t>
  </si>
  <si>
    <t>PT-PAP-01</t>
  </si>
  <si>
    <t>Citra Koperasindo Tani**</t>
  </si>
  <si>
    <t>PT Tunggal Perkasa Plantation</t>
  </si>
  <si>
    <t>Citra Mulia Manunggal</t>
  </si>
  <si>
    <t>KT-JKM-01</t>
  </si>
  <si>
    <t>Hutan Alam Lestari</t>
  </si>
  <si>
    <t>PT Udaya Lohjinawi (PT Sadria Sukses Bersama)</t>
  </si>
  <si>
    <t>PT-ULS-01</t>
  </si>
  <si>
    <t>PT Victorindo Alam Lestari/Permata Hijau Indonesia</t>
  </si>
  <si>
    <t>Muaro Kahuripan Indonesia</t>
  </si>
  <si>
    <t>KP-LMB-01</t>
  </si>
  <si>
    <t>Perkebunan Nusantara IV Reg IV Kebun Tj Lebar</t>
  </si>
  <si>
    <t>Regional Riau 3</t>
  </si>
  <si>
    <t>PT Runggu Divisi I (Koperasi Jasa Sawit Mulia)</t>
  </si>
  <si>
    <t>KT-JMA-01</t>
  </si>
  <si>
    <t>Prima Mas Lestari</t>
  </si>
  <si>
    <t>PT-AGG-01</t>
  </si>
  <si>
    <t>Produk Sawitindo Jambi (Makin Group)</t>
  </si>
  <si>
    <t>PT Agroraya Gematrans</t>
  </si>
  <si>
    <t>PT-AJI-01</t>
  </si>
  <si>
    <t>Ricky Kurniawan Kertapersada (Makin Group)</t>
  </si>
  <si>
    <t>PT Air Jernih</t>
  </si>
  <si>
    <t>PT-BIM-01</t>
  </si>
  <si>
    <t>Satya Kisma Usaha*</t>
  </si>
  <si>
    <t>PT Berlian Inti Mekar</t>
  </si>
  <si>
    <t>Sawit Mas Perkasa</t>
  </si>
  <si>
    <t>PT-BMP-01</t>
  </si>
  <si>
    <t>Sumbar</t>
  </si>
  <si>
    <t>AMP Plantation Luas</t>
  </si>
  <si>
    <t>PT Budi Murni Panca Jaya</t>
  </si>
  <si>
    <t>PT-BGP-01</t>
  </si>
  <si>
    <t>Inti Melia Felindo</t>
  </si>
  <si>
    <t>PT Bukit Gajah Putih</t>
  </si>
  <si>
    <t>PT-CAS-01</t>
  </si>
  <si>
    <t>Primatama Mulia Jaya</t>
  </si>
  <si>
    <t>Selago Makmur Plantation</t>
  </si>
  <si>
    <t>PT Cakra Alam Sejati</t>
  </si>
  <si>
    <t>PT-GPH-01</t>
  </si>
  <si>
    <t>Sumatera Jaya Agro Lestari</t>
  </si>
  <si>
    <t>Sumsel</t>
  </si>
  <si>
    <t>Agro Rawas Ulu</t>
  </si>
  <si>
    <t>PT Graha Permata Hijau</t>
  </si>
  <si>
    <t>PT-IKS-01</t>
  </si>
  <si>
    <t>Bahari Gembira Ria</t>
  </si>
  <si>
    <t>Bangun Tenera Sriwijaya</t>
  </si>
  <si>
    <t>PT Inti Kamparindo Sejahtera</t>
  </si>
  <si>
    <t>PT-KPT-01</t>
  </si>
  <si>
    <t>Berkat Sawit Sejati</t>
  </si>
  <si>
    <t>Berkat Sawit Sejati (BSS)</t>
  </si>
  <si>
    <t>PT Karya Panen Terus</t>
  </si>
  <si>
    <t>PT-KKK-01</t>
  </si>
  <si>
    <t>Bina Sains Cemerlang</t>
  </si>
  <si>
    <t>Budi Tirta &amp; Tirta Agung/Salim Grup</t>
  </si>
  <si>
    <t>PT Krisna Kereta Kencana</t>
  </si>
  <si>
    <t>PT-MMJ-01</t>
  </si>
  <si>
    <t>Bumi Persada Permai</t>
  </si>
  <si>
    <t>Cangkul Bumi Subur</t>
  </si>
  <si>
    <t>Ciptatunggal Asri</t>
  </si>
  <si>
    <t>PT Marita Makmur Jaya</t>
  </si>
  <si>
    <t>PT-OIS-01</t>
  </si>
  <si>
    <t>Citraloka Begawan</t>
  </si>
  <si>
    <t>DendyIndah Makerlestari</t>
  </si>
  <si>
    <t>PT Oscar Investama</t>
  </si>
  <si>
    <t>PT-RSA-01</t>
  </si>
  <si>
    <t>Djuanda Sawit Lestari</t>
  </si>
  <si>
    <t>PT Riau Sawitindo Abadi</t>
  </si>
  <si>
    <t>Hamita Utama Karsa</t>
  </si>
  <si>
    <t>PT-RDI-01</t>
  </si>
  <si>
    <t>Hindoli/Cargill Group</t>
  </si>
  <si>
    <t>PT Selantai Agro Lestari</t>
  </si>
  <si>
    <t>London Sumatera Indonesia Kebun Ketapat Bening</t>
  </si>
  <si>
    <t>PT-SAL-01</t>
  </si>
  <si>
    <t>London Sumatera Indonesia Kebun Riam Indah</t>
  </si>
  <si>
    <t>PT Sinar Haska Lestari</t>
  </si>
  <si>
    <t>London Sumatera Indonesia Kebun Sei Kepayang</t>
  </si>
  <si>
    <t>PT-SHL-01</t>
  </si>
  <si>
    <t>London Sumatera Indonesia Sei Gemang</t>
  </si>
  <si>
    <t>PT Sitapongan Lestari</t>
  </si>
  <si>
    <t>PT-SLI-01</t>
  </si>
  <si>
    <t>London Sumatera Indonesia Sei Lakitan, Margo Sido, &amp; Pelita Jaya</t>
  </si>
  <si>
    <t>PT Sumatera Makmur Lestari</t>
  </si>
  <si>
    <t>PT-SML-02</t>
  </si>
  <si>
    <t>Lonsum Suka Damai, Budi Tirta &amp; Tirta Agung</t>
  </si>
  <si>
    <t>PT Sumatera Timur Indonesia</t>
  </si>
  <si>
    <t>PT-STI-01</t>
  </si>
  <si>
    <t>Lonsum Sumatera</t>
  </si>
  <si>
    <t>PT Sumber Jaya Indahnusa Coy</t>
  </si>
  <si>
    <t>PT-SJI-01</t>
  </si>
  <si>
    <t>Marga Agro Sejahtera</t>
  </si>
  <si>
    <t>PT Tasma Puja</t>
  </si>
  <si>
    <t>PT Tasma Puja Inhu (Swakelola)</t>
  </si>
  <si>
    <t>PT-TPI-02</t>
  </si>
  <si>
    <t>Mentari Sumur Abadi</t>
  </si>
  <si>
    <t>Musi Banyuasin Indah</t>
  </si>
  <si>
    <t>PT Toton/Kelompok Tani Sumber Makmur Bersama</t>
  </si>
  <si>
    <t>PT-TSM-01</t>
  </si>
  <si>
    <t>Musi Banyuasin Indah (2)</t>
  </si>
  <si>
    <t>PT Tri Hasta Palma</t>
  </si>
  <si>
    <t>PT-THP-01</t>
  </si>
  <si>
    <t>Pelangi Intipertiwi</t>
  </si>
  <si>
    <t>PT Tunggal Mitra Plantation/Minamas</t>
  </si>
  <si>
    <t>PT-TMP-01</t>
  </si>
  <si>
    <t>Perkebunan Hasil Musi Lestari</t>
  </si>
  <si>
    <t>PT Wanasari Nusantara</t>
  </si>
  <si>
    <t>PT-WNA-01</t>
  </si>
  <si>
    <t>Pp London Sumatera - Gunung Bais</t>
  </si>
  <si>
    <t>PT. Tasma Puja Kampar (KSO)</t>
  </si>
  <si>
    <t>PT-TPK-01</t>
  </si>
  <si>
    <t>Swadaya Bhakti Negaramas</t>
  </si>
  <si>
    <t>CRO 4</t>
  </si>
  <si>
    <t>Regional Riau 4</t>
  </si>
  <si>
    <t>Swadaya Bhakti Negaramas (SBN)</t>
  </si>
  <si>
    <t>PT Tor Ganda / Togos Gopas</t>
  </si>
  <si>
    <t>Maju Bersama</t>
  </si>
  <si>
    <t>PT-TGT-01</t>
  </si>
  <si>
    <t>Aek Tarum</t>
  </si>
  <si>
    <t>PT Tor Ganda Kebun Batang Kumu 1</t>
  </si>
  <si>
    <t>Batang Kumu 1</t>
  </si>
  <si>
    <t>PT-TGK-01</t>
  </si>
  <si>
    <t>Bumi Sawindo Permai</t>
  </si>
  <si>
    <t>Bumi Sawit Permai</t>
  </si>
  <si>
    <t>PT Tor Ganda Kebun Batang Kumu 2</t>
  </si>
  <si>
    <t>Batang Kumu 2</t>
  </si>
  <si>
    <t>PT-TGK-02</t>
  </si>
  <si>
    <t>Cahaya Cemerlang Lestari</t>
  </si>
  <si>
    <t>Campang Tiga Mukut</t>
  </si>
  <si>
    <t>PT Tor Ganda Kebun Karya Perdana</t>
  </si>
  <si>
    <t>Karya Perdana</t>
  </si>
  <si>
    <t>PT-TGK-03</t>
  </si>
  <si>
    <t>Ekajaya Multiperkasa</t>
  </si>
  <si>
    <t>PT Torus Ganda Kebun Rantau Kasai</t>
  </si>
  <si>
    <t>Rantau Kasai</t>
  </si>
  <si>
    <t>Gunung Meraksa Jaya</t>
  </si>
  <si>
    <t>PT-TGK-04</t>
  </si>
  <si>
    <t>London Sumatera Indonesia Kebun Bebah Kubu Pakaran</t>
  </si>
  <si>
    <t>PT Torus Ganda Kebun Tambusan Timur</t>
  </si>
  <si>
    <t>Tambusai Timur</t>
  </si>
  <si>
    <t>PT-TGK-05</t>
  </si>
  <si>
    <t>Mata Rantai Nusantara (Proteksindo)</t>
  </si>
  <si>
    <t>CRO 5</t>
  </si>
  <si>
    <t>Regional Babel</t>
  </si>
  <si>
    <t>PT Agrolestari Subur Sejahtera (Sinarmas)</t>
  </si>
  <si>
    <t>PT-ASS-02</t>
  </si>
  <si>
    <t>Mitra Ogan</t>
  </si>
  <si>
    <t>Musi Hutan Persada</t>
  </si>
  <si>
    <t>PT Bumi Sawit Sukses Pratama</t>
  </si>
  <si>
    <t>PT-BSS-07</t>
  </si>
  <si>
    <t>Mutiara Bunda Jaya</t>
  </si>
  <si>
    <t>PT Fenyen Agro Lestari (Kebun Kotawaringin+Jeriji)</t>
  </si>
  <si>
    <t>PT-FAL-01</t>
  </si>
  <si>
    <t>Perkebunan Nusantara VII</t>
  </si>
  <si>
    <t>PT Fenyen Agro Lestari (Kebun Riau Silip)</t>
  </si>
  <si>
    <t>PT-FAL-02</t>
  </si>
  <si>
    <t>PT Gunung Maras Lestari</t>
  </si>
  <si>
    <t>PT-GML-01</t>
  </si>
  <si>
    <t>Pp London Sumatera - Arta Kencana</t>
  </si>
  <si>
    <t>PT Hans Buana Inti Guna Lestari</t>
  </si>
  <si>
    <t>PT-HBI-01</t>
  </si>
  <si>
    <t>Pusakasinar Dianabadi</t>
  </si>
  <si>
    <t>PT Mp Leidong West Indonesia (Sinarmas)</t>
  </si>
  <si>
    <t>Sampoerna Agro</t>
  </si>
  <si>
    <t>PT-MLW-01</t>
  </si>
  <si>
    <t>PT Rebinmas Jaya</t>
  </si>
  <si>
    <t>Sumber Wangi Alam</t>
  </si>
  <si>
    <t>PT-RJE-01</t>
  </si>
  <si>
    <t>Surya Bumi Agro Langgeng</t>
  </si>
  <si>
    <t>PT Sinar Agro Makmur Lestari</t>
  </si>
  <si>
    <t>PT-SAM-02</t>
  </si>
  <si>
    <t>Sutopo Jaya Lestari</t>
  </si>
  <si>
    <t>PT Swarna Nusa Sentosa (Kebun Malik)</t>
  </si>
  <si>
    <t>PT-SNS-01</t>
  </si>
  <si>
    <t>PT Swarna Nusa Sentosa (Kebun Muntok)</t>
  </si>
  <si>
    <t>PT-SNS-02</t>
  </si>
  <si>
    <t>Syarifudin, MT (Kuang Suri)</t>
  </si>
  <si>
    <t>Regional Jambi</t>
  </si>
  <si>
    <t>PT Agrowiyana</t>
  </si>
  <si>
    <t>PT-AGR-02</t>
  </si>
  <si>
    <t>Telaga Hikmah</t>
  </si>
  <si>
    <t>PT Anugrah Polanusa</t>
  </si>
  <si>
    <t>PT-APN-01</t>
  </si>
  <si>
    <t>PT Bahana Karya Semesta</t>
  </si>
  <si>
    <t>Trimata Benua</t>
  </si>
  <si>
    <t>PT-BKS-01</t>
  </si>
  <si>
    <t>PT Batanghari Sawit Sejahtera</t>
  </si>
  <si>
    <t>PT-BSS-01</t>
  </si>
  <si>
    <t>Banyu Kahuripan Indonesia</t>
  </si>
  <si>
    <t>PT Bintang Selatan Agro</t>
  </si>
  <si>
    <t>CRO VI</t>
  </si>
  <si>
    <t>PT-BSA-03</t>
  </si>
  <si>
    <t>Kalbar 1A</t>
  </si>
  <si>
    <t>Asset - I (KSO)</t>
  </si>
  <si>
    <t>PT Brahma Binabakti/Kirana Sakernan</t>
  </si>
  <si>
    <t>PT-BBK-01</t>
  </si>
  <si>
    <t>Asset - II (KSO)</t>
  </si>
  <si>
    <t>Bukit Jago Indah (BJI)</t>
  </si>
  <si>
    <t>PT Citra Koperasindo Tani**</t>
  </si>
  <si>
    <t>PT-CKT-01</t>
  </si>
  <si>
    <t>Ledo - I</t>
  </si>
  <si>
    <t>PT Citra Mulia Manunggal</t>
  </si>
  <si>
    <t>PT-CMM-01</t>
  </si>
  <si>
    <t>Ledo - II</t>
  </si>
  <si>
    <t>PT Hutan Alam Lestari</t>
  </si>
  <si>
    <t>PT-HAL-01</t>
  </si>
  <si>
    <t>PT Muaro Kahuripan Indonesia</t>
  </si>
  <si>
    <t>Ledo - III (KSO)</t>
  </si>
  <si>
    <t>PT-MKI-01</t>
  </si>
  <si>
    <t>PT Perkebunan Nusantara IV Reg IV Kebun Tj Lebar</t>
  </si>
  <si>
    <t>PT-PNI-02</t>
  </si>
  <si>
    <t>Semunying (KSO)</t>
  </si>
  <si>
    <t>PT Prima Mas Lestari</t>
  </si>
  <si>
    <t>PT-PML-01</t>
  </si>
  <si>
    <t>Kaliau Mas Perkasa A (KMP A)</t>
  </si>
  <si>
    <t>PT Produk Sawitindo Jambi (Makin Group)</t>
  </si>
  <si>
    <t>Kaliau Mas Perkasa B (KMP B)</t>
  </si>
  <si>
    <t>PT-PSJ-01</t>
  </si>
  <si>
    <t>Teluk Keramat (TKR)</t>
  </si>
  <si>
    <t>PT Ricky Kurniawan Kertapersada/ Makin Grup</t>
  </si>
  <si>
    <t>PT-RKK-01</t>
  </si>
  <si>
    <t>Wana Hijau Semesta I (WHS I)</t>
  </si>
  <si>
    <t>PT Satya Kisma Usaha*</t>
  </si>
  <si>
    <t>PT-SKU-01</t>
  </si>
  <si>
    <t>Wana Hijau Semesta II (L1)</t>
  </si>
  <si>
    <t>PT Sawit Mas Perkasa</t>
  </si>
  <si>
    <t>PT Erasakti Wiraforestama</t>
  </si>
  <si>
    <t>PT-EWR-01</t>
  </si>
  <si>
    <t>Wana Hijau Semesta II (L2)</t>
  </si>
  <si>
    <t>Regional Sumbar</t>
  </si>
  <si>
    <t>PT Amp Plantation</t>
  </si>
  <si>
    <t>PT AMP Plantation</t>
  </si>
  <si>
    <t>Wana Hijau Semesta II (WHS II)</t>
  </si>
  <si>
    <t>PT-APM-02</t>
  </si>
  <si>
    <t>Wana Hijau Semesta III (WHS III)</t>
  </si>
  <si>
    <t>PT Inti Melia Felindo</t>
  </si>
  <si>
    <t>PT-IMF-01</t>
  </si>
  <si>
    <t>Wana Hijau Semesta IV</t>
  </si>
  <si>
    <t>Kemitraan Kaliau (KMP)</t>
  </si>
  <si>
    <t>PT Primatama Mulia Jaya</t>
  </si>
  <si>
    <t>PT-PMJ-01</t>
  </si>
  <si>
    <t>Kemitraan Kalimao (Ledo - I)</t>
  </si>
  <si>
    <t>PT Selago Makmur Plantation</t>
  </si>
  <si>
    <t>PT-SMP-01</t>
  </si>
  <si>
    <t>Kemitraan Kumba (Asset)</t>
  </si>
  <si>
    <t>PT Sumaterajaya Agrolestari</t>
  </si>
  <si>
    <t>PT Sumatera Jaya Agro Lestari</t>
  </si>
  <si>
    <t>PT-SJA-02</t>
  </si>
  <si>
    <t>Kemitraan Kumba (Ledo - I)</t>
  </si>
  <si>
    <t>Regional Sumsel</t>
  </si>
  <si>
    <t>Kemitraan Kumba (Ledo - III)</t>
  </si>
  <si>
    <t>PT Bahari Gembira Ria</t>
  </si>
  <si>
    <t>PT-BGR-01</t>
  </si>
  <si>
    <t>Kemitraan Pareh (Ledo - III)</t>
  </si>
  <si>
    <t>PT Aek Tarum</t>
  </si>
  <si>
    <t>PT-ATE-01</t>
  </si>
  <si>
    <t>Kemitraan Santaban (KMP)</t>
  </si>
  <si>
    <t>PT Agro Rawas Ulu</t>
  </si>
  <si>
    <t>Kemitraan Sebunga ( WHS - III)</t>
  </si>
  <si>
    <t>PT-ARU-01</t>
  </si>
  <si>
    <t>PT Bangun Tenera Sriwijaya</t>
  </si>
  <si>
    <t>PT-BTS-01</t>
  </si>
  <si>
    <t>Kemitraan Sei Enau (WHS - IV)</t>
  </si>
  <si>
    <t>PT Banyu Kahuripan Indonesia</t>
  </si>
  <si>
    <t>Kemitraan Sekida (Asset)</t>
  </si>
  <si>
    <t>PT-BKI-01</t>
  </si>
  <si>
    <t>Kemitraan Semanga (WHS - I)</t>
  </si>
  <si>
    <t>PT Berkat Sawit Sejati 1</t>
  </si>
  <si>
    <t>Kemitraan Semanga (WHS - IV)</t>
  </si>
  <si>
    <t>PT-BSS-02</t>
  </si>
  <si>
    <t>Kemitraan Semunying (Ledo - III)</t>
  </si>
  <si>
    <t>PT Berkat Sawit Sejati 2</t>
  </si>
  <si>
    <t>PT-BSS-03</t>
  </si>
  <si>
    <t>Kemitraan Sinar Baru (Ledo - II)</t>
  </si>
  <si>
    <t>PT Bina Sains Cemerlang</t>
  </si>
  <si>
    <t>PT-BSC-01</t>
  </si>
  <si>
    <t>Kemitraan Trans (Teluk Keramat)</t>
  </si>
  <si>
    <t>Kalbar 1B</t>
  </si>
  <si>
    <t>Ceria Prima - I (KSO)</t>
  </si>
  <si>
    <t>PT Budi Tirta &amp; Tirta Agung/Salim Grup</t>
  </si>
  <si>
    <t>PT Lonsum Sukadamai, Budi Tirta, dan Tirta Agung</t>
  </si>
  <si>
    <t>PT-BT&amp;-01</t>
  </si>
  <si>
    <t>Ceria Prima - II (Inti)</t>
  </si>
  <si>
    <t>PT Bumi Persada Permai</t>
  </si>
  <si>
    <t>PT-BPP-01</t>
  </si>
  <si>
    <t>Ceria Prima - II (KSO)</t>
  </si>
  <si>
    <t>Ceria Prima - III (KSO)</t>
  </si>
  <si>
    <t>PT Bumi Sawindo Permai</t>
  </si>
  <si>
    <t>Mitra Wawasan (MWS)</t>
  </si>
  <si>
    <t>PT-BSP-03</t>
  </si>
  <si>
    <t>Persada Alam (PA)</t>
  </si>
  <si>
    <t>PT Bumi Sawit Permai</t>
  </si>
  <si>
    <t>Wirata - III S</t>
  </si>
  <si>
    <t>PT-BSP-04</t>
  </si>
  <si>
    <t>Wirata - I</t>
  </si>
  <si>
    <t>PT Cahaya Cemerlang Lestari</t>
  </si>
  <si>
    <t>Wirata - II A</t>
  </si>
  <si>
    <t>PT-CCL-01</t>
  </si>
  <si>
    <t>Wirata - II S</t>
  </si>
  <si>
    <t>PT Campang Tiga Mukut</t>
  </si>
  <si>
    <t>PT-CTM-01</t>
  </si>
  <si>
    <t>Wirata - III A</t>
  </si>
  <si>
    <t>PT Cangkul Bumi Subur</t>
  </si>
  <si>
    <t>PT-CBS-01</t>
  </si>
  <si>
    <t>Darmex - I</t>
  </si>
  <si>
    <t>PT Ciptatunggal Asri</t>
  </si>
  <si>
    <t>Darmex - II</t>
  </si>
  <si>
    <t>PT-CAI-01</t>
  </si>
  <si>
    <t>Darmex - X</t>
  </si>
  <si>
    <t>PT Citraloka Begawan</t>
  </si>
  <si>
    <t>PT-CBI-02</t>
  </si>
  <si>
    <t>Lestari Alam Raya (LAR)</t>
  </si>
  <si>
    <t>Kemitraaan Sebandut (LAR)</t>
  </si>
  <si>
    <t>PT DendyIndah Makerlestari</t>
  </si>
  <si>
    <t>PT-DME-01</t>
  </si>
  <si>
    <t>Kemitraan Godang Damar (Darmex)</t>
  </si>
  <si>
    <t>Kemitraan Janyat (Darmex)</t>
  </si>
  <si>
    <t>PT Djuanda Sawit Lestari</t>
  </si>
  <si>
    <t>PT-DSL-01</t>
  </si>
  <si>
    <t>PT Ekajaya Multiperkasa</t>
  </si>
  <si>
    <t>PT-EMK-01</t>
  </si>
  <si>
    <t>Kemitraan Kinande (Darmex)</t>
  </si>
  <si>
    <t>Kemitraan Lembah Bawang (Darmex)</t>
  </si>
  <si>
    <t>PT Gunung Meraksa Jaya</t>
  </si>
  <si>
    <t>PT-GMJ-01</t>
  </si>
  <si>
    <t>Kemitraan MDP</t>
  </si>
  <si>
    <t>Kemitraan MW</t>
  </si>
  <si>
    <t>PT Hamita Utama Karsa</t>
  </si>
  <si>
    <t>PT-HUK-01</t>
  </si>
  <si>
    <t>Kemitraan Pelangor (CP - I)</t>
  </si>
  <si>
    <t>PT Hindoli/Cargill Group</t>
  </si>
  <si>
    <t>Kemitraan Semangak (Wirata - II)</t>
  </si>
  <si>
    <t>PT-HCG-01</t>
  </si>
  <si>
    <t>Kemitraan Senangak (CP - I)</t>
  </si>
  <si>
    <t>PT London Sumatera Indonesia Kebun Bebah Kubu Pakaran</t>
  </si>
  <si>
    <t>PT-LSI-01</t>
  </si>
  <si>
    <t>Kemitraan Senangak (CP - II)</t>
  </si>
  <si>
    <t>PT London Sumatera Indonesia Kebun Ketapat Bening</t>
  </si>
  <si>
    <t>Kemitraan Sepantai (Wirata - I)</t>
  </si>
  <si>
    <t>PT-LSI-02</t>
  </si>
  <si>
    <t>Kemitraan Sepuk (CP - III)</t>
  </si>
  <si>
    <t>PT London Sumatera Indonesia Kebun Riam Indah</t>
  </si>
  <si>
    <t>PT-LSI-03</t>
  </si>
  <si>
    <t>Kemitraan Serangan (LAR)</t>
  </si>
  <si>
    <t>PT London Sumatera Indonesia Kebun Sei Kepayang</t>
  </si>
  <si>
    <t>PT-LSI-04</t>
  </si>
  <si>
    <t>Kemitraan Seret Ayon (Darmex)</t>
  </si>
  <si>
    <t>Kemitraan Tebuah Elok (LPA)</t>
  </si>
  <si>
    <t>PT London Sumatera Indonesia Sei Gemang</t>
  </si>
  <si>
    <t>Kalbar 2</t>
  </si>
  <si>
    <t>PT-LSI-05</t>
  </si>
  <si>
    <t>Agronusa Investama</t>
  </si>
  <si>
    <t>Aria Hijau Alam Lestari</t>
  </si>
  <si>
    <t>PT London Sumatera Indonesia Sei Lakitan, Margo Sido, &amp; Pelita Jaya</t>
  </si>
  <si>
    <t>PT-LSI-06</t>
  </si>
  <si>
    <t>Cahaya Putih Energi Alam</t>
  </si>
  <si>
    <t>Fajar Saudara Lestari</t>
  </si>
  <si>
    <t>PT Lonsum Sumatera</t>
  </si>
  <si>
    <t>PT-LSO-01</t>
  </si>
  <si>
    <t>Gerbang Benua Raya</t>
  </si>
  <si>
    <t>PT Marga Agro Sejahtera</t>
  </si>
  <si>
    <t>PT-MAS-02</t>
  </si>
  <si>
    <t>Karya Boga Kusuma</t>
  </si>
  <si>
    <t>Keliau Mas Perkasa</t>
  </si>
  <si>
    <t>PT Mata Rantai Nusantara (Proteksindo)</t>
  </si>
  <si>
    <t>PT-MRN-01</t>
  </si>
  <si>
    <t>Mempawah Permai Lestari</t>
  </si>
  <si>
    <t>PT Mentari Sumur Abadi</t>
  </si>
  <si>
    <t>PT-MSA-01</t>
  </si>
  <si>
    <t>Mitra Inti Sejati Plantation</t>
  </si>
  <si>
    <t>PT Mitra Ogan</t>
  </si>
  <si>
    <t>Nusantara Sarana Alam</t>
  </si>
  <si>
    <t>PT-MOI-01</t>
  </si>
  <si>
    <t>Palmade Agrosia Lestari</t>
  </si>
  <si>
    <t>PT Musi Banyuasin Indah 1</t>
  </si>
  <si>
    <t>PT-MBI-01</t>
  </si>
  <si>
    <t>Patiware</t>
  </si>
  <si>
    <t>PT Musi Banyuasin Indah 2</t>
  </si>
  <si>
    <t>Rana Wastu Kencana</t>
  </si>
  <si>
    <t>PT-MBI-02</t>
  </si>
  <si>
    <t>Rezeki Kencana</t>
  </si>
  <si>
    <t>PT Musi Hutan Persada</t>
  </si>
  <si>
    <t>PT-MHP-01</t>
  </si>
  <si>
    <t>Satria Multi Sukses</t>
  </si>
  <si>
    <t>PT Mutiara Bunda Jaya</t>
  </si>
  <si>
    <t>PT-MBJ-01</t>
  </si>
  <si>
    <t>Tanjung Rhu Plantation And Product</t>
  </si>
  <si>
    <t>PT Pelangi Intipertiwi</t>
  </si>
  <si>
    <t>PT-PIE-01</t>
  </si>
  <si>
    <t>Tebar Tandan Tenerah</t>
  </si>
  <si>
    <t>PT Perkebunan Hasil Musi Lestari</t>
  </si>
  <si>
    <t>PT-PHM-01</t>
  </si>
  <si>
    <t>Tsjafiuddin</t>
  </si>
  <si>
    <t>PT Perkebunan Nusantara VII</t>
  </si>
  <si>
    <t>PT-PNV-02</t>
  </si>
  <si>
    <t>Wawasan Kebun Nusantara</t>
  </si>
  <si>
    <t>Agro Palindo Sakti</t>
  </si>
  <si>
    <t>PT Pp London Sumatera - Arta Kencana</t>
  </si>
  <si>
    <t>PT-PLS-01</t>
  </si>
  <si>
    <t>Agrolestari Kencana Makmur</t>
  </si>
  <si>
    <t>PT Pp London Sumatera - Gunung Bais</t>
  </si>
  <si>
    <t>PT-PLS-02</t>
  </si>
  <si>
    <t>Bintang Permata Khatulistiwa</t>
  </si>
  <si>
    <t>Bonti Permai Jaya Raya</t>
  </si>
  <si>
    <t>PT Pusakasinar Dianabadi</t>
  </si>
  <si>
    <t>PT-PDU-01</t>
  </si>
  <si>
    <t>Borneo Ketapang Permai</t>
  </si>
  <si>
    <t>Buana Hijau Abadi</t>
  </si>
  <si>
    <t>PT Sampoerna Agro</t>
  </si>
  <si>
    <t>Citra Nusa Inti Sawit</t>
  </si>
  <si>
    <t>PT Sentosa Agri Prima</t>
  </si>
  <si>
    <t>PT-SAP-01</t>
  </si>
  <si>
    <t>Kalimantan Bina Permai</t>
  </si>
  <si>
    <t>Kebun Ganda Prima</t>
  </si>
  <si>
    <t>PT Sumber Wangi Alam</t>
  </si>
  <si>
    <t>PT-SWA-01</t>
  </si>
  <si>
    <t>Khatulistiwa Agro Abadi</t>
  </si>
  <si>
    <t>PT Surya Bumi Agro Langgeng</t>
  </si>
  <si>
    <t>Parna Agromas</t>
  </si>
  <si>
    <t>PT-SBA-02</t>
  </si>
  <si>
    <t>Perkebunan Nusantara V</t>
  </si>
  <si>
    <t>PT Sutopo Jaya Lestari</t>
  </si>
  <si>
    <t>Pulau Tiga Lestari Jaya</t>
  </si>
  <si>
    <t>PT Sutopo Lestari Jaya</t>
  </si>
  <si>
    <t>PT-SLJ-01</t>
  </si>
  <si>
    <t>Ratubadis Adhi Perkasa</t>
  </si>
  <si>
    <t>Riau Agrotama Plantation</t>
  </si>
  <si>
    <t>PT Swadaya Bhakti Negaramas</t>
  </si>
  <si>
    <t>PT-SBN-01</t>
  </si>
  <si>
    <t>Satria Manunggal Sejahtera</t>
  </si>
  <si>
    <t>PT Swadaya Bhakti Negaramas (Sbn)</t>
  </si>
  <si>
    <t>Sedjahtera Indo Agro</t>
  </si>
  <si>
    <t>PT-SBN-02</t>
  </si>
  <si>
    <t>Sepanjang Inti Surya Utama 2</t>
  </si>
  <si>
    <t>PT Syarifudin, MT (Kuang Suri)</t>
  </si>
  <si>
    <t>PT-SMK-01</t>
  </si>
  <si>
    <t>PT Telaga Hikmah</t>
  </si>
  <si>
    <t>Sinar Dinamika Kapuas</t>
  </si>
  <si>
    <t>PT-THE-01</t>
  </si>
  <si>
    <t>Aditya Agroindo</t>
  </si>
  <si>
    <t>PT Trimata Benua</t>
  </si>
  <si>
    <t>PT-TBR-01</t>
  </si>
  <si>
    <t>Agriplus (Bumitama Gunajaya)</t>
  </si>
  <si>
    <t>CRO 6</t>
  </si>
  <si>
    <t>Agrolestari Mandiri</t>
  </si>
  <si>
    <t>Regional Kalbar 1</t>
  </si>
  <si>
    <t>PT Asset Pacific International</t>
  </si>
  <si>
    <t>Asset</t>
  </si>
  <si>
    <t>KB-ASS-01</t>
  </si>
  <si>
    <t>Berkat Nabati Sejahtera</t>
  </si>
  <si>
    <t>Semunying</t>
  </si>
  <si>
    <t>KB-SEM-01</t>
  </si>
  <si>
    <t>Falcon Agripersada</t>
  </si>
  <si>
    <t>Gunajaya Karya Gemilang</t>
  </si>
  <si>
    <t>Plasma Kumba (Asset)</t>
  </si>
  <si>
    <t>KB-PKA-01</t>
  </si>
  <si>
    <t>Plasma Sekida (Asset)</t>
  </si>
  <si>
    <t>KB-PSA-01</t>
  </si>
  <si>
    <t>Harapan Sawit Lestari</t>
  </si>
  <si>
    <t>Indo Sawit Kekal</t>
  </si>
  <si>
    <t>Wirata - IV (Asset - II)</t>
  </si>
  <si>
    <t>KB-WIA-01</t>
  </si>
  <si>
    <t>Mandiri Kapital Jaya</t>
  </si>
  <si>
    <t>Prakarsa Tani Sejati</t>
  </si>
  <si>
    <t>PT Bekatik*</t>
  </si>
  <si>
    <t>Umekah Sari Pratama</t>
  </si>
  <si>
    <t>PT-BEK-01</t>
  </si>
  <si>
    <t>CRO VII</t>
  </si>
  <si>
    <t>Kalsel 1</t>
  </si>
  <si>
    <t>Cakung Permata Nusa (Astra Agro lestari)</t>
  </si>
  <si>
    <t>PT Bengkayang Subur</t>
  </si>
  <si>
    <t>PT-BSE-01</t>
  </si>
  <si>
    <t>Jaya Mandiri Sukses</t>
  </si>
  <si>
    <t>PT Bukit Jago Indah</t>
  </si>
  <si>
    <t>Bukit Jagoi Indah</t>
  </si>
  <si>
    <t>KB-BJI-01</t>
  </si>
  <si>
    <t>Koperasi Agro Borneo Corps (ABC)</t>
  </si>
  <si>
    <t>PT Ceria Prima</t>
  </si>
  <si>
    <t>CP - I</t>
  </si>
  <si>
    <t>KB-CIP-01</t>
  </si>
  <si>
    <t>Manunggal Adi Jaya</t>
  </si>
  <si>
    <t>CP - II</t>
  </si>
  <si>
    <t>KB-CIP-02</t>
  </si>
  <si>
    <t>Saka Kencana Sejahtera</t>
  </si>
  <si>
    <t>CP - III</t>
  </si>
  <si>
    <t>KB-CIP-03</t>
  </si>
  <si>
    <t>Plasma Pelangor (CP - I)</t>
  </si>
  <si>
    <t>Singaland Asetama</t>
  </si>
  <si>
    <t>KB-PPC-01</t>
  </si>
  <si>
    <t>Plasma Senangak (CP - I)</t>
  </si>
  <si>
    <t>KB-PSC-01</t>
  </si>
  <si>
    <t>Suryabumi Tunggal Perkasa</t>
  </si>
  <si>
    <t>Kalsel 2</t>
  </si>
  <si>
    <t>Bersama Sejahtera Sakti (Minamas)</t>
  </si>
  <si>
    <t>Plasma Senangak (CP - II)</t>
  </si>
  <si>
    <t>KB-PSC-02</t>
  </si>
  <si>
    <t>Buana Karya Bhakti</t>
  </si>
  <si>
    <t>Citra Putra Kebun Asri</t>
  </si>
  <si>
    <t>Plasma Sepuk (CP - III)</t>
  </si>
  <si>
    <t>KB-PSC-03</t>
  </si>
  <si>
    <t>Indoraya Everlatex</t>
  </si>
  <si>
    <t>Ladang Rumpun Subur Abadi</t>
  </si>
  <si>
    <t>PT Darmex Agro</t>
  </si>
  <si>
    <t>KB-DIA-01</t>
  </si>
  <si>
    <t>Sajang Heulang Mustika</t>
  </si>
  <si>
    <t>KB-DIA-02</t>
  </si>
  <si>
    <t>Smart Tbk (Sinarmas)</t>
  </si>
  <si>
    <t>Alamraya Kencana Mas</t>
  </si>
  <si>
    <t>KB-DXA-01</t>
  </si>
  <si>
    <t>Laguna Mandiri (Minamas)</t>
  </si>
  <si>
    <t>Langgeng Muara Makmur (Minamas)</t>
  </si>
  <si>
    <t>Plasma Kinande (Darmex)</t>
  </si>
  <si>
    <t>KB-PKD-01</t>
  </si>
  <si>
    <t>Swadaya Andika (Minamas)</t>
  </si>
  <si>
    <t>Plasma Godang Damar (Darmex)</t>
  </si>
  <si>
    <t>KB-PGD-01</t>
  </si>
  <si>
    <t>Tapian Nadenggan (Sinarmas)</t>
  </si>
  <si>
    <t>Plasma Janyat (Darmex)</t>
  </si>
  <si>
    <t>Kaltara</t>
  </si>
  <si>
    <t>KB-PJD-01</t>
  </si>
  <si>
    <t>Bulungan Hijau Perkasa</t>
  </si>
  <si>
    <t>Karangjuang Hijau Lestari</t>
  </si>
  <si>
    <t>Plasma Lembah Bawang (Darmex)</t>
  </si>
  <si>
    <t>KB-PLB-01</t>
  </si>
  <si>
    <t>Tirta Madu Sawit Jaya</t>
  </si>
  <si>
    <t>Plasma Seret Ayon (Darmex)</t>
  </si>
  <si>
    <t>KB-PSA-02</t>
  </si>
  <si>
    <t>Kaltim</t>
  </si>
  <si>
    <t>Agro Bumi Kaltim</t>
  </si>
  <si>
    <t>PT Dumai Inti Utama</t>
  </si>
  <si>
    <t>Agro Indomas East Kalimantan</t>
  </si>
  <si>
    <t>PT-DIU-01</t>
  </si>
  <si>
    <t>PT Kaliau Mas Perkasa*</t>
  </si>
  <si>
    <t>KMPA</t>
  </si>
  <si>
    <t>Agro Inti Kencana Mas</t>
  </si>
  <si>
    <t>KB-KMP-01</t>
  </si>
  <si>
    <t>Amalia Hani Sejahtera</t>
  </si>
  <si>
    <t>KMPB</t>
  </si>
  <si>
    <t>KB-KMP-02</t>
  </si>
  <si>
    <t>Anugerah Abadi Multi Usaha</t>
  </si>
  <si>
    <t>Plasma Kaliau</t>
  </si>
  <si>
    <t>KB-PKL-01</t>
  </si>
  <si>
    <t>Anugerah Energitama</t>
  </si>
  <si>
    <t>Plasma Santaban</t>
  </si>
  <si>
    <t>KB-PSL-01</t>
  </si>
  <si>
    <t>Anugerah Kebun Mandiri</t>
  </si>
  <si>
    <t>PT Ledo Lestari</t>
  </si>
  <si>
    <t>KB-LIE-01</t>
  </si>
  <si>
    <t>Anugerah Lahan Kaltim</t>
  </si>
  <si>
    <t>KB-LIE-02</t>
  </si>
  <si>
    <t>Bima Palma Nugraha</t>
  </si>
  <si>
    <t>Borneo Indah Marjaya</t>
  </si>
  <si>
    <t>Ledo - III</t>
  </si>
  <si>
    <t>KB-LIE-03</t>
  </si>
  <si>
    <t>Bumi Mulia Makmur Lestari</t>
  </si>
  <si>
    <t>Cahaya Anugerah Plantation</t>
  </si>
  <si>
    <t>Plasma Kalimao (Ledo - I)</t>
  </si>
  <si>
    <t>Cipta Palma Pertiwi*</t>
  </si>
  <si>
    <t>KB-PKL-02</t>
  </si>
  <si>
    <t>Dinamika Prima Artha</t>
  </si>
  <si>
    <t>Gunta Samba</t>
  </si>
  <si>
    <t>Plasma Kumba (Ledo - I)</t>
  </si>
  <si>
    <t>KB-PKL-03</t>
  </si>
  <si>
    <t>Jabontara Eka Karsa</t>
  </si>
  <si>
    <t>Plasma Sinar Baru (Ledo - II)</t>
  </si>
  <si>
    <t>KB-PSB-01</t>
  </si>
  <si>
    <t>Jaya Mandiri Sukses (Kaltim)</t>
  </si>
  <si>
    <t>Kalpataru Sawit Plantation</t>
  </si>
  <si>
    <t>Plasma Pareh (Ledo - III)</t>
  </si>
  <si>
    <t>KB-PPL-01</t>
  </si>
  <si>
    <t>Karya Bhakti Sejahtera Agrotama</t>
  </si>
  <si>
    <t>Plasma Semunying (Ledo - III)</t>
  </si>
  <si>
    <t>Karya Nusa Ekadaya</t>
  </si>
  <si>
    <t>KB-PSL-02</t>
  </si>
  <si>
    <t>Plasma Kumba (Ledo - III)</t>
  </si>
  <si>
    <t>KB-PKL-04</t>
  </si>
  <si>
    <t>Karya Prima Agro Sejahtera</t>
  </si>
  <si>
    <t>Ketapang Agro Lestari*</t>
  </si>
  <si>
    <t>PT Lestari Alam Raya</t>
  </si>
  <si>
    <t>LAR</t>
  </si>
  <si>
    <t>KB-LAR-01</t>
  </si>
  <si>
    <t>Ketapang Hijau Lestari</t>
  </si>
  <si>
    <t>Kota Bangun Plantation</t>
  </si>
  <si>
    <t>Plasma Sebandut (LAR)</t>
  </si>
  <si>
    <t>Kresna Duta Indo</t>
  </si>
  <si>
    <t>KB-PSL-03</t>
  </si>
  <si>
    <t>Kutai Inti Utama</t>
  </si>
  <si>
    <t>Kutai Sawit Plantation</t>
  </si>
  <si>
    <t>Plasma Sarangan (LAR)</t>
  </si>
  <si>
    <t>KB-PSL-04</t>
  </si>
  <si>
    <t>Long Bagun Prima Sawit</t>
  </si>
  <si>
    <t>Mahakam Sawit Plantation</t>
  </si>
  <si>
    <t>Malaya Sawit Khatulistiwa</t>
  </si>
  <si>
    <t>PT Lestari Persada Alam*</t>
  </si>
  <si>
    <t>LPA</t>
  </si>
  <si>
    <t>KB-LPA-01</t>
  </si>
  <si>
    <t>Mitra Bangga Utama</t>
  </si>
  <si>
    <t>Muara Kaman Sawit Sejahtera</t>
  </si>
  <si>
    <t>Plasma LPA</t>
  </si>
  <si>
    <t>KB-PLL-01</t>
  </si>
  <si>
    <t>Multi Pasific International</t>
  </si>
  <si>
    <t>Nusa Lestari</t>
  </si>
  <si>
    <t>PT Mitra Daya Prima</t>
  </si>
  <si>
    <t>Plasma MDP</t>
  </si>
  <si>
    <t>KB-PML-01</t>
  </si>
  <si>
    <t>Perkebunan Nusantara XIII</t>
  </si>
  <si>
    <t>PT Mitra Wawasan</t>
  </si>
  <si>
    <t>Preya Sawit Makmur</t>
  </si>
  <si>
    <t>PT-MWI-01</t>
  </si>
  <si>
    <t>Rea Kaltim Plantation</t>
  </si>
  <si>
    <t>Mitra Wawasan</t>
  </si>
  <si>
    <t>KB-MWI-01</t>
  </si>
  <si>
    <t>Saraswanti Sawit Makmur</t>
  </si>
  <si>
    <t>Sasana Yudha Bhakti</t>
  </si>
  <si>
    <t>Plasma MW</t>
  </si>
  <si>
    <t>KB-PML-02</t>
  </si>
  <si>
    <t>Sawit Khatulistiwa Plantation</t>
  </si>
  <si>
    <t>Plasma Trans</t>
  </si>
  <si>
    <t>KB-PTL-01</t>
  </si>
  <si>
    <t>Setia Agro Utama</t>
  </si>
  <si>
    <t>PT Serawak*</t>
  </si>
  <si>
    <t>PT-SER-01</t>
  </si>
  <si>
    <t>Shabantara Rawi Sentosa</t>
  </si>
  <si>
    <t>PT Teluk Keramat*</t>
  </si>
  <si>
    <t>Teluk Keramat</t>
  </si>
  <si>
    <t>KB-TKE-01</t>
  </si>
  <si>
    <t>Sima Agung Prima</t>
  </si>
  <si>
    <t>PT Wana Hijau Semesta</t>
  </si>
  <si>
    <t>WHS - I</t>
  </si>
  <si>
    <t>Tapian Nadenggan* (Kaltim)</t>
  </si>
  <si>
    <t>KB-WIH-01</t>
  </si>
  <si>
    <t>Teguh Swakarsa Sejahtera</t>
  </si>
  <si>
    <t>WHS - II</t>
  </si>
  <si>
    <t>KB-WIH-02</t>
  </si>
  <si>
    <t>Telen</t>
  </si>
  <si>
    <t>Telen Prima Sawit</t>
  </si>
  <si>
    <t>WHS - II (L1)</t>
  </si>
  <si>
    <t>KB-WIL-01</t>
  </si>
  <si>
    <t>Tri Tunggal Sentra Buana</t>
  </si>
  <si>
    <t>Tunas Prima Sejahtera</t>
  </si>
  <si>
    <t>WHS - II (L2)</t>
  </si>
  <si>
    <t>KB-WIL-02</t>
  </si>
  <si>
    <t>Wahana Tritunggal Cemerlang</t>
  </si>
  <si>
    <t>CRO VIII</t>
  </si>
  <si>
    <t>WHS - III</t>
  </si>
  <si>
    <t>Kalteng 1</t>
  </si>
  <si>
    <t>KB-WIH-03</t>
  </si>
  <si>
    <t>Andalan Sukses Makmur (Bga)</t>
  </si>
  <si>
    <t>Bahaur Era Sawit Tama</t>
  </si>
  <si>
    <t>WHS - IV</t>
  </si>
  <si>
    <t>KB-WIH-04</t>
  </si>
  <si>
    <t>Bangkitgiat Usaha Mandiri</t>
  </si>
  <si>
    <t>Berkah Alam Fajar Mas</t>
  </si>
  <si>
    <t>Plasma Semanga (WHS - I)</t>
  </si>
  <si>
    <t>KB-PSW-01</t>
  </si>
  <si>
    <t>Borneo Eka Sawit Tangguh</t>
  </si>
  <si>
    <t>Bumitama Gunajaya Abadi (Bga)</t>
  </si>
  <si>
    <t>Plasma Semanga (WHS - IV)</t>
  </si>
  <si>
    <t>KB-PSW-02</t>
  </si>
  <si>
    <t>Fajar Bumi Nabatindo (Bga)</t>
  </si>
  <si>
    <t>Plasma Sebunga (WHS - II)</t>
  </si>
  <si>
    <t>Gemilang Subur Maju (Bga)</t>
  </si>
  <si>
    <t>KB-PSW-03</t>
  </si>
  <si>
    <t>Karya Luhur Sejati</t>
  </si>
  <si>
    <t>Plasma Sei Enau (WHS - IV)</t>
  </si>
  <si>
    <t>KB-PSE-01</t>
  </si>
  <si>
    <t>Karya Makmur Bahagia (Bga)</t>
  </si>
  <si>
    <t>PT Wirata Daya Bangun Persada</t>
  </si>
  <si>
    <t>Kereng Pangi Perdana</t>
  </si>
  <si>
    <t>KB-WII-01</t>
  </si>
  <si>
    <t>Langgeng Bakti Persada</t>
  </si>
  <si>
    <t>Wirata - II</t>
  </si>
  <si>
    <t>KB-WII-02</t>
  </si>
  <si>
    <t>Mitra Agro Persada Abadi (Msal Group)</t>
  </si>
  <si>
    <t>KB-WIS-01</t>
  </si>
  <si>
    <t>Nabatindo Karya Utama (Bga)</t>
  </si>
  <si>
    <t>Persada Era Agro Kencana (Msal Group)</t>
  </si>
  <si>
    <t>Wirata - III</t>
  </si>
  <si>
    <t>KB-WII-03</t>
  </si>
  <si>
    <t>Persada Sejahtera Agro Makmur (Msal Group)</t>
  </si>
  <si>
    <t>KB-WIS-02</t>
  </si>
  <si>
    <t>Suryamas Cipta Perkasa 1</t>
  </si>
  <si>
    <t>Plasma Sepantai (Wirata - I)</t>
  </si>
  <si>
    <t>KB-PSW-04</t>
  </si>
  <si>
    <t>Suryamas Cipta Perkasa 2</t>
  </si>
  <si>
    <t>Plasma Semangak (Wirata - III)</t>
  </si>
  <si>
    <t>KB-PSW-05</t>
  </si>
  <si>
    <t>Tanah Tani Lestari (Bga)</t>
  </si>
  <si>
    <t>Wahana Agrotama Makmur Perkasa</t>
  </si>
  <si>
    <t>Regional Kalbar 2</t>
  </si>
  <si>
    <t>PT Aditya Agroindo</t>
  </si>
  <si>
    <t>PT-AAD-01</t>
  </si>
  <si>
    <t>Windu Nabantindo Sejahtera (Bga)</t>
  </si>
  <si>
    <t>PT Agriplus (Bumitama Gunajaya)</t>
  </si>
  <si>
    <t>PT Agriplus</t>
  </si>
  <si>
    <t>PT-AGR-01</t>
  </si>
  <si>
    <t>Windu Nabatindo Abadi (Bga)</t>
  </si>
  <si>
    <t>PT Agro Palindo Sakti</t>
  </si>
  <si>
    <t>Windu Nabatindo Lestari (Bga)</t>
  </si>
  <si>
    <t>PT-APS-01</t>
  </si>
  <si>
    <t>Agro Kalimantan Lestari</t>
  </si>
  <si>
    <t>PT Agrolestari Kencana Makmur</t>
  </si>
  <si>
    <t>PT-AKM-01</t>
  </si>
  <si>
    <t>Arjuna Utama Sawit</t>
  </si>
  <si>
    <t>Bisma Dharma Kencana</t>
  </si>
  <si>
    <t>PT Agrolestari Mandiri</t>
  </si>
  <si>
    <t>PT-AMG-01</t>
  </si>
  <si>
    <t>Hampalit Jaya</t>
  </si>
  <si>
    <t>Harapan Subur Lestari</t>
  </si>
  <si>
    <t>PT Agronusa Investama</t>
  </si>
  <si>
    <t>PT-AIG-02</t>
  </si>
  <si>
    <t>Intaran Permai</t>
  </si>
  <si>
    <t>PT Airlangga Sawit Jaya (PT Cahaya Putih Energi Alam)</t>
  </si>
  <si>
    <t>PT Cahaya Putih Energi Alam</t>
  </si>
  <si>
    <t>Kalimantan Hijau Sentosa</t>
  </si>
  <si>
    <t>PT-CPE-01</t>
  </si>
  <si>
    <t>Karya Dewi Putra</t>
  </si>
  <si>
    <t>PT Andes Sawit Lestari</t>
  </si>
  <si>
    <t>PT-ASL-01</t>
  </si>
  <si>
    <t>Katingan Sawit Bersama</t>
  </si>
  <si>
    <t>Koperasi Sepan Raya</t>
  </si>
  <si>
    <t>Menara Tunggal Perkasa</t>
  </si>
  <si>
    <t>PT Aria Hijau Alam Lestari</t>
  </si>
  <si>
    <t>Menteng Kencana Mas</t>
  </si>
  <si>
    <t>PT-AHA-01</t>
  </si>
  <si>
    <t>Mitra Jaya Cemerlang</t>
  </si>
  <si>
    <t>PT Berkat Nabati Sejahtera</t>
  </si>
  <si>
    <t>PT-BNS-01</t>
  </si>
  <si>
    <t>Putra Katingan Pratama</t>
  </si>
  <si>
    <t>Raya Sejahtera Plantation</t>
  </si>
  <si>
    <t>PT Bintang Permata Khatulistiwa</t>
  </si>
  <si>
    <t>PT-BPK-01</t>
  </si>
  <si>
    <t>Sapta Karya Damai</t>
  </si>
  <si>
    <t>Sejahtera Aman Selaras</t>
  </si>
  <si>
    <t>PT Bonti Permai Jaya Raya</t>
  </si>
  <si>
    <t>PT-BPJ-01</t>
  </si>
  <si>
    <t>Adhyaksa Dharmasatya</t>
  </si>
  <si>
    <t>Buana Adhitama (Sinarmas Group)</t>
  </si>
  <si>
    <t>PT Borneo Edo International Agro</t>
  </si>
  <si>
    <t>PT-BEI-01</t>
  </si>
  <si>
    <t>Bumihutani Lestari</t>
  </si>
  <si>
    <t>Dinamika Alam Segar</t>
  </si>
  <si>
    <t>PT Borneo Ketapang Permai*</t>
  </si>
  <si>
    <t>PT Borneo Ketapang Permai</t>
  </si>
  <si>
    <t>PT-BKP-01</t>
  </si>
  <si>
    <t>PT Buana Hijau Abadi</t>
  </si>
  <si>
    <t>PT-BHA-01</t>
  </si>
  <si>
    <t>Hutan Sawit Lestari</t>
  </si>
  <si>
    <t>Intiga Prabakara Kahuripan (Dhanistha Group)</t>
  </si>
  <si>
    <t>PT Bumi Alam Sentosa</t>
  </si>
  <si>
    <t>PT-BAS-03</t>
  </si>
  <si>
    <t>Katingan Indah Utama</t>
  </si>
  <si>
    <t>PT Bumi Sawit Sejahtera</t>
  </si>
  <si>
    <t>PT-BSS-06</t>
  </si>
  <si>
    <t>Koperasi Antang Dahiang (PT Hsl)</t>
  </si>
  <si>
    <t>PT Charindo Palma Oetama</t>
  </si>
  <si>
    <t>PT-CPO-01</t>
  </si>
  <si>
    <t>Koperasi Anugerah Baampah (PT KIU) Makin</t>
  </si>
  <si>
    <t>Koperasi Berkat Tehang (PT WYK) Makin</t>
  </si>
  <si>
    <t>PT Citra Nusa Indomakmur</t>
  </si>
  <si>
    <t>PT-CNI-01</t>
  </si>
  <si>
    <t>Koperasi Bina Tani (Makin)</t>
  </si>
  <si>
    <t>PT Citra Nusa Inti Sawit</t>
  </si>
  <si>
    <t>PT-CNI-02</t>
  </si>
  <si>
    <t>Koperasi Bukit Lestari (PT KIU) Makin</t>
  </si>
  <si>
    <t>PT Fajar Saudara Lestari</t>
  </si>
  <si>
    <t>PT-FSL-01</t>
  </si>
  <si>
    <t>Koperasi Cempaga Perkasa (PT WYK) Makin</t>
  </si>
  <si>
    <t>Koperasi Ela Laya (PT SISK) Makin</t>
  </si>
  <si>
    <t>PT Falcon Agripersada</t>
  </si>
  <si>
    <t>PT-FAA-01</t>
  </si>
  <si>
    <t>PT Gerbang Benua Raya</t>
  </si>
  <si>
    <t>Koperasi Harapan Bersama (PT KIU) Makin</t>
  </si>
  <si>
    <t>PT-GBR-01</t>
  </si>
  <si>
    <t>Koperasi Harapan Itah (PT Hsl)</t>
  </si>
  <si>
    <t>PT Gunajaya Karya Gemilang</t>
  </si>
  <si>
    <t>PT-GKG-01</t>
  </si>
  <si>
    <t>PT Harapan Sawit</t>
  </si>
  <si>
    <t>Koperasi Harapan Sentosa (PT KIU) Makin</t>
  </si>
  <si>
    <t>PT Harapan Sawit Lestari</t>
  </si>
  <si>
    <t>PT-HSL-01</t>
  </si>
  <si>
    <t>PT Indo Sawit Kekal</t>
  </si>
  <si>
    <t>Koperasi Hidup Lestari (PT SISK) Makin</t>
  </si>
  <si>
    <t>PT-ISK-01</t>
  </si>
  <si>
    <t>Koperasi Isen Mulang (PT KIU) Makin</t>
  </si>
  <si>
    <t>PT Inti Sarana Makmur</t>
  </si>
  <si>
    <t>PT-ISM-01</t>
  </si>
  <si>
    <t>PT Kalimantan Bina Permai</t>
  </si>
  <si>
    <t>Koperasi Jaya Makmur (PT Hsl)</t>
  </si>
  <si>
    <t>PT-KBP-01</t>
  </si>
  <si>
    <t>PT Karya Boga Kusuma</t>
  </si>
  <si>
    <t>Koperasi Karya Tani (PT KIU) Makin</t>
  </si>
  <si>
    <t>PT KARYA BOGA KUSUMA</t>
  </si>
  <si>
    <t>PT-KBK-01</t>
  </si>
  <si>
    <t>Koperasi Karya Tualan Lestari (PT Hsl)</t>
  </si>
  <si>
    <t>PT Kebun Ganda Prima</t>
  </si>
  <si>
    <t>Koperasi Keluarga Mandiri</t>
  </si>
  <si>
    <t>PT-KGP-01</t>
  </si>
  <si>
    <t>PT Keliau Mas Perkasa</t>
  </si>
  <si>
    <t>Koperasi Melati Hanjalipan (PT WYK) Makin</t>
  </si>
  <si>
    <t>PT Kaliau Mas Perkasa</t>
  </si>
  <si>
    <t>PT-KMP-01</t>
  </si>
  <si>
    <t>Koperasi Mentaya Raya (PT KIU) Makin</t>
  </si>
  <si>
    <t>Koperasi Pamalian Bauntung (PT WYK) Makin</t>
  </si>
  <si>
    <t>PT Khatulistiwa Agro Abadi</t>
  </si>
  <si>
    <t>PT-KAA-01</t>
  </si>
  <si>
    <t>Koperasi Panca Karya (PT SISK) Makin</t>
  </si>
  <si>
    <t>PT Mandiri Kapital Jaya</t>
  </si>
  <si>
    <t>PT-MKJ-01</t>
  </si>
  <si>
    <t>Koperasi Petak Sembuyan (PT Hsl)</t>
  </si>
  <si>
    <t>PT Mempawah Permai Lestari</t>
  </si>
  <si>
    <t>PT-MPL-01</t>
  </si>
  <si>
    <t>Koperasi Putra Mangkikit Jaya</t>
  </si>
  <si>
    <t>PT Mitra Inti Sejati Plantation</t>
  </si>
  <si>
    <t>PT-MIS-02</t>
  </si>
  <si>
    <t>Koperasi Santana Bersatu (PT KIU) Makin</t>
  </si>
  <si>
    <t>PT Multi Agro Gemilang Plantation</t>
  </si>
  <si>
    <t>PT-MAG-01</t>
  </si>
  <si>
    <t>Koperasi Sawit Kabuau Indah (PT KIU) Makin</t>
  </si>
  <si>
    <t>PT Nusantara Sarana Alam*</t>
  </si>
  <si>
    <t>PT Nusantara Sarana Alam</t>
  </si>
  <si>
    <t>Koperasi Sinar Bahagia (PT KIU) Makin</t>
  </si>
  <si>
    <t>PT-NSA-01</t>
  </si>
  <si>
    <t>Koperasi Suka Maju (PT SISK) Makin</t>
  </si>
  <si>
    <t>PT Palma Agro Makmur</t>
  </si>
  <si>
    <t>Koperasi Sumber Alam (PT SISK) Makin</t>
  </si>
  <si>
    <t>PT-PAM-01</t>
  </si>
  <si>
    <t>Koperasi Sumber Makmur (PT Hsl)</t>
  </si>
  <si>
    <t>PT Palmdale Agrosia Lestari*</t>
  </si>
  <si>
    <t>PT Palmdale Agrosia Lestari</t>
  </si>
  <si>
    <t>PT-PAL-02</t>
  </si>
  <si>
    <t>Koperasi Tunas Harapan (PT KIU) Makin</t>
  </si>
  <si>
    <t>Koperasi Tunas Jaya (PT KIU) Makin</t>
  </si>
  <si>
    <t>PT Parna Agromas</t>
  </si>
  <si>
    <t>PT-PAA-01</t>
  </si>
  <si>
    <t>Mukti Sawit Kahuripan</t>
  </si>
  <si>
    <t>Sarana Prima Multi Niaga</t>
  </si>
  <si>
    <t>PT Patiware</t>
  </si>
  <si>
    <t>PT-PAT-01</t>
  </si>
  <si>
    <t>Sinar Citra Cemerlang</t>
  </si>
  <si>
    <t>Surya Inti Sawit Kahuripan</t>
  </si>
  <si>
    <t>Swadaya Sapta Putra 1</t>
  </si>
  <si>
    <t>PT Perkebunan Anak Negeri Pasaman 1</t>
  </si>
  <si>
    <t>PT-PAN-01</t>
  </si>
  <si>
    <t>Swadaya Sapta Putra 2</t>
  </si>
  <si>
    <t>Tunas Agro Subur Kencana</t>
  </si>
  <si>
    <t>Unggul Lestari (Musim Mas)</t>
  </si>
  <si>
    <t>PT Perkebunan Anak Negeri Pasaman 2</t>
  </si>
  <si>
    <t>PT-PAN-02</t>
  </si>
  <si>
    <t>Uni Primacom</t>
  </si>
  <si>
    <t>Wana Yasa Kahuripan</t>
  </si>
  <si>
    <t>Agro Bukit</t>
  </si>
  <si>
    <t>PT Perkebunan Nusantara V</t>
  </si>
  <si>
    <t>PT-PNV-01</t>
  </si>
  <si>
    <t>Agro Wana Lestari</t>
  </si>
  <si>
    <t>Borneo Sawit Perdana</t>
  </si>
  <si>
    <t>PT Prakarsa Tani Sejati</t>
  </si>
  <si>
    <t>PT-PTS-01</t>
  </si>
  <si>
    <t>Bumi Sawit Kencana (Wilmar Group)</t>
  </si>
  <si>
    <t>Globalindo Alam Perkasa (Musim Mas)</t>
  </si>
  <si>
    <t>PT Prakarsa Wiranata</t>
  </si>
  <si>
    <t>PT-PWR-01</t>
  </si>
  <si>
    <t>Hamparan Masawit Bangun Persada</t>
  </si>
  <si>
    <t>Karunia Kencana Permaisejati (Wilmar Group)</t>
  </si>
  <si>
    <t>PT Primanusa Mitra Serasi (Karya Mas)</t>
  </si>
  <si>
    <t>PT Primanusa Mitra Serasi</t>
  </si>
  <si>
    <t>PT-PMS-01</t>
  </si>
  <si>
    <t>Maju Aneka Sawit (Musim Mas)</t>
  </si>
  <si>
    <t>PT Pulau Tiga Lestari Jaya*</t>
  </si>
  <si>
    <t>Mananjung Hayak</t>
  </si>
  <si>
    <t>PT Pulau Tiga Lestari Jaya</t>
  </si>
  <si>
    <t>PT-PTL-01</t>
  </si>
  <si>
    <t>Mentaya Sawit Mas (Wilmar Group)</t>
  </si>
  <si>
    <t>Menteng Jaya Sawit Perdana</t>
  </si>
  <si>
    <t>PT Rana Wastu Kencana</t>
  </si>
  <si>
    <t>PT-RWK-01</t>
  </si>
  <si>
    <t>PT Ratubadis Adhi Perkasa</t>
  </si>
  <si>
    <t>PT-RAP-01</t>
  </si>
  <si>
    <t>Mulia Agro Permai</t>
  </si>
  <si>
    <t>PT Rezeki Kencana</t>
  </si>
  <si>
    <t>PT-RKE-01</t>
  </si>
  <si>
    <t>Nusantara Sawit Persada</t>
  </si>
  <si>
    <t>Sukajadi Sawit Mekar (Musim Mas)</t>
  </si>
  <si>
    <t>PT Riau Agrotama Plantation</t>
  </si>
  <si>
    <t>PT-RAP-02</t>
  </si>
  <si>
    <t>Bangun Jaya Alam Permai</t>
  </si>
  <si>
    <t>Graha Indosawit Andal Tunggal</t>
  </si>
  <si>
    <t>PT Rimba Borneo Makmur</t>
  </si>
  <si>
    <t>PT-RBM-01</t>
  </si>
  <si>
    <t>Wana Sawit Subur Lestari</t>
  </si>
  <si>
    <t>Kalteng 3</t>
  </si>
  <si>
    <t>PT Samudera Emas Abadi Plantation</t>
  </si>
  <si>
    <t>Agro Mandiri Sukses</t>
  </si>
  <si>
    <t>PT-SEA-01</t>
  </si>
  <si>
    <t>Antang Ganda Utama</t>
  </si>
  <si>
    <t>PT Satria Manunggal Sejahtera*</t>
  </si>
  <si>
    <t>PT Satria Manunggal Sejahtera</t>
  </si>
  <si>
    <t>Austral Byna (AB)</t>
  </si>
  <si>
    <t>PT-SMS-01</t>
  </si>
  <si>
    <t>Berjaya Agro Kalimantan</t>
  </si>
  <si>
    <t>PT Satria Multi Sukses</t>
  </si>
  <si>
    <t>PT-SMS-02</t>
  </si>
  <si>
    <t>Bhadra Cemerlang (Astra Group)</t>
  </si>
  <si>
    <t>Borneo Ketapang Indah</t>
  </si>
  <si>
    <t>PT Sawit Emas Persada</t>
  </si>
  <si>
    <t>PT-SEP-01</t>
  </si>
  <si>
    <t>Heroes Green Energy</t>
  </si>
  <si>
    <t>PT Sawit Kapuas Kencana</t>
  </si>
  <si>
    <t>PT-SKK-01</t>
  </si>
  <si>
    <t>Indopenta Sejahtera Abadi</t>
  </si>
  <si>
    <t>PT Sedjahtera Indo Agro</t>
  </si>
  <si>
    <t>PT-SIA-02</t>
  </si>
  <si>
    <t>PT Sepanjang Inti Surya Utama 2</t>
  </si>
  <si>
    <t>PT-SIS-01</t>
  </si>
  <si>
    <t>Ketapang Subur Lestari</t>
  </si>
  <si>
    <t>PT Sinar Dinamika Kapuas</t>
  </si>
  <si>
    <t>PT-SDK-01</t>
  </si>
  <si>
    <t>Kop Karya Bersama</t>
  </si>
  <si>
    <t>Koperasi Byna Mitra Utama (PT Antang Ganda Utama)</t>
  </si>
  <si>
    <t>PT Sumatera Unggul Makmur</t>
  </si>
  <si>
    <t>PT-SUM-01</t>
  </si>
  <si>
    <t>Koperasi Citra Mandiri</t>
  </si>
  <si>
    <t>Koperasi Majangkan Jaya (PT Antang Ganda Utama)</t>
  </si>
  <si>
    <t>PT Tanjung Rhu Plantation And Product</t>
  </si>
  <si>
    <t>Mata Andau Sawit Kahuripan</t>
  </si>
  <si>
    <t>PT-TRP-01</t>
  </si>
  <si>
    <t>Mitra Jaya Agro Palm</t>
  </si>
  <si>
    <t>Multipersada Gatramegah (Musim Mas)</t>
  </si>
  <si>
    <t>PT Tebar Tandan Tenerah*</t>
  </si>
  <si>
    <t>PT Tebar Tandan Tenerah</t>
  </si>
  <si>
    <t>Sawit Sumber Rejo (SSR)</t>
  </si>
  <si>
    <t>PT-TTT-01</t>
  </si>
  <si>
    <t>Agrindo Green Lestari</t>
  </si>
  <si>
    <t>Agro Borneo Lestari (ABL)</t>
  </si>
  <si>
    <t>PT Tsjafuddin</t>
  </si>
  <si>
    <t>PT Tsjafiuddin</t>
  </si>
  <si>
    <t>PT-TSJ-01</t>
  </si>
  <si>
    <t>Agrolestari Sentosa (Sinarmas Group)</t>
  </si>
  <si>
    <t>Archipelago Timur Abadi</t>
  </si>
  <si>
    <t>Berkala Maju Bersama Kurun</t>
  </si>
  <si>
    <t>PT Umekah Sari Pratama</t>
  </si>
  <si>
    <t>PT-USP-01</t>
  </si>
  <si>
    <t>Berkala Maju Bersama Manuhing</t>
  </si>
  <si>
    <t>Bina Sarana Sawit Utama</t>
  </si>
  <si>
    <t>Bumi Agri Prima (BAP)</t>
  </si>
  <si>
    <t>PT Wawasan Kebun Nusantara</t>
  </si>
  <si>
    <t>PT-WKN-01</t>
  </si>
  <si>
    <t>Cipta Enggang Nusalaras (CEN)</t>
  </si>
  <si>
    <t>Citra Agro Perkasa Abadi</t>
  </si>
  <si>
    <t>CRO 7</t>
  </si>
  <si>
    <t>Regional Kalsel 1</t>
  </si>
  <si>
    <t>Koperasi PT Agro Borneo Corps (ABC)</t>
  </si>
  <si>
    <t>KP-ABC-01</t>
  </si>
  <si>
    <t>Dwie Warna Karya</t>
  </si>
  <si>
    <t>Globalindo Agung Lestari</t>
  </si>
  <si>
    <t>PT Cakung Permata Nusa (Astra Agro lestari)</t>
  </si>
  <si>
    <t>PT-CPN-01</t>
  </si>
  <si>
    <t>Graha Inti Jaya</t>
  </si>
  <si>
    <t>Gumas Alam Subur (GAS)</t>
  </si>
  <si>
    <t>PT Jaya Mandiri Sukses 1</t>
  </si>
  <si>
    <t>PT-JMS-01</t>
  </si>
  <si>
    <t>Hamparan Mitra Abadi</t>
  </si>
  <si>
    <t>Hijau Pertiwi Indah Plantation (Salim Group)</t>
  </si>
  <si>
    <t>PT Manunggal Adi Jaya</t>
  </si>
  <si>
    <t>PT-MAJ-01</t>
  </si>
  <si>
    <t>Jaya Jadi Utama</t>
  </si>
  <si>
    <t>Kalimantan Ria Sejahtera</t>
  </si>
  <si>
    <t>PT Saka Kencana Sejahtera</t>
  </si>
  <si>
    <t>PT-SKS-01</t>
  </si>
  <si>
    <t>Kapuas Maju Jaya</t>
  </si>
  <si>
    <t>PT Singaland Asetama</t>
  </si>
  <si>
    <t>Koperasi Globalindo Mitra Sejati (Globalindo Agung Lestari)</t>
  </si>
  <si>
    <t>PT-SAI-02</t>
  </si>
  <si>
    <t>Koperasi Hagatang Tarung Bersama</t>
  </si>
  <si>
    <t>PT Suryabumi Tunggal Perkasa</t>
  </si>
  <si>
    <t>PT-STP-02</t>
  </si>
  <si>
    <t>Koperasi Intan Lestari Warga Bersatu</t>
  </si>
  <si>
    <t>Koperasi Produsen Bahalap Mimbul Sawit</t>
  </si>
  <si>
    <t>Regional Kalsel 2</t>
  </si>
  <si>
    <t>PT Alamraya Kencana Mas</t>
  </si>
  <si>
    <t>Koperasi Serba Usaha Karima</t>
  </si>
  <si>
    <t>PT-AKM-02</t>
  </si>
  <si>
    <t>Koperasi Tosah Mandiri</t>
  </si>
  <si>
    <t>Kurun Sumber Rezeki (KSR)</t>
  </si>
  <si>
    <t>PT Bersama Sejahtera Sakti (Minamas)</t>
  </si>
  <si>
    <t>PT-BSS-04</t>
  </si>
  <si>
    <t>Manyangan Jaya 1</t>
  </si>
  <si>
    <t>PT Buana Karya Bhakti</t>
  </si>
  <si>
    <t>PT-BKB-01</t>
  </si>
  <si>
    <t>Minna Padi Plantation (MPP)</t>
  </si>
  <si>
    <t>PT Citra Putra Kebun Asri</t>
  </si>
  <si>
    <t>Mulia Sawit Agro Lestari (Msal Group)</t>
  </si>
  <si>
    <t>PT-CPK-01</t>
  </si>
  <si>
    <t>Pandujaya Gemilang Agung</t>
  </si>
  <si>
    <t>Prasetya Mitra Muda</t>
  </si>
  <si>
    <t>PT Indoraya Everlatex</t>
  </si>
  <si>
    <t>PT-IEN-01</t>
  </si>
  <si>
    <t>Sepalar Yasa Kartika (Cbi)</t>
  </si>
  <si>
    <t>Susantri Permai</t>
  </si>
  <si>
    <t>PT Ladang Rumpun Subur Abadi</t>
  </si>
  <si>
    <t>Tantahan Panduhup ASI (TPA)</t>
  </si>
  <si>
    <t>PT-LRS-01</t>
  </si>
  <si>
    <t>Tewah Bahana Lestari (TBL)</t>
  </si>
  <si>
    <t>Wana Catur Jaya Utama</t>
  </si>
  <si>
    <t>PT Laguna Mandiri (Minamas)</t>
  </si>
  <si>
    <t>PT-LMM-01</t>
  </si>
  <si>
    <t>Anaking Energica Lestari (Sakti Mait Jaya Langit)</t>
  </si>
  <si>
    <t>CRO IX</t>
  </si>
  <si>
    <t>Kalteng 2</t>
  </si>
  <si>
    <t>Agro Menara Rachmat (Astra Group)</t>
  </si>
  <si>
    <t>PT Langgeng Muara Makmur (Minamas)</t>
  </si>
  <si>
    <t>Arut Sawit Mandiri</t>
  </si>
  <si>
    <t>PT-LMM-02</t>
  </si>
  <si>
    <t>Berlian Bintara Beton (Ex Musirawas)</t>
  </si>
  <si>
    <t>PT Sajang Heulang Mustika</t>
  </si>
  <si>
    <t>PT-SHM-01</t>
  </si>
  <si>
    <t>Berlian Bintara Beton (Ex Sumur Pandan Wangi)</t>
  </si>
  <si>
    <t>Bumi Langgeng Perdanatrada (Blp)</t>
  </si>
  <si>
    <t>PT Smart Tbk (Sinarmas)</t>
  </si>
  <si>
    <t>PT-STS-02</t>
  </si>
  <si>
    <t>Citra Borneo Indah</t>
  </si>
  <si>
    <t>Gunung Sejahtera Ibu Pertiwi (Astra Gruop)</t>
  </si>
  <si>
    <t>Gunung Sejahtera Puti Pesona (Astra Group)</t>
  </si>
  <si>
    <t>PT Swadaya Andika (Minamas)</t>
  </si>
  <si>
    <t>PT-SAM-03</t>
  </si>
  <si>
    <t>Kalimantan Sawit Abadi</t>
  </si>
  <si>
    <t>Kelompok Tani Sungai Kakap Lestari (Abdul Basid)</t>
  </si>
  <si>
    <t>PT Tapian Nadenggan (Sinarmas)</t>
  </si>
  <si>
    <t>PT-TNS-01</t>
  </si>
  <si>
    <t>Koperasi Bedaun Maju Bersama</t>
  </si>
  <si>
    <t>Menthobi Sawit Jaya</t>
  </si>
  <si>
    <t>Regional Kaltara</t>
  </si>
  <si>
    <t>PT Bulungan Hijau Perkasa/Surya Dumai Group</t>
  </si>
  <si>
    <t>PT Bulungan Hijau Perkasa</t>
  </si>
  <si>
    <t>PT-BHP-01</t>
  </si>
  <si>
    <t>Mitra Mendawai Sejati</t>
  </si>
  <si>
    <t>Natai Sawit Perkasa</t>
  </si>
  <si>
    <t>PT Karangjuang Hijau Lestari/Surya Dumai Group</t>
  </si>
  <si>
    <t>PT Karangjuang Hijau Lestari</t>
  </si>
  <si>
    <t>PT-KHL-01</t>
  </si>
  <si>
    <t>Satya Kisma Usaha (Sinarmas Group)</t>
  </si>
  <si>
    <t>PT Tirta Madu Sawit Jaya/Surya Dumai Group</t>
  </si>
  <si>
    <t>PT Tirta Madu Sawit Jaya</t>
  </si>
  <si>
    <t>PT-TMS-01</t>
  </si>
  <si>
    <t>Sawit Sumber Mas Sarana</t>
  </si>
  <si>
    <t>Regional Kaltim</t>
  </si>
  <si>
    <t>PT Agro Bumi Kaltim</t>
  </si>
  <si>
    <t>Surya Indah Nusantara Pagi (Astra Group)</t>
  </si>
  <si>
    <t>PT-ABK-01</t>
  </si>
  <si>
    <t>Surya Sawit Sejati</t>
  </si>
  <si>
    <t>PT Agro Indomas East Kalimantan</t>
  </si>
  <si>
    <t>PT-AIE-01</t>
  </si>
  <si>
    <t>Graha Cakramulia/Union Sampoerna</t>
  </si>
  <si>
    <t>Harapan Hibrida Kalbar</t>
  </si>
  <si>
    <t>PT Agro Inti Kencanamas</t>
  </si>
  <si>
    <t>Kalimantan Sawit Kusuma</t>
  </si>
  <si>
    <t>PT-AIK-01</t>
  </si>
  <si>
    <t>Koperasi Jorong Rayo (PT Sukses Karya Mandiri)</t>
  </si>
  <si>
    <t>KUD Beringin Jaya (PT. Kalimantan Sawit Kusuma)</t>
  </si>
  <si>
    <t>PT Alam Jaya Persada</t>
  </si>
  <si>
    <t>PT-AJP-01</t>
  </si>
  <si>
    <t>Menthobi Makmur Lestari</t>
  </si>
  <si>
    <t>Sukses Karya Mandiri</t>
  </si>
  <si>
    <t>PT Amalia Hani Sejahtera</t>
  </si>
  <si>
    <t>PT-AHS-01</t>
  </si>
  <si>
    <t>Sumber Mahardhika Graha /Union Sampoerna</t>
  </si>
  <si>
    <t>Sungai Rangit (Sampoerna Agro Industri)</t>
  </si>
  <si>
    <t>PT Anugerah Abadi Multi Usaha</t>
  </si>
  <si>
    <t>PT-AAM-01</t>
  </si>
  <si>
    <t>Usaha Agro Indonesia</t>
  </si>
  <si>
    <t>Berkat Prima Sejati</t>
  </si>
  <si>
    <t>PT Anugerah Energitama</t>
  </si>
  <si>
    <t>PT-AEN-01</t>
  </si>
  <si>
    <t>Denafa Borneo Lestari Ex PT Putra Pandawa Lima</t>
  </si>
  <si>
    <t>First Lamandau Timber International</t>
  </si>
  <si>
    <t>PT Anugerah Kebun Mandiri</t>
  </si>
  <si>
    <t>Gema Reksa Mekarsari</t>
  </si>
  <si>
    <t>PT-AKM-03</t>
  </si>
  <si>
    <t>Koperasi Bukit Lumut Sejahtera (PT Flti)</t>
  </si>
  <si>
    <t>Koperasi Guna Wana Sejahtera B (PT.Flti)</t>
  </si>
  <si>
    <t>PT Anugerah Lahan Kaltim</t>
  </si>
  <si>
    <t>PT-ALK-01</t>
  </si>
  <si>
    <t>Koperasi Tiga Putera Bungou (PT Flti)</t>
  </si>
  <si>
    <t>PT Bima Palma Nugraha</t>
  </si>
  <si>
    <t>PT-BPN-01</t>
  </si>
  <si>
    <t>Menthobi Mitra Lestari</t>
  </si>
  <si>
    <t>Menthobi Mitra Sentosa</t>
  </si>
  <si>
    <t>PT Bina Karya Nuansa Sejahtera</t>
  </si>
  <si>
    <t>PT-BKN-01</t>
  </si>
  <si>
    <t>Mirza Pratama Putra</t>
  </si>
  <si>
    <t>PT Borneo Indah Marjaya</t>
  </si>
  <si>
    <t>PT-BIM-02</t>
  </si>
  <si>
    <t>Nirmala Agro Lestari (Astra Group)</t>
  </si>
  <si>
    <t>PT Borneopersada Energi Jaya</t>
  </si>
  <si>
    <t>Sawit Lamandau Raya</t>
  </si>
  <si>
    <t>PT-BEJ-01</t>
  </si>
  <si>
    <t>Sawit Mandiri Lestari (CBI)</t>
  </si>
  <si>
    <t>PT Bumi Mulia Makmur Lestari</t>
  </si>
  <si>
    <t>PT-BMM-01</t>
  </si>
  <si>
    <t>Sawit Multi Utama</t>
  </si>
  <si>
    <t>Tanjung Sawit Abadi (CBI)</t>
  </si>
  <si>
    <t>PT Cahaya Anugerah Plantation</t>
  </si>
  <si>
    <t>PT-CAP-01</t>
  </si>
  <si>
    <t>Aditunggal Mahajaya (Sinarmas Group)</t>
  </si>
  <si>
    <t>Agrokarya Prima Lestari</t>
  </si>
  <si>
    <t>PT Cipta Palma Pertiwi*</t>
  </si>
  <si>
    <t>Bina Sawit Abadi Pratama 1 (Sinarmas Group)</t>
  </si>
  <si>
    <t>PT-CPP-01</t>
  </si>
  <si>
    <t>Buana Artha Sejahtera (Sinarmas Group)</t>
  </si>
  <si>
    <t>Ciptatani Kumai Sejahtera</t>
  </si>
  <si>
    <t>PT Dinamika Prima Artha</t>
  </si>
  <si>
    <t>Karya Makmur Sejahtera</t>
  </si>
  <si>
    <t>PT-DPA-01</t>
  </si>
  <si>
    <t>Mitra Karya Agroindo (Sinarmas Group)</t>
  </si>
  <si>
    <t>Tapian Nadenggan (Sinarmas Group)</t>
  </si>
  <si>
    <t>PT Gemilang Sejahtera Abadi</t>
  </si>
  <si>
    <t>PT-GSA-01</t>
  </si>
  <si>
    <t>Telaga Sari Persada</t>
  </si>
  <si>
    <t>PT Gunta Samba</t>
  </si>
  <si>
    <t>Agro Indomas (Kalteng)</t>
  </si>
  <si>
    <t>PT Gunta Samba 1</t>
  </si>
  <si>
    <t>PT-GSU-01</t>
  </si>
  <si>
    <t>Ahmad Saleh Perkasa</t>
  </si>
  <si>
    <t>Bina Sawit Abadi Pratama Ex Amp (Sinarmas Group)</t>
  </si>
  <si>
    <t>Gawi Bahandep Sawit Mekar</t>
  </si>
  <si>
    <t>Kerry Sawit Indonesia (Wilmar Group)</t>
  </si>
  <si>
    <t>PT Gunta Samba 2</t>
  </si>
  <si>
    <t>Koperasi Tagani Makmur (PT Mega I.K)</t>
  </si>
  <si>
    <t>Koperasi Tanjung Berkah Sekumpul (PT Mega I.K)</t>
  </si>
  <si>
    <t>Mega Ika Khansa</t>
  </si>
  <si>
    <t>PT Jabontara Eka Karsa</t>
  </si>
  <si>
    <t>Mustika Sembuluh (Wilmar Group)</t>
  </si>
  <si>
    <t>PT-JEK-01</t>
  </si>
  <si>
    <t>RIM Capital</t>
  </si>
  <si>
    <t>Rimba Harapan Sakti (Wilmar Group)</t>
  </si>
  <si>
    <t>PT Jaya Mandiri Sukses 2</t>
  </si>
  <si>
    <t>PT-JMS-02</t>
  </si>
  <si>
    <t>Salonok Ladang Mas</t>
  </si>
  <si>
    <t>Sarana Titian Permata (Wilmar Group)</t>
  </si>
  <si>
    <t>Sawitmas Nugraha Perdana</t>
  </si>
  <si>
    <t>PT Kalimantan Agro Makmur</t>
  </si>
  <si>
    <t>PT-KAM-01</t>
  </si>
  <si>
    <t>CRO X</t>
  </si>
  <si>
    <t>Sulteng</t>
  </si>
  <si>
    <t>Agro Toribulu Asri</t>
  </si>
  <si>
    <t>Ampibabo Agro Lestari</t>
  </si>
  <si>
    <t>Baliggi Agri Pratama</t>
  </si>
  <si>
    <t>PT Kalimantan Wahana Berjaya</t>
  </si>
  <si>
    <t>Bumi Raya Agro</t>
  </si>
  <si>
    <t>PT-KWB-01</t>
  </si>
  <si>
    <t>Cipta Agro Nusantara (AAL)</t>
  </si>
  <si>
    <t>Citra Izzi Parigi</t>
  </si>
  <si>
    <t>Donggala Sawit Hijau</t>
  </si>
  <si>
    <t>PT Kalpataru Sawit Plantation</t>
  </si>
  <si>
    <t>PT-KSP-01</t>
  </si>
  <si>
    <t>Hamparan Unggul Mandiri</t>
  </si>
  <si>
    <t>Indah Permai Sawita</t>
  </si>
  <si>
    <t>Kirana Sinar Gemilang</t>
  </si>
  <si>
    <t>PT Karya Bhakti Sejahtera Agrotama</t>
  </si>
  <si>
    <t>PT-KBS-01</t>
  </si>
  <si>
    <t>Kurnia Luwuk Sejati</t>
  </si>
  <si>
    <t>Kutai Palm Plantation</t>
  </si>
  <si>
    <t>Nusamas Griya Lestari</t>
  </si>
  <si>
    <t>PT Karya Nusa Ekadaya</t>
  </si>
  <si>
    <t>PT-KNE-01</t>
  </si>
  <si>
    <t>Pasang Kayu</t>
  </si>
  <si>
    <t>Rimbunan Alam Sentosa (AAL)</t>
  </si>
  <si>
    <t>PT Karya Prima Agro Sejahtera</t>
  </si>
  <si>
    <t>PT-KPA-01</t>
  </si>
  <si>
    <t>Sawit Jaya Abadi</t>
  </si>
  <si>
    <t>Sawita Persada Nusantara</t>
  </si>
  <si>
    <t>PT Ketapang Agro Lestari*</t>
  </si>
  <si>
    <t>PT-KAL-01</t>
  </si>
  <si>
    <t>Sinergi Perkebunan Nusantara</t>
  </si>
  <si>
    <t>Sonokeling Buana</t>
  </si>
  <si>
    <t>PT Ketapang Hijau Lestari</t>
  </si>
  <si>
    <t>Timur Jaya Indo Makmur</t>
  </si>
  <si>
    <t>PT-KHL-02</t>
  </si>
  <si>
    <t>Sultra</t>
  </si>
  <si>
    <t>Damai Jaya Lestari - Kolaka</t>
  </si>
  <si>
    <t>Harlitama Agrimakmur</t>
  </si>
  <si>
    <t>PT Kota Bangun Plantation</t>
  </si>
  <si>
    <t>PT-KBP-02</t>
  </si>
  <si>
    <t>Madinra Inti Sawit</t>
  </si>
  <si>
    <t>Mega Utama Tani</t>
  </si>
  <si>
    <t>PT Kresna Duta Indo</t>
  </si>
  <si>
    <t>PT-KDI-01</t>
  </si>
  <si>
    <t>Merbaujaya Indahraya</t>
  </si>
  <si>
    <t>Mulya Tani</t>
  </si>
  <si>
    <t>PTPN XIV Kebun Asera</t>
  </si>
  <si>
    <t>PT Kukar Commodities Worldwide</t>
  </si>
  <si>
    <t>PT-KCW-01</t>
  </si>
  <si>
    <t>Sampe Wali</t>
  </si>
  <si>
    <t>PT Kutai Inti Utama</t>
  </si>
  <si>
    <t>Sultra Sawitindo Lestari</t>
  </si>
  <si>
    <t>PT-KIU-02</t>
  </si>
  <si>
    <t>Wahana Surya Agro</t>
  </si>
  <si>
    <t>PT Kutai Sawit Plantation</t>
  </si>
  <si>
    <t>PT-KSP-02</t>
  </si>
  <si>
    <t>PT Long Bagun Prima Sawit</t>
  </si>
  <si>
    <t>PT-LBP-02</t>
  </si>
  <si>
    <t>PT Mahakam Sawit Plantation</t>
  </si>
  <si>
    <t>PT-MSP-01</t>
  </si>
  <si>
    <t>PT Malaya Sawit Khatulistiwa</t>
  </si>
  <si>
    <t>PT-MSK-01</t>
  </si>
  <si>
    <t>PT Mitra Bangga Utama</t>
  </si>
  <si>
    <t>PT-MBU-01</t>
  </si>
  <si>
    <t>PT Muara Kaman Sawit Sejahtera</t>
  </si>
  <si>
    <t>PT-MKS-01</t>
  </si>
  <si>
    <t>PT Multi Jayantara Abadi</t>
  </si>
  <si>
    <t>PT-MJA-02</t>
  </si>
  <si>
    <t>PT Multi Pasific International</t>
  </si>
  <si>
    <t>PT-MPI-01</t>
  </si>
  <si>
    <t>PT Niagamas Gemilang</t>
  </si>
  <si>
    <t>PT-NGI-01</t>
  </si>
  <si>
    <t>PT Nusa Lestari</t>
  </si>
  <si>
    <t>PT-NLU-01</t>
  </si>
  <si>
    <t>PT Nusaraya Agro Sawit</t>
  </si>
  <si>
    <t>PT-NAS-01</t>
  </si>
  <si>
    <t>PT Palma Asian Lestari Mandiri</t>
  </si>
  <si>
    <t>PT-PAL-01</t>
  </si>
  <si>
    <t>PT Perkebunan Nusantara XIII</t>
  </si>
  <si>
    <t>PT-PNX-01</t>
  </si>
  <si>
    <t>PT Prasetia Utama</t>
  </si>
  <si>
    <t>PT-PUR-01</t>
  </si>
  <si>
    <t>PT Preya Sawit Makmur</t>
  </si>
  <si>
    <t>PT-PSM-01</t>
  </si>
  <si>
    <t>PT Pucuk Jaya</t>
  </si>
  <si>
    <t>PT-PJU-01</t>
  </si>
  <si>
    <t>PT Rea Kaltim Plantation</t>
  </si>
  <si>
    <t>PT-RKP-01</t>
  </si>
  <si>
    <t>PT Sagita Agro Kencana</t>
  </si>
  <si>
    <t>PT-SAK-01</t>
  </si>
  <si>
    <t>PT Saraswanti Sawit Makmur</t>
  </si>
  <si>
    <t>PT-SSM-01</t>
  </si>
  <si>
    <t>PT Sasana Yudha Bhakti</t>
  </si>
  <si>
    <t>PT-SYB-01</t>
  </si>
  <si>
    <t>PT Sawit Khatulistiwa Plantation</t>
  </si>
  <si>
    <t>PT-SKP-01</t>
  </si>
  <si>
    <t>PT Senabangun Aneka Pertiwi</t>
  </si>
  <si>
    <t>PT-SAP-02</t>
  </si>
  <si>
    <t>PT Setara Kilau Mas Adicita</t>
  </si>
  <si>
    <t>PT-SKM-01</t>
  </si>
  <si>
    <t>PT Setia Agro Utama</t>
  </si>
  <si>
    <t>PT-SAU-01</t>
  </si>
  <si>
    <t>PT Shabantara Rawi Sentosa</t>
  </si>
  <si>
    <t>PT-SRS-01</t>
  </si>
  <si>
    <t>PT Sima Agung Prima</t>
  </si>
  <si>
    <t>PT-SAP-03</t>
  </si>
  <si>
    <t>PT Sukses Bina Alam</t>
  </si>
  <si>
    <t>PT-SBA-01</t>
  </si>
  <si>
    <t>PT Sumber Alam Selaras</t>
  </si>
  <si>
    <t>PT-SAS-02</t>
  </si>
  <si>
    <t>PT Tanjung Buyu Perkasa Plantation</t>
  </si>
  <si>
    <t>PT-TBP-01</t>
  </si>
  <si>
    <t>PT Tapian Nadenggan</t>
  </si>
  <si>
    <t>PT Tapian Nadenggan 1</t>
  </si>
  <si>
    <t>PT-TN1-01</t>
  </si>
  <si>
    <t>PT Teguh Swakarsa Sejahtera</t>
  </si>
  <si>
    <t>PT-TSS-01</t>
  </si>
  <si>
    <t>PT Telen</t>
  </si>
  <si>
    <t>PT-TEL-01</t>
  </si>
  <si>
    <t>PT Telen Prima Sawit</t>
  </si>
  <si>
    <t>PT-TPS-01</t>
  </si>
  <si>
    <t>PT Tri Tunggal Sentra Buana</t>
  </si>
  <si>
    <t>PT-TTS-01</t>
  </si>
  <si>
    <t>PT Tunas Prima Sejahtera</t>
  </si>
  <si>
    <t>PT-TPS-02</t>
  </si>
  <si>
    <t>PT Umak Tukung Mandiri Utama</t>
  </si>
  <si>
    <t>PT-UTM-01</t>
  </si>
  <si>
    <t>PT Wahana Tritunggal Cemerlang</t>
  </si>
  <si>
    <t>PT-WTC-01</t>
  </si>
  <si>
    <t>CRO 8</t>
  </si>
  <si>
    <t>Regional Kalteng 1</t>
  </si>
  <si>
    <t>KP0ADH001</t>
  </si>
  <si>
    <t>KP0ABK001</t>
  </si>
  <si>
    <t>KP0BTW001</t>
  </si>
  <si>
    <t>KP0BTM001</t>
  </si>
  <si>
    <t>KP0BLK001</t>
  </si>
  <si>
    <t>KP0CPW001</t>
  </si>
  <si>
    <t>KP0ELS001</t>
  </si>
  <si>
    <t>KP0HBK001</t>
  </si>
  <si>
    <t>KP0HIH001</t>
  </si>
  <si>
    <t>KP0HSK001</t>
  </si>
  <si>
    <t>KP0HLS001</t>
  </si>
  <si>
    <t>KP0IMK001</t>
  </si>
  <si>
    <t>KP0JMH001</t>
  </si>
  <si>
    <t>KP0KTK001</t>
  </si>
  <si>
    <t>KP0KTL001</t>
  </si>
  <si>
    <t>KP0KME001</t>
  </si>
  <si>
    <t>KP0MHW001</t>
  </si>
  <si>
    <t>KP0MRK001</t>
  </si>
  <si>
    <t>KP0PBW001</t>
  </si>
  <si>
    <t>KP0PKS001</t>
  </si>
  <si>
    <t>KP0PSH001</t>
  </si>
  <si>
    <t>KP0PMJ001</t>
  </si>
  <si>
    <t>KP0SBK001</t>
  </si>
  <si>
    <t>KP0SKI001</t>
  </si>
  <si>
    <t>KP0SRE001</t>
  </si>
  <si>
    <t>KP0SBK002</t>
  </si>
  <si>
    <t>KP0SMS001</t>
  </si>
  <si>
    <t>KP0SAS001</t>
  </si>
  <si>
    <t>KP0SMH001</t>
  </si>
  <si>
    <t>KP0THK001</t>
  </si>
  <si>
    <t>KP0TJK001</t>
  </si>
  <si>
    <t>PT Adhyaksa Dharmasatya</t>
  </si>
  <si>
    <t>PT0ADD001</t>
  </si>
  <si>
    <t>PT Agro Bukit</t>
  </si>
  <si>
    <t>PT0ABG001</t>
  </si>
  <si>
    <t>PT Agro Kalimantan Lestari</t>
  </si>
  <si>
    <t>PT0AKL001</t>
  </si>
  <si>
    <t>PT Agro Wana Lestari</t>
  </si>
  <si>
    <t>PT0AWL001</t>
  </si>
  <si>
    <t>PT Andalan Sukses Makmur (BGA)</t>
  </si>
  <si>
    <t>PT0ASM001</t>
  </si>
  <si>
    <t>PT Arjuna Utama Sawit</t>
  </si>
  <si>
    <t>PT0AUS001</t>
  </si>
  <si>
    <t>PT Bahaur Era Sawit Tama</t>
  </si>
  <si>
    <t>PT0BES001</t>
  </si>
  <si>
    <t>PT Bangkitgiat Usaha Mandiri</t>
  </si>
  <si>
    <t>PT0BUM001</t>
  </si>
  <si>
    <t>PT Bangun Jaya Alam Permai</t>
  </si>
  <si>
    <t>PT0BJA001</t>
  </si>
  <si>
    <t>PT Berkah Alam Fajar Mas</t>
  </si>
  <si>
    <t>PT0BAF001</t>
  </si>
  <si>
    <t>PT Bisma Dharma Kencana</t>
  </si>
  <si>
    <t>PT0BDK001</t>
  </si>
  <si>
    <t>PT Borneo Eka Sawit Tangguh</t>
  </si>
  <si>
    <t>PT0BES002</t>
  </si>
  <si>
    <t>PT Borneo Sawit Perdana</t>
  </si>
  <si>
    <t>PT0BSP002</t>
  </si>
  <si>
    <t>PT Buana Adhitama (Sinarmas Group)</t>
  </si>
  <si>
    <t>PT0BAS001</t>
  </si>
  <si>
    <t>PT Bumi Sawit Kencana (Wilmar Group)</t>
  </si>
  <si>
    <t>PT0BSK001</t>
  </si>
  <si>
    <t>PT Bumihutani Lestari</t>
  </si>
  <si>
    <t>PT0BLU001</t>
  </si>
  <si>
    <t>PT Bumitama Gunajaya Abadi (Bga)</t>
  </si>
  <si>
    <t>PT0BGA001</t>
  </si>
  <si>
    <t>PT Dinamika Alam Segar</t>
  </si>
  <si>
    <t>PT0DAS001</t>
  </si>
  <si>
    <t>PT Fajar Bumi Nabatindo (Bga)</t>
  </si>
  <si>
    <t>PT0FBN001</t>
  </si>
  <si>
    <t>PT Gemilang Subur Maju (Bga)</t>
  </si>
  <si>
    <t>PT0GSM001</t>
  </si>
  <si>
    <t>PT Globalindo Alam Perkasa</t>
  </si>
  <si>
    <t>PT0GAP001</t>
  </si>
  <si>
    <t>PT Graha Indosawit Andal Tunggal</t>
  </si>
  <si>
    <t>PT0GIA001</t>
  </si>
  <si>
    <t>PT Hampalit Jaya</t>
  </si>
  <si>
    <t>PT0HJA001</t>
  </si>
  <si>
    <t>PT Hamparan Masawit Bangun Persada</t>
  </si>
  <si>
    <t>PT0HMB001</t>
  </si>
  <si>
    <t>PT Harapan Subur lestari</t>
  </si>
  <si>
    <t>PT0HSL002</t>
  </si>
  <si>
    <t>PT Hutan Sawit Lestari</t>
  </si>
  <si>
    <t>PT0HSL003</t>
  </si>
  <si>
    <t>PT Intaran Permai</t>
  </si>
  <si>
    <t>PT0IPN001</t>
  </si>
  <si>
    <t>PT Intiga Prabakara Kahuripan (Dhanistha Group)</t>
  </si>
  <si>
    <t>PT0IPK001</t>
  </si>
  <si>
    <t>PT Kalimantan Hijau Sentosa</t>
  </si>
  <si>
    <t>PT0KHS001</t>
  </si>
  <si>
    <t>PT Karunia Kencana Permaisejati (Wilmar Group)</t>
  </si>
  <si>
    <t>PT0KKP001</t>
  </si>
  <si>
    <t>PT Karya Dewi Putra</t>
  </si>
  <si>
    <t>PT0KDP001</t>
  </si>
  <si>
    <t>PT Karya Luhur Sejati</t>
  </si>
  <si>
    <t>PT0KLS001</t>
  </si>
  <si>
    <t>PT Karya Makmur Bahagia (Bga)</t>
  </si>
  <si>
    <t>PT0KMB001</t>
  </si>
  <si>
    <t>PT Katingan Indah Utama</t>
  </si>
  <si>
    <t>PT0KIU001</t>
  </si>
  <si>
    <t>PT Katingan Sawit Bersama</t>
  </si>
  <si>
    <t>PT0KSB001</t>
  </si>
  <si>
    <t>PT Kereng Pangi Perdana</t>
  </si>
  <si>
    <t>PT0KPP001</t>
  </si>
  <si>
    <t>PT Langgeng Bakti Persada</t>
  </si>
  <si>
    <t>PT0LBP001</t>
  </si>
  <si>
    <t>PT Maju Aneka Sawit (Musim Mas)</t>
  </si>
  <si>
    <t>PT0MAS001</t>
  </si>
  <si>
    <t>PT Mananjung Hayak</t>
  </si>
  <si>
    <t>PT0MHA001</t>
  </si>
  <si>
    <t>PT Menara Tunggal Perkasa</t>
  </si>
  <si>
    <t>PT0MTP001</t>
  </si>
  <si>
    <t>PT Mentaya Sawit Mas (Wilmar Group)</t>
  </si>
  <si>
    <t>PT0MSM001</t>
  </si>
  <si>
    <t>PT Menteng Jaya Sawit Perdana</t>
  </si>
  <si>
    <t>PT0MJS001</t>
  </si>
  <si>
    <t>PT Menteng Kencana Mas</t>
  </si>
  <si>
    <t>PT0MKM001</t>
  </si>
  <si>
    <t>PT Mitra Agro Persada Abadi (Msal Group)</t>
  </si>
  <si>
    <t>PT0MAP001</t>
  </si>
  <si>
    <t>PT Mitra Jaya Cemerlang</t>
  </si>
  <si>
    <t>PT0MJC001</t>
  </si>
  <si>
    <t>PT Mukti Sawit Kahuripan</t>
  </si>
  <si>
    <t>PT0MSK002</t>
  </si>
  <si>
    <t>PT Mulia Agro Permai</t>
  </si>
  <si>
    <t>PT0MAP002</t>
  </si>
  <si>
    <t>PT Nabatindo Karya Utama (Bga)</t>
  </si>
  <si>
    <t>PT0NKU001</t>
  </si>
  <si>
    <t>PT Nusantara Sawit Persada</t>
  </si>
  <si>
    <t>PT0NSP002</t>
  </si>
  <si>
    <t>PT Persada Era Agro Kencana (Msal Group)</t>
  </si>
  <si>
    <t>PT0PEA001</t>
  </si>
  <si>
    <t>PT Persada Sejahtera Agro Makmur (Msal Group)</t>
  </si>
  <si>
    <t>PT0PSA002</t>
  </si>
  <si>
    <t>PT Putra Katingan Pratama</t>
  </si>
  <si>
    <t>PT0PKP001</t>
  </si>
  <si>
    <t>PT Raya Sejahtera Plantation</t>
  </si>
  <si>
    <t>PT0RSP001</t>
  </si>
  <si>
    <t>PT Sapta Karya Damai</t>
  </si>
  <si>
    <t>PT0SKD001</t>
  </si>
  <si>
    <t>PT Sarana Prima Multi Niaga</t>
  </si>
  <si>
    <t>PT0SPM001</t>
  </si>
  <si>
    <t>PT Sejahtera Aman Selaras</t>
  </si>
  <si>
    <t>PT0SAS001</t>
  </si>
  <si>
    <t>PT Sinar Citra Cemerlang</t>
  </si>
  <si>
    <t>PT0SCC001</t>
  </si>
  <si>
    <t>PT Sukajadi Sawit Mekar (Musim Mas)</t>
  </si>
  <si>
    <t>PT0SSM003</t>
  </si>
  <si>
    <t>PT Surya Inti Sawit Kahuripan</t>
  </si>
  <si>
    <t>PT0SIS003</t>
  </si>
  <si>
    <t>PT Suryamas Cipta Perkasa</t>
  </si>
  <si>
    <t>PT0SCP001</t>
  </si>
  <si>
    <t>PT Swadaya Sapta Putra</t>
  </si>
  <si>
    <t>PT0SSP001</t>
  </si>
  <si>
    <t>PT Tanah Tani Lestari (Bga)</t>
  </si>
  <si>
    <t>PT0TTL001</t>
  </si>
  <si>
    <t>PT Tunas Agro Subur Kencana</t>
  </si>
  <si>
    <t>PT0TAS001</t>
  </si>
  <si>
    <t>PT Unggul Lestari (Musim Mas)</t>
  </si>
  <si>
    <t>PT0ULM001</t>
  </si>
  <si>
    <t>PT Uni Primacom</t>
  </si>
  <si>
    <t>PT0UPN001</t>
  </si>
  <si>
    <t>PT Wahana Agrotama Makmur Perkasa</t>
  </si>
  <si>
    <t>PT0WAM001</t>
  </si>
  <si>
    <t>PT Wana Sawit Subur Lestari</t>
  </si>
  <si>
    <t>PT0WSS001</t>
  </si>
  <si>
    <t>PT Wana Yasa Kahuripan</t>
  </si>
  <si>
    <t>PT0WYK001</t>
  </si>
  <si>
    <t>PT Windu Nabantindo Sejahtera (Bga)</t>
  </si>
  <si>
    <t>PT0WNS001</t>
  </si>
  <si>
    <t>PT Windu Nabatindo Abadi (Bga)</t>
  </si>
  <si>
    <t>PT0WNA002</t>
  </si>
  <si>
    <t>PT Windu Nabatindo Lestari (Bga)</t>
  </si>
  <si>
    <t>PT0WNL001</t>
  </si>
  <si>
    <t>Regional Kalteng 3</t>
  </si>
  <si>
    <t>KP0BMU001</t>
  </si>
  <si>
    <t>KP0CMI001</t>
  </si>
  <si>
    <t>Koperasi Globalindo Mitra Sejati (PT Globalindo Agung Lestari)</t>
  </si>
  <si>
    <t>KP0GMS001</t>
  </si>
  <si>
    <t>KP0HTB001</t>
  </si>
  <si>
    <t>KP0ILW001</t>
  </si>
  <si>
    <t>Koperasi Karya Bersama</t>
  </si>
  <si>
    <t>KP0KBA001</t>
  </si>
  <si>
    <t>KP0MJA001</t>
  </si>
  <si>
    <t>KP0PBM001</t>
  </si>
  <si>
    <t>KP0SUK001</t>
  </si>
  <si>
    <t>KP0TMO001</t>
  </si>
  <si>
    <t>PT Agrindo Green Lestari</t>
  </si>
  <si>
    <t>PT0AGL001</t>
  </si>
  <si>
    <t>PT Agro Borneo lestari</t>
  </si>
  <si>
    <t>PT0ABL001</t>
  </si>
  <si>
    <t>PT Agro Mandiri Sukses</t>
  </si>
  <si>
    <t>PT0AMS001</t>
  </si>
  <si>
    <t>PT Agrolestari Sentosa (Sinarmas Group)</t>
  </si>
  <si>
    <t>PT0ASS001</t>
  </si>
  <si>
    <t>PT Anaking Energica Lestari (Sakti Mait Jaya Langit)</t>
  </si>
  <si>
    <t>PT0AEL001</t>
  </si>
  <si>
    <t>PT Antang Ganda Utama</t>
  </si>
  <si>
    <t>PT0AGU001</t>
  </si>
  <si>
    <t>PT Archipelago Timur Abadi</t>
  </si>
  <si>
    <t>PT0ATA002</t>
  </si>
  <si>
    <t>PT Austral Byna</t>
  </si>
  <si>
    <t>PT0ABU001</t>
  </si>
  <si>
    <t>PT Berjaya Agro Kalimantan</t>
  </si>
  <si>
    <t>PT0BAK001</t>
  </si>
  <si>
    <t>PT Berkala Maju Bersama Kurun</t>
  </si>
  <si>
    <t>PT0BMB001</t>
  </si>
  <si>
    <t>PT Berkala Maju Bersama Manuhing</t>
  </si>
  <si>
    <t>PT0BMB002</t>
  </si>
  <si>
    <t>PT Bhadra Cemerlang (Astra Group)</t>
  </si>
  <si>
    <t>PT0BCA002</t>
  </si>
  <si>
    <t>PT Bina Sarana Sawit Utama</t>
  </si>
  <si>
    <t>PT0BSS005</t>
  </si>
  <si>
    <t>PT Borneo Ketapang Indah</t>
  </si>
  <si>
    <t>PT0BKI002</t>
  </si>
  <si>
    <t>PT Bumi Agro Prima</t>
  </si>
  <si>
    <t>PT0BAP003</t>
  </si>
  <si>
    <t>PT Cipta Enggang Nusalaras</t>
  </si>
  <si>
    <t>PT0CEN001</t>
  </si>
  <si>
    <t>PT Citra Agro Perkasa Abadi</t>
  </si>
  <si>
    <t>PT0CAP002</t>
  </si>
  <si>
    <t>PT Dwie Warna Karya</t>
  </si>
  <si>
    <t>PT0DWK001</t>
  </si>
  <si>
    <t>PT Globalindo Agung Lestari 1</t>
  </si>
  <si>
    <t>PT0GAL001</t>
  </si>
  <si>
    <t>PT Globalindo Agung Lestari 2</t>
  </si>
  <si>
    <t>PT0GAL002</t>
  </si>
  <si>
    <t>PT Graha Inti Jaya</t>
  </si>
  <si>
    <t>PT0GIJ001</t>
  </si>
  <si>
    <t>PT Gumas Alam Subur</t>
  </si>
  <si>
    <t>PT0GAS001</t>
  </si>
  <si>
    <t>PT Hamparan Mitra Abadi</t>
  </si>
  <si>
    <t>PT0HMA001</t>
  </si>
  <si>
    <t>PT Heroes Green Energy</t>
  </si>
  <si>
    <t>PT0HGE001</t>
  </si>
  <si>
    <t>PT Hijaupertiwi Indah Plantation (Salim Group)</t>
  </si>
  <si>
    <t>PT0HIP001</t>
  </si>
  <si>
    <t>PT Indopenta Sejahtera Abadi</t>
  </si>
  <si>
    <t>PT0ISA001</t>
  </si>
  <si>
    <t>PT Jaya Jadi Utama</t>
  </si>
  <si>
    <t>PT0JJU001</t>
  </si>
  <si>
    <t>PT Kalimantan Ria Sejahtera</t>
  </si>
  <si>
    <t>PT0KRS001</t>
  </si>
  <si>
    <t>PT Kapuas Maju Jaya</t>
  </si>
  <si>
    <t>PT0KMJ001</t>
  </si>
  <si>
    <t>PT Ketapang Subur Lestari</t>
  </si>
  <si>
    <t>PT0KSL001</t>
  </si>
  <si>
    <t>PT Kurun Sumber Rezeki</t>
  </si>
  <si>
    <t>PT0KSR001</t>
  </si>
  <si>
    <t>PT Manyangan 1</t>
  </si>
  <si>
    <t>PT0M1A001</t>
  </si>
  <si>
    <t>PT Mata Andau Sawit Kahuripan</t>
  </si>
  <si>
    <t>PT0MAS003</t>
  </si>
  <si>
    <t>PT Minna Padi Plantation</t>
  </si>
  <si>
    <t>PT0MPP001</t>
  </si>
  <si>
    <t>PT Mitra Jaya Agro Palm</t>
  </si>
  <si>
    <t>PT0MJA001</t>
  </si>
  <si>
    <t>PT Mulia Sawit Agro Lestari (Msal Group)</t>
  </si>
  <si>
    <t>PT0MSA002</t>
  </si>
  <si>
    <t>PT Multipersada Gatramegah (Musim Mas)</t>
  </si>
  <si>
    <t>PT0MGM001</t>
  </si>
  <si>
    <t>PT Pandujaya Gemilang Agung</t>
  </si>
  <si>
    <t>PT0PGA001</t>
  </si>
  <si>
    <t>PT Prasetya Mitra Muda</t>
  </si>
  <si>
    <t>PT0PMM001</t>
  </si>
  <si>
    <t>PT Sawit Sumber Rejo</t>
  </si>
  <si>
    <t>PT0SSR001</t>
  </si>
  <si>
    <t>PT Sepalar Yasa Kartika (Cbi)</t>
  </si>
  <si>
    <t>PT0SYK001</t>
  </si>
  <si>
    <t>PT Susantri Permai</t>
  </si>
  <si>
    <t>PT0SPU002</t>
  </si>
  <si>
    <t>PT Tamiang Sumber Rezeki</t>
  </si>
  <si>
    <t>PT0TSR001</t>
  </si>
  <si>
    <t>PT Tantahan Panduhup Asi</t>
  </si>
  <si>
    <t>PT0TPA001</t>
  </si>
  <si>
    <t>PT Tewah Bahana Lestari</t>
  </si>
  <si>
    <t>PT0TBL001</t>
  </si>
  <si>
    <t>PT Wana Catur Jaya Utama</t>
  </si>
  <si>
    <t>PT0WCJ001</t>
  </si>
  <si>
    <t>CRO 9</t>
  </si>
  <si>
    <t>Regional Kalteng 2</t>
  </si>
  <si>
    <t>PT Gema Reksa Mekarsari</t>
  </si>
  <si>
    <t>PT-GRM-01</t>
  </si>
  <si>
    <t>Kelompok Tani Sungai Kakap Lestari</t>
  </si>
  <si>
    <t>KT-SKL-01</t>
  </si>
  <si>
    <t>KP-BMB-01</t>
  </si>
  <si>
    <t>KP-BLS-01</t>
  </si>
  <si>
    <t>Koperasi Guna Wana Sejahtera B (PT FLTI)</t>
  </si>
  <si>
    <t>KP-GWS-01</t>
  </si>
  <si>
    <t>Koperasi Jorong Rayo</t>
  </si>
  <si>
    <t>KP-JRO-01</t>
  </si>
  <si>
    <t>Koperasi Tagani Makmur (PT Mega Ika Khansa)</t>
  </si>
  <si>
    <t>Koperasi Tagani Makmur (PT MIK)</t>
  </si>
  <si>
    <t>KP-TMM-01</t>
  </si>
  <si>
    <t>Koperasi Tanjung Berkah Sekumpul (PT Mega Ika Khansa)</t>
  </si>
  <si>
    <t>Koperasi Tanjung Berkah Sekumpul (PT MIK)</t>
  </si>
  <si>
    <t>KP-TBS-01</t>
  </si>
  <si>
    <t>Koperasi Tiga Putera Bungou (PT FLTI)</t>
  </si>
  <si>
    <t>KP-TPB-01</t>
  </si>
  <si>
    <t>Koperasi Unit Desa Mitra Kecubung Indah</t>
  </si>
  <si>
    <t>KP-UDM-01</t>
  </si>
  <si>
    <t>Kud Beringin Jaya (PT.Kalimantan Sawit Kusuma)</t>
  </si>
  <si>
    <t>KUD Beringin Jaya (PT KSK)</t>
  </si>
  <si>
    <t>KB-KBJ-01</t>
  </si>
  <si>
    <t>PT Menthobi Sawit Jaya</t>
  </si>
  <si>
    <t>PT-MSJ-01</t>
  </si>
  <si>
    <t>PT Aditunggal Mahajaya (Sinarmas Group)</t>
  </si>
  <si>
    <t>PT Aditunggal Mahajaya</t>
  </si>
  <si>
    <t>PT-AMD-01</t>
  </si>
  <si>
    <t>PT Agro Indomas (Kalteng)</t>
  </si>
  <si>
    <t>PT Agro Indomas</t>
  </si>
  <si>
    <t>PT-AIG-01</t>
  </si>
  <si>
    <t>PT Agro Menara Rachmat (Astra Group)</t>
  </si>
  <si>
    <t>PT Agro Menara Rachmat</t>
  </si>
  <si>
    <t>PT-AMR-01</t>
  </si>
  <si>
    <t>PT Agrokarya Prima Lestari</t>
  </si>
  <si>
    <t>PT-APL-01</t>
  </si>
  <si>
    <t>PT Ahmad Saleh Perkasa</t>
  </si>
  <si>
    <t>PT-ASP-02</t>
  </si>
  <si>
    <t>PT Arut Sawit Mandiri</t>
  </si>
  <si>
    <t>PT-ASM-02</t>
  </si>
  <si>
    <t>PT Berkat Prima Sejati</t>
  </si>
  <si>
    <t>PT-BPS-01</t>
  </si>
  <si>
    <t>PT Bina Sawit Abadi Pratama 1 (Sinarmas Group)</t>
  </si>
  <si>
    <t>PT Bina Sawit Abadi Pratama 1</t>
  </si>
  <si>
    <t>PT-BSA-01</t>
  </si>
  <si>
    <t>PT Bina Sawit Abadi Pratama Ex Amp (Sinarmas Group)</t>
  </si>
  <si>
    <t>PT Bina Sawit Abadi Pratama Ex. AMP</t>
  </si>
  <si>
    <t>PT-BSA-02</t>
  </si>
  <si>
    <t>PT Buana Artha Sejahtera (Sinarmas Group)</t>
  </si>
  <si>
    <t>PT Buana Artha Sejahtera</t>
  </si>
  <si>
    <t>PT-BAS-02</t>
  </si>
  <si>
    <t>PT Bumilanggeng Perdanatrada (Blp)</t>
  </si>
  <si>
    <t>PT Bumilanggeng Perdanatrada</t>
  </si>
  <si>
    <t>PT-BPU-01</t>
  </si>
  <si>
    <t>PT Ciptatani Kumai Sejahtera</t>
  </si>
  <si>
    <t>PT-CKS-01</t>
  </si>
  <si>
    <t>PT Citra Borneo Indah</t>
  </si>
  <si>
    <t>PT-CBI-01</t>
  </si>
  <si>
    <t>PT First Lamandau Timber International</t>
  </si>
  <si>
    <t>PT-FLT-01</t>
  </si>
  <si>
    <t>PT Gawi Bahandep Sawit Mekar</t>
  </si>
  <si>
    <t>PT-GBS-01</t>
  </si>
  <si>
    <t>PT Graha Cakramulia/Union Sampoerna</t>
  </si>
  <si>
    <t>PT Graha Cakramulia</t>
  </si>
  <si>
    <t>PT-GCR-01</t>
  </si>
  <si>
    <t>PT Gunung Sejahtera Ibu Pertiwi (Astra Gruop)</t>
  </si>
  <si>
    <t>PT-GSI-02</t>
  </si>
  <si>
    <t>PT Gunung Sejahtera Puti Pesona (Astra Group)</t>
  </si>
  <si>
    <t>PT-GSP-01</t>
  </si>
  <si>
    <t>PT Harapan Hibrida Kalbar</t>
  </si>
  <si>
    <t>PT-HHK-01</t>
  </si>
  <si>
    <t>PT Kalimantan Sawit Abadi</t>
  </si>
  <si>
    <t>PT-KSA-01</t>
  </si>
  <si>
    <t>PT Kalimantan Sawit Kusuma</t>
  </si>
  <si>
    <t>PT-KSK-01</t>
  </si>
  <si>
    <t>PT Karya Makmur Sejahtera</t>
  </si>
  <si>
    <t>PT-KMS-01</t>
  </si>
  <si>
    <t>PT Kerry Sawit Indonesia (Wilmar Group)</t>
  </si>
  <si>
    <t>PT Kerry Sawit Indonesia</t>
  </si>
  <si>
    <t>PT-KSI-01</t>
  </si>
  <si>
    <t>PT Mega Ika Khansa</t>
  </si>
  <si>
    <t>PT-MIK-01</t>
  </si>
  <si>
    <t>PT Menthobi Makmur Lestari</t>
  </si>
  <si>
    <t>PT-MML-01</t>
  </si>
  <si>
    <t>PT Menthobi Mitra Lestari</t>
  </si>
  <si>
    <t>PT-MML-02</t>
  </si>
  <si>
    <t>PT Menthobi Mitra Sentosa</t>
  </si>
  <si>
    <t>PT-MMS-01</t>
  </si>
  <si>
    <t>PT Mirza Pratama Putra</t>
  </si>
  <si>
    <t>PT-MPP-02</t>
  </si>
  <si>
    <t>PT Mitra Karya Agroindo (Sinarmas Group)</t>
  </si>
  <si>
    <t>PT Mitrakarya Agroindo</t>
  </si>
  <si>
    <t>PT-MAI-01</t>
  </si>
  <si>
    <t>PT Mitra Karya Agroindo (Sinarmas Group) (Satya Kisma Usaha)</t>
  </si>
  <si>
    <t>PT Satya Kisma Usaha</t>
  </si>
  <si>
    <t>PT-MKA-01</t>
  </si>
  <si>
    <t>PT Mitra Mendawai Sejati</t>
  </si>
  <si>
    <t>PT-MMS-02</t>
  </si>
  <si>
    <t>PT Musirawas Citraharpindo</t>
  </si>
  <si>
    <t>PT-MCU-01</t>
  </si>
  <si>
    <t>PT Mustika Sembuluh (Wilmar Group)</t>
  </si>
  <si>
    <t>PT Mustika Sembuluh</t>
  </si>
  <si>
    <t>PT-MSU-01</t>
  </si>
  <si>
    <t>PT Natai Sawit Perkasa</t>
  </si>
  <si>
    <t>PT-NSP-01</t>
  </si>
  <si>
    <t>PT Nirmala Agro Lestari (Astra Group)</t>
  </si>
  <si>
    <t>PT-NAL-01</t>
  </si>
  <si>
    <t>PT Pelataran Sukses Abadi (KUD Koperasi Bentang)</t>
  </si>
  <si>
    <t>PT-PSA-01</t>
  </si>
  <si>
    <t>PT Putra Pandawa Lima</t>
  </si>
  <si>
    <t>PT-PPL-01</t>
  </si>
  <si>
    <t>PT Rim Capital</t>
  </si>
  <si>
    <t>PT-RCI-01</t>
  </si>
  <si>
    <t>PT Rimba Harapan Sakti (Wilmar Group)</t>
  </si>
  <si>
    <t>PT Rimba Harapan Sakti</t>
  </si>
  <si>
    <t>PT-RHS-01</t>
  </si>
  <si>
    <t>PT Salonok Ladang Mas</t>
  </si>
  <si>
    <t>PT-SLM-01</t>
  </si>
  <si>
    <t>PT Sarana Titian Permata (Wilmar Group)</t>
  </si>
  <si>
    <t>PT Sarana Titian Permata</t>
  </si>
  <si>
    <t>PT-STP-01</t>
  </si>
  <si>
    <t>PT Sawit Lamandau Raya</t>
  </si>
  <si>
    <t>PT-SLR-01</t>
  </si>
  <si>
    <t>PT Sawit Mandiri Lestari (CBI)</t>
  </si>
  <si>
    <t>PT-SML-01</t>
  </si>
  <si>
    <t>PT Sawit Multi Utama</t>
  </si>
  <si>
    <t>PT-SMU-01</t>
  </si>
  <si>
    <t>PT Sawit Sumber Mas Sarana</t>
  </si>
  <si>
    <t>PT-SSM-02</t>
  </si>
  <si>
    <t>PT Sawitmas Nugraha Perdana</t>
  </si>
  <si>
    <t>PT-SNP-01</t>
  </si>
  <si>
    <t>PT Sukses Karya Mandiri</t>
  </si>
  <si>
    <t>PT-SKM-02</t>
  </si>
  <si>
    <t>PT Sumber Mahardhika Graha /Union Sampoerna</t>
  </si>
  <si>
    <t>PT-SMG-01</t>
  </si>
  <si>
    <t>PT Sumur Pandanwangi</t>
  </si>
  <si>
    <t>PT-SPU-01</t>
  </si>
  <si>
    <t>PT Sungai Rangit (Sampoerna Agro Industri)</t>
  </si>
  <si>
    <t>PT Sungai Rangit</t>
  </si>
  <si>
    <t>PT-SRU-01</t>
  </si>
  <si>
    <t>PT Surya Indah Nusantara Pagi (Astra Group)</t>
  </si>
  <si>
    <t>PT Surya Indah Nusantara Pagi</t>
  </si>
  <si>
    <t>PT-SIN-01</t>
  </si>
  <si>
    <t>PT Surya Sawit Sejati</t>
  </si>
  <si>
    <t>PT-SSS-03</t>
  </si>
  <si>
    <t>PT Tanjung Sawit Abadi (Cbi)</t>
  </si>
  <si>
    <t>PT Tanjung Sawit Abadi</t>
  </si>
  <si>
    <t>PT-TSA-01</t>
  </si>
  <si>
    <t>PT Tapian Nadenggan (Sinarmas Group)</t>
  </si>
  <si>
    <t>PT-TN2-01</t>
  </si>
  <si>
    <t>PT Telaga Sari Persada</t>
  </si>
  <si>
    <t>PT-TSP-01</t>
  </si>
  <si>
    <t>PT Usaha Agro Indonesia</t>
  </si>
  <si>
    <t>PT-UAI-01</t>
  </si>
  <si>
    <t>CRO 10</t>
  </si>
  <si>
    <t>Regional Sulteng</t>
  </si>
  <si>
    <t>PT Agro Toribulu Asri</t>
  </si>
  <si>
    <t>PT-ATA-01</t>
  </si>
  <si>
    <t>PT Ampibabo Agro Lestari</t>
  </si>
  <si>
    <t>PT-AAL-01</t>
  </si>
  <si>
    <t>PT Baliggi Agri Pratama</t>
  </si>
  <si>
    <t>PT-BAP-01</t>
  </si>
  <si>
    <t>PT Bumi Raya Agro</t>
  </si>
  <si>
    <t>PT-BRA-01</t>
  </si>
  <si>
    <t>PT Cipta Agro Nusantara (Astra Agro Lestari)</t>
  </si>
  <si>
    <t>PT-CAN-01</t>
  </si>
  <si>
    <t>PT Citra Izzi Parigi</t>
  </si>
  <si>
    <t>PT-CIP-01</t>
  </si>
  <si>
    <t>PT Donggala Sawit Hijau</t>
  </si>
  <si>
    <t>PT-DSH-01</t>
  </si>
  <si>
    <t>PT Hamparan Unggul Mandiri</t>
  </si>
  <si>
    <t>PT-HUM-01</t>
  </si>
  <si>
    <t>PT Indah Permai Sawita</t>
  </si>
  <si>
    <t>PT-IPS-01</t>
  </si>
  <si>
    <t>PT Kirana Sinar Gemilang</t>
  </si>
  <si>
    <t>PT-KSG-01</t>
  </si>
  <si>
    <t>PT Kurnia Luwuk Sejati</t>
  </si>
  <si>
    <t>PT-KLS-02</t>
  </si>
  <si>
    <t>PT Kutai Palm Plantation</t>
  </si>
  <si>
    <t>PT-KPP-02</t>
  </si>
  <si>
    <t>PT Nusamas Griya Lestari</t>
  </si>
  <si>
    <t>PT-NGL-01</t>
  </si>
  <si>
    <t>PT Pasang Kayu</t>
  </si>
  <si>
    <t>PT-PKA-02</t>
  </si>
  <si>
    <t>PT Rimbunan Alam Sentosa (Astra Agro Lestari)</t>
  </si>
  <si>
    <t>PT-RAS-01</t>
  </si>
  <si>
    <t>PT Sawit Jaya Abadi</t>
  </si>
  <si>
    <t>PT-SJA-01</t>
  </si>
  <si>
    <t>PT Sawita Persada Nusantara</t>
  </si>
  <si>
    <t>PT-SPN-01</t>
  </si>
  <si>
    <t>PT Sinergi Perkebunan Nusantara</t>
  </si>
  <si>
    <t>PT-SPN-02</t>
  </si>
  <si>
    <t>PT Sonokeling Buana</t>
  </si>
  <si>
    <t>PT-SBO-01</t>
  </si>
  <si>
    <t>PT Timur Jaya Indo Makmur</t>
  </si>
  <si>
    <t>PT-TJI-01</t>
  </si>
  <si>
    <t>Regional Sultra</t>
  </si>
  <si>
    <t>PT Damai Jaya Lestari - Kolaka</t>
  </si>
  <si>
    <t>PT Damai Jaya Lestari</t>
  </si>
  <si>
    <t>PT-DJL-01</t>
  </si>
  <si>
    <t>PT Harlitama Agrimakmur</t>
  </si>
  <si>
    <t>PT-HAA-01</t>
  </si>
  <si>
    <t>PT Madinra Inti Sawit</t>
  </si>
  <si>
    <t>PT-MIS-01</t>
  </si>
  <si>
    <t>PT Mega Utama Tani</t>
  </si>
  <si>
    <t>PT-MUT-01</t>
  </si>
  <si>
    <t>PT Merbaujaya Indahraya</t>
  </si>
  <si>
    <t>PT-MIE-01</t>
  </si>
  <si>
    <t>PT Mulya Tani</t>
  </si>
  <si>
    <t>PT-MTU-01</t>
  </si>
  <si>
    <t>PT Sampe Wali</t>
  </si>
  <si>
    <t>PT Sampewali</t>
  </si>
  <si>
    <t>PT-SAM-01</t>
  </si>
  <si>
    <t>PT Sultra Sawitindo Lestari</t>
  </si>
  <si>
    <t>PT-SSL-01</t>
  </si>
  <si>
    <t>PT Wahana Surya Agro</t>
  </si>
  <si>
    <t>PT-WSA-01</t>
  </si>
  <si>
    <t>PT-PXK-01</t>
  </si>
  <si>
    <t>CRO 11</t>
  </si>
  <si>
    <t>Regional Papua Selatan</t>
  </si>
  <si>
    <t>PT Agrinusa Persada Mulia</t>
  </si>
  <si>
    <t>PT-APM-01</t>
  </si>
  <si>
    <t>PT Agriprima Cipta Persada</t>
  </si>
  <si>
    <t>PT-ACP-01</t>
  </si>
  <si>
    <t>PT Berkat Cipta Abadi (Korindo Group)</t>
  </si>
  <si>
    <t>PT-BCA-01</t>
  </si>
  <si>
    <t>PT Bio Inti Agrindo</t>
  </si>
  <si>
    <t>PT-BIA-01</t>
  </si>
  <si>
    <t>PT Bovendigoel Budidaya Sentosa</t>
  </si>
  <si>
    <t>PT-BBS-01</t>
  </si>
  <si>
    <t>PT Digoel Agri Jaya</t>
  </si>
  <si>
    <t>PT-DAJ-01</t>
  </si>
  <si>
    <t>PT Digoel Agri Mandiri</t>
  </si>
  <si>
    <t>PT-DAM-01</t>
  </si>
  <si>
    <t>PT Dongin Prabhawa (Korindo Group)</t>
  </si>
  <si>
    <t>PT-DPK-01</t>
  </si>
  <si>
    <t>PT Graha Kencana Mulia (Semesta Alam Sejati)</t>
  </si>
  <si>
    <t>PT-GKM-01</t>
  </si>
  <si>
    <t>PT Indoagro Daya Adimulia</t>
  </si>
  <si>
    <t>PT-IDA-01</t>
  </si>
  <si>
    <t>PT Indoasiana Lestari</t>
  </si>
  <si>
    <t>PT-ILN-01</t>
  </si>
  <si>
    <t>PT Kartika Cipta Pratama</t>
  </si>
  <si>
    <t>PT-KCP-01</t>
  </si>
  <si>
    <t>PT Mega Karya Jaya Raya</t>
  </si>
  <si>
    <t>PT-MKJ-02</t>
  </si>
  <si>
    <t>PT Papua Agro Lestari (Korindo Group)</t>
  </si>
  <si>
    <t>PT-PAL-03</t>
  </si>
  <si>
    <t>PT Perkebunan Bovendigoel Sejahtera</t>
  </si>
  <si>
    <t>PT-PBS-01</t>
  </si>
  <si>
    <t>PT TUNAS SAWA ERMA (KORINDO GROUP)</t>
  </si>
  <si>
    <t>PT-TSE-01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</si>
</sst>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"/>
  </numFmts>
  <fonts count="7">
    <font>
      <sz val="10.0"/>
      <color rgb="FF000000"/>
      <name val="Arial"/>
      <scheme val="minor"/>
    </font>
    <font>
      <b/>
      <sz val="12.0"/>
      <color rgb="FFFFFFFF"/>
      <name val="Consolas"/>
    </font>
    <font>
      <b/>
      <sz val="12.0"/>
      <color theme="1"/>
      <name val="Consolas"/>
    </font>
    <font>
      <sz val="12.0"/>
      <color theme="1"/>
      <name val="Consolas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75317"/>
        <bgColor rgb="FF275317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3" xfId="0" applyAlignment="1" applyBorder="1" applyFont="1" applyNumberFormat="1">
      <alignment horizontal="center" readingOrder="0" shrinkToFit="0" vertical="center" wrapText="1"/>
    </xf>
    <xf borderId="0" fillId="0" fontId="3" numFmtId="0" xfId="0" applyFont="1"/>
    <xf borderId="2" fillId="4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center"/>
    </xf>
    <xf borderId="3" fillId="0" fontId="5" numFmtId="4" xfId="0" applyAlignment="1" applyBorder="1" applyFont="1" applyNumberFormat="1">
      <alignment horizontal="right" readingOrder="0" shrinkToFit="0" wrapText="0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6" fontId="3" numFmtId="164" xfId="0" applyAlignment="1" applyBorder="1" applyFill="1" applyFont="1" applyNumberFormat="1">
      <alignment horizontal="center" shrinkToFit="0" vertical="center" wrapText="1"/>
    </xf>
    <xf borderId="2" fillId="4" fontId="3" numFmtId="0" xfId="0" applyBorder="1" applyFont="1"/>
    <xf borderId="2" fillId="0" fontId="2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0" fillId="0" fontId="3" numFmtId="4" xfId="0" applyFont="1" applyNumberFormat="1"/>
    <xf borderId="0" fillId="0" fontId="3" numFmtId="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3" width="34.0"/>
    <col customWidth="1" min="4" max="5" width="10.88"/>
  </cols>
  <sheetData>
    <row r="1">
      <c r="A1" s="2" t="s">
        <v>0</v>
      </c>
      <c r="B1" s="2" t="s">
        <v>1</v>
      </c>
      <c r="C1" s="2" t="s">
        <v>2</v>
      </c>
      <c r="D1" s="3" t="s">
        <v>5</v>
      </c>
      <c r="E1" s="3" t="s">
        <v>3</v>
      </c>
      <c r="F1" s="5" t="s">
        <v>6</v>
      </c>
      <c r="G1" s="3" t="s">
        <v>8</v>
      </c>
      <c r="H1" s="3" t="s">
        <v>10</v>
      </c>
      <c r="I1" s="7" t="s">
        <v>11</v>
      </c>
      <c r="J1" s="7" t="s">
        <v>12</v>
      </c>
      <c r="K1" s="9" t="s">
        <v>13</v>
      </c>
      <c r="L1" s="9" t="s">
        <v>15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0" t="s">
        <v>14</v>
      </c>
      <c r="B2" s="10" t="s">
        <v>16</v>
      </c>
      <c r="C2" s="12" t="s">
        <v>18</v>
      </c>
      <c r="D2" s="13" t="s">
        <v>20</v>
      </c>
      <c r="E2" s="16">
        <f t="array" ref="E2">XLOOKUP(C2,'DATA TK PANEN'!D:D,'DATA TK PANEN'!H:H)</f>
        <v>69.57</v>
      </c>
      <c r="F2" s="10" t="str">
        <f>IFERROR(__xludf.DUMMYFUNCTION("XLOOKUP(C2,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2" s="10" t="str">
        <f>IFERROR(__xludf.DUMMYFUNCTION("XLOOKUP($C2,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2" s="10" t="str">
        <f>IFERROR(__xludf.DUMMYFUNCTION("XLOOKUP($C2,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2" s="18"/>
      <c r="J2" s="18"/>
      <c r="K2" s="10">
        <f>IFERROR(__xludf.DUMMYFUNCTION("XLOOKUP($C2,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2" s="10">
        <f>IFERROR(__xludf.DUMMYFUNCTION("XLOOKUP($C2,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2" s="8"/>
      <c r="N2" s="8"/>
      <c r="O2" s="8"/>
      <c r="P2" s="8"/>
      <c r="Q2" s="8"/>
      <c r="R2" s="8"/>
      <c r="S2" s="8"/>
      <c r="T2" s="8"/>
      <c r="U2" s="8"/>
    </row>
    <row r="3">
      <c r="A3" s="10" t="s">
        <v>14</v>
      </c>
      <c r="B3" s="10" t="s">
        <v>16</v>
      </c>
      <c r="C3" s="12" t="s">
        <v>28</v>
      </c>
      <c r="D3" s="13" t="s">
        <v>29</v>
      </c>
      <c r="E3" s="16">
        <f t="array" ref="E3">XLOOKUP(C3,'DATA TK PANEN'!D:D,'DATA TK PANEN'!H:H)</f>
        <v>22</v>
      </c>
      <c r="F3" s="10" t="str">
        <f>IFERROR(__xludf.DUMMYFUNCTION("XLOOKUP(C3,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3" s="10" t="str">
        <f>IFERROR(__xludf.DUMMYFUNCTION("XLOOKUP($C3,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3" s="10" t="str">
        <f>IFERROR(__xludf.DUMMYFUNCTION("XLOOKUP($C3,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3" s="18"/>
      <c r="J3" s="18"/>
      <c r="K3" s="10">
        <f>IFERROR(__xludf.DUMMYFUNCTION("XLOOKUP($C3,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3" s="10">
        <f>IFERROR(__xludf.DUMMYFUNCTION("XLOOKUP($C3,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3" s="8"/>
      <c r="N3" s="8"/>
      <c r="O3" s="8"/>
      <c r="P3" s="8"/>
      <c r="Q3" s="8"/>
      <c r="R3" s="8"/>
      <c r="S3" s="8"/>
      <c r="T3" s="8"/>
      <c r="U3" s="8"/>
    </row>
    <row r="4">
      <c r="A4" s="10" t="s">
        <v>14</v>
      </c>
      <c r="B4" s="10" t="s">
        <v>16</v>
      </c>
      <c r="C4" s="12" t="s">
        <v>33</v>
      </c>
      <c r="D4" s="13" t="s">
        <v>34</v>
      </c>
      <c r="E4" s="16">
        <f t="array" ref="E4">XLOOKUP(C4,'DATA TK PANEN'!D:D,'DATA TK PANEN'!H:H)</f>
        <v>346.2</v>
      </c>
      <c r="F4" s="10" t="str">
        <f>IFERROR(__xludf.DUMMYFUNCTION("XLOOKUP(C4,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4" s="10" t="str">
        <f>IFERROR(__xludf.DUMMYFUNCTION("XLOOKUP($C4,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4" s="10" t="str">
        <f>IFERROR(__xludf.DUMMYFUNCTION("XLOOKUP($C4,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4" s="18"/>
      <c r="J4" s="18"/>
      <c r="K4" s="10">
        <f>IFERROR(__xludf.DUMMYFUNCTION("XLOOKUP($C4,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4" s="10">
        <f>IFERROR(__xludf.DUMMYFUNCTION("XLOOKUP($C4,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4" s="8"/>
      <c r="N4" s="8"/>
      <c r="O4" s="8"/>
      <c r="P4" s="8"/>
      <c r="Q4" s="8"/>
      <c r="R4" s="8"/>
      <c r="S4" s="8"/>
      <c r="T4" s="8"/>
      <c r="U4" s="8"/>
    </row>
    <row r="5">
      <c r="A5" s="10" t="s">
        <v>14</v>
      </c>
      <c r="B5" s="10" t="s">
        <v>16</v>
      </c>
      <c r="C5" s="12" t="s">
        <v>36</v>
      </c>
      <c r="D5" s="13" t="s">
        <v>38</v>
      </c>
      <c r="E5" s="16">
        <f t="array" ref="E5">XLOOKUP(C5,'DATA TK PANEN'!D:D,'DATA TK PANEN'!H:H)</f>
        <v>77.89</v>
      </c>
      <c r="F5" s="10">
        <f>IFERROR(__xludf.DUMMYFUNCTION("XLOOKUP(C5,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(AUTO)'!S6:S""))"),5.0)</f>
        <v>5</v>
      </c>
      <c r="G5" s="10">
        <f>IFERROR(__xludf.DUMMYFUNCTION("XLOOKUP($C5,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(AUTO)'!T6:T""))"),5.0)</f>
        <v>5</v>
      </c>
      <c r="H5" s="10">
        <f>IFERROR(__xludf.DUMMYFUNCTION("XLOOKUP($C5,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(AUTO)'!V6:V""))"),5.0)</f>
        <v>5</v>
      </c>
      <c r="I5" s="18"/>
      <c r="J5" s="18"/>
      <c r="K5" s="10">
        <f>IFERROR(__xludf.DUMMYFUNCTION("XLOOKUP($C5,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5" s="10">
        <f>IFERROR(__xludf.DUMMYFUNCTION("XLOOKUP($C5,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5" s="8"/>
      <c r="N5" s="8"/>
      <c r="O5" s="8"/>
      <c r="P5" s="8"/>
      <c r="Q5" s="8"/>
      <c r="R5" s="8"/>
      <c r="S5" s="8"/>
      <c r="T5" s="8"/>
      <c r="U5" s="8"/>
    </row>
    <row r="6">
      <c r="A6" s="10" t="s">
        <v>14</v>
      </c>
      <c r="B6" s="10" t="s">
        <v>16</v>
      </c>
      <c r="C6" s="12" t="s">
        <v>39</v>
      </c>
      <c r="D6" s="13" t="s">
        <v>41</v>
      </c>
      <c r="E6" s="16">
        <f t="array" ref="E6">XLOOKUP(C6,'DATA TK PANEN'!D:D,'DATA TK PANEN'!H:H)</f>
        <v>155.07</v>
      </c>
      <c r="F6" s="10">
        <f>IFERROR(__xludf.DUMMYFUNCTION("XLOOKUP(C6,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(AUTO)'!S6:S""))"),9.0)</f>
        <v>9</v>
      </c>
      <c r="G6" s="10">
        <f>IFERROR(__xludf.DUMMYFUNCTION("XLOOKUP($C6,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(AUTO)'!T6:T""))"),7.0)</f>
        <v>7</v>
      </c>
      <c r="H6" s="10">
        <f>IFERROR(__xludf.DUMMYFUNCTION("XLOOKUP($C6,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(AUTO)'!V6:V""))"),8.0)</f>
        <v>8</v>
      </c>
      <c r="I6" s="18"/>
      <c r="J6" s="18"/>
      <c r="K6" s="10">
        <f>IFERROR(__xludf.DUMMYFUNCTION("XLOOKUP($C6,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(AUTO)'!W6:W""))"),1.0)</f>
        <v>1</v>
      </c>
      <c r="L6" s="10">
        <f>IFERROR(__xludf.DUMMYFUNCTION("XLOOKUP($C6,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6" s="8"/>
      <c r="N6" s="8"/>
      <c r="O6" s="8"/>
      <c r="P6" s="8"/>
      <c r="Q6" s="8"/>
      <c r="R6" s="8"/>
      <c r="S6" s="8"/>
      <c r="T6" s="8"/>
      <c r="U6" s="8"/>
    </row>
    <row r="7">
      <c r="A7" s="10" t="s">
        <v>14</v>
      </c>
      <c r="B7" s="10" t="s">
        <v>16</v>
      </c>
      <c r="C7" s="12" t="s">
        <v>43</v>
      </c>
      <c r="D7" s="13" t="s">
        <v>44</v>
      </c>
      <c r="E7" s="16">
        <f t="array" ref="E7">XLOOKUP(C7,'DATA TK PANEN'!D:D,'DATA TK PANEN'!H:H)</f>
        <v>60.54</v>
      </c>
      <c r="F7" s="10" t="str">
        <f>IFERROR(__xludf.DUMMYFUNCTION("XLOOKUP(C7,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7" s="10" t="str">
        <f>IFERROR(__xludf.DUMMYFUNCTION("XLOOKUP($C7,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7" s="10" t="str">
        <f>IFERROR(__xludf.DUMMYFUNCTION("XLOOKUP($C7,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7" s="18"/>
      <c r="J7" s="18"/>
      <c r="K7" s="10">
        <f>IFERROR(__xludf.DUMMYFUNCTION("XLOOKUP($C7,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7" s="10">
        <f>IFERROR(__xludf.DUMMYFUNCTION("XLOOKUP($C7,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7" s="8"/>
      <c r="N7" s="8"/>
      <c r="O7" s="8"/>
      <c r="P7" s="8"/>
      <c r="Q7" s="8"/>
      <c r="R7" s="8"/>
      <c r="S7" s="8"/>
      <c r="T7" s="8"/>
      <c r="U7" s="8"/>
    </row>
    <row r="8">
      <c r="A8" s="10" t="s">
        <v>14</v>
      </c>
      <c r="B8" s="10" t="s">
        <v>16</v>
      </c>
      <c r="C8" s="12" t="s">
        <v>47</v>
      </c>
      <c r="D8" s="13" t="s">
        <v>48</v>
      </c>
      <c r="E8" s="16">
        <f t="array" ref="E8">XLOOKUP(C8,'DATA TK PANEN'!D:D,'DATA TK PANEN'!H:H)</f>
        <v>15.51</v>
      </c>
      <c r="F8" s="10" t="str">
        <f>IFERROR(__xludf.DUMMYFUNCTION("XLOOKUP(C8,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8" s="10" t="str">
        <f>IFERROR(__xludf.DUMMYFUNCTION("XLOOKUP($C8,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8" s="10" t="str">
        <f>IFERROR(__xludf.DUMMYFUNCTION("XLOOKUP($C8,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8" s="18"/>
      <c r="J8" s="18"/>
      <c r="K8" s="10">
        <f>IFERROR(__xludf.DUMMYFUNCTION("XLOOKUP($C8,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8" s="10">
        <f>IFERROR(__xludf.DUMMYFUNCTION("XLOOKUP($C8,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8" s="8"/>
      <c r="N8" s="8"/>
      <c r="O8" s="8"/>
      <c r="P8" s="8"/>
      <c r="Q8" s="8"/>
      <c r="R8" s="8"/>
      <c r="S8" s="8"/>
      <c r="T8" s="8"/>
      <c r="U8" s="8"/>
    </row>
    <row r="9">
      <c r="A9" s="10" t="s">
        <v>14</v>
      </c>
      <c r="B9" s="10" t="s">
        <v>16</v>
      </c>
      <c r="C9" s="12" t="s">
        <v>52</v>
      </c>
      <c r="D9" s="13" t="s">
        <v>54</v>
      </c>
      <c r="E9" s="16">
        <f t="array" ref="E9">XLOOKUP(C9,'DATA TK PANEN'!D:D,'DATA TK PANEN'!H:H)</f>
        <v>510.39</v>
      </c>
      <c r="F9" s="10" t="str">
        <f>IFERROR(__xludf.DUMMYFUNCTION("XLOOKUP(C9, IMPORTRANGE(""https://docs.google.com/spreadsheets/d/1RJrFMGUC-XijmB6MWr0bUJNzuN7BM1j8R_D0vOt0s8I/edit?usp=sharing"", ""'Master Data TK V0.2 (AUTO)'!F6:F""), IMPORTRANGE(""https://docs.google.com/spreadsheets/d/1RJrFMGUC-XijmB6MWr0bUJNzuN7BM1j"&amp;"8R_D0vOt0s8I/edit?usp=sharing"", ""'Master Data TK V0.2 (AUTO)'!S6:S""))"),"-")</f>
        <v>-</v>
      </c>
      <c r="G9" s="10" t="str">
        <f>IFERROR(__xludf.DUMMYFUNCTION("XLOOKUP($C9,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(AUTO)'!T6:T""))"),"-")</f>
        <v>-</v>
      </c>
      <c r="H9" s="10" t="str">
        <f>IFERROR(__xludf.DUMMYFUNCTION("XLOOKUP($C9,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(AUTO)'!V6:V""))"),"")</f>
        <v/>
      </c>
      <c r="I9" s="18"/>
      <c r="J9" s="18"/>
      <c r="K9" s="10">
        <f>IFERROR(__xludf.DUMMYFUNCTION("XLOOKUP($C9,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(AUTO)'!W6:W""))"),0.0)</f>
        <v>0</v>
      </c>
      <c r="L9" s="10">
        <f>IFERROR(__xludf.DUMMYFUNCTION("XLOOKUP($C9,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(AUTO)'!X6:X""))"),0.0)</f>
        <v>0</v>
      </c>
      <c r="M9" s="8"/>
      <c r="N9" s="8"/>
      <c r="O9" s="8"/>
      <c r="P9" s="8"/>
      <c r="Q9" s="8"/>
      <c r="R9" s="8"/>
      <c r="S9" s="8"/>
      <c r="T9" s="8"/>
      <c r="U9" s="8"/>
    </row>
    <row r="10">
      <c r="A10" s="10" t="s">
        <v>14</v>
      </c>
      <c r="B10" s="10" t="s">
        <v>55</v>
      </c>
      <c r="C10" s="12" t="s">
        <v>56</v>
      </c>
      <c r="D10" s="13" t="s">
        <v>57</v>
      </c>
      <c r="E10" s="16" t="str">
        <f t="array" ref="E10">XLOOKUP(C10,'DATA TK PANEN'!D:D,'DATA TK PANEN'!H:H)</f>
        <v>Tidak Ditemukan</v>
      </c>
      <c r="F10" s="10" t="str">
        <f>IFERROR(__xludf.DUMMYFUNCTION("XLOOKUP(C10,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0" s="10" t="str">
        <f>IFERROR(__xludf.DUMMYFUNCTION("XLOOKUP($C10,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0" s="10" t="str">
        <f>IFERROR(__xludf.DUMMYFUNCTION("XLOOKUP($C10,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0" s="18"/>
      <c r="J10" s="18"/>
      <c r="K10" s="10" t="str">
        <f>IFERROR(__xludf.DUMMYFUNCTION("XLOOKUP($C10,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0" s="10" t="str">
        <f>IFERROR(__xludf.DUMMYFUNCTION("XLOOKUP($C10,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0" s="8"/>
      <c r="N10" s="8"/>
      <c r="O10" s="8"/>
      <c r="P10" s="8"/>
      <c r="Q10" s="8"/>
      <c r="R10" s="8"/>
      <c r="S10" s="8"/>
      <c r="T10" s="8"/>
      <c r="U10" s="8"/>
    </row>
    <row r="11">
      <c r="A11" s="10" t="s">
        <v>14</v>
      </c>
      <c r="B11" s="10" t="s">
        <v>55</v>
      </c>
      <c r="C11" s="12" t="s">
        <v>42</v>
      </c>
      <c r="D11" s="13" t="s">
        <v>60</v>
      </c>
      <c r="E11" s="16">
        <f t="array" ref="E11">XLOOKUP(C11,'DATA TK PANEN'!D:D,'DATA TK PANEN'!H:H)</f>
        <v>786</v>
      </c>
      <c r="F11" s="10">
        <f>IFERROR(__xludf.DUMMYFUNCTION("XLOOKUP(C11,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(AUTO)'!S6:S""))"),16.0)</f>
        <v>16</v>
      </c>
      <c r="G11" s="10">
        <f>IFERROR(__xludf.DUMMYFUNCTION("XLOOKUP($C11,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(AUTO)'!T6:T""))"),16.0)</f>
        <v>16</v>
      </c>
      <c r="H11" s="10">
        <f>IFERROR(__xludf.DUMMYFUNCTION("XLOOKUP($C11,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(AUTO)'!V6:V""))"),16.0)</f>
        <v>16</v>
      </c>
      <c r="I11" s="18"/>
      <c r="J11" s="18"/>
      <c r="K11" s="10">
        <f>IFERROR(__xludf.DUMMYFUNCTION("XLOOKUP($C11,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11" s="10">
        <f>IFERROR(__xludf.DUMMYFUNCTION("XLOOKUP($C11,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11" s="8"/>
      <c r="N11" s="8"/>
      <c r="O11" s="8"/>
      <c r="P11" s="8"/>
      <c r="Q11" s="8"/>
      <c r="R11" s="8"/>
      <c r="S11" s="8"/>
      <c r="T11" s="8"/>
      <c r="U11" s="8"/>
    </row>
    <row r="12">
      <c r="A12" s="10" t="s">
        <v>14</v>
      </c>
      <c r="B12" s="10" t="s">
        <v>55</v>
      </c>
      <c r="C12" s="12" t="s">
        <v>61</v>
      </c>
      <c r="D12" s="13" t="s">
        <v>64</v>
      </c>
      <c r="E12" s="16" t="str">
        <f t="array" ref="E12">XLOOKUP(C12,'DATA TK PANEN'!D:D,'DATA TK PANEN'!H:H)</f>
        <v>Tidak Ditemukan</v>
      </c>
      <c r="F12" s="10" t="str">
        <f>IFERROR(__xludf.DUMMYFUNCTION("XLOOKUP(C12,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2" s="10" t="str">
        <f>IFERROR(__xludf.DUMMYFUNCTION("XLOOKUP($C12,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2" s="10" t="str">
        <f>IFERROR(__xludf.DUMMYFUNCTION("XLOOKUP($C12,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2" s="18"/>
      <c r="J12" s="18"/>
      <c r="K12" s="10" t="str">
        <f>IFERROR(__xludf.DUMMYFUNCTION("XLOOKUP($C12,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2" s="10" t="str">
        <f>IFERROR(__xludf.DUMMYFUNCTION("XLOOKUP($C12,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2" s="8"/>
      <c r="N12" s="8"/>
      <c r="O12" s="8"/>
      <c r="P12" s="8"/>
      <c r="Q12" s="8"/>
      <c r="R12" s="8"/>
      <c r="S12" s="8"/>
      <c r="T12" s="8"/>
      <c r="U12" s="8"/>
    </row>
    <row r="13">
      <c r="A13" s="10" t="s">
        <v>14</v>
      </c>
      <c r="B13" s="10" t="s">
        <v>55</v>
      </c>
      <c r="C13" s="12" t="s">
        <v>66</v>
      </c>
      <c r="D13" s="13" t="s">
        <v>67</v>
      </c>
      <c r="E13" s="16">
        <f t="array" ref="E13">XLOOKUP(C13,'DATA TK PANEN'!D:D,'DATA TK PANEN'!H:H)</f>
        <v>1.59</v>
      </c>
      <c r="F13" s="10">
        <f>IFERROR(__xludf.DUMMYFUNCTION("XLOOKUP(C13,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(AUTO)'!S6:S""))"),1.0)</f>
        <v>1</v>
      </c>
      <c r="G13" s="10">
        <f>IFERROR(__xludf.DUMMYFUNCTION("XLOOKUP($C13,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(AUTO)'!T6:T""))"),1.0)</f>
        <v>1</v>
      </c>
      <c r="H13" s="10" t="str">
        <f>IFERROR(__xludf.DUMMYFUNCTION("XLOOKUP($C13,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3" s="18"/>
      <c r="J13" s="18"/>
      <c r="K13" s="10" t="str">
        <f>IFERROR(__xludf.DUMMYFUNCTION("XLOOKUP($C13,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3" s="10" t="str">
        <f>IFERROR(__xludf.DUMMYFUNCTION("XLOOKUP($C13,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3" s="8"/>
      <c r="N13" s="8"/>
      <c r="O13" s="8"/>
      <c r="P13" s="8"/>
      <c r="Q13" s="8"/>
      <c r="R13" s="8"/>
      <c r="S13" s="8"/>
      <c r="T13" s="8"/>
      <c r="U13" s="8"/>
    </row>
    <row r="14">
      <c r="A14" s="10" t="s">
        <v>14</v>
      </c>
      <c r="B14" s="10" t="s">
        <v>55</v>
      </c>
      <c r="C14" s="12" t="s">
        <v>69</v>
      </c>
      <c r="D14" s="13" t="s">
        <v>70</v>
      </c>
      <c r="E14" s="16">
        <f t="array" ref="E14">XLOOKUP(C14,'DATA TK PANEN'!D:D,'DATA TK PANEN'!H:H)</f>
        <v>0</v>
      </c>
      <c r="F14" s="10" t="str">
        <f>IFERROR(__xludf.DUMMYFUNCTION("XLOOKUP(C14,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4" s="10" t="str">
        <f>IFERROR(__xludf.DUMMYFUNCTION("XLOOKUP($C14,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4" s="10" t="str">
        <f>IFERROR(__xludf.DUMMYFUNCTION("XLOOKUP($C14,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4" s="18"/>
      <c r="J14" s="18"/>
      <c r="K14" s="10" t="str">
        <f>IFERROR(__xludf.DUMMYFUNCTION("XLOOKUP($C14,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4" s="10" t="str">
        <f>IFERROR(__xludf.DUMMYFUNCTION("XLOOKUP($C14,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4" s="8"/>
      <c r="N14" s="8"/>
      <c r="O14" s="8"/>
      <c r="P14" s="8"/>
      <c r="Q14" s="8"/>
      <c r="R14" s="8"/>
      <c r="S14" s="8"/>
      <c r="T14" s="8"/>
      <c r="U14" s="8"/>
    </row>
    <row r="15">
      <c r="A15" s="10" t="s">
        <v>14</v>
      </c>
      <c r="B15" s="10" t="s">
        <v>55</v>
      </c>
      <c r="C15" s="12" t="s">
        <v>73</v>
      </c>
      <c r="D15" s="13" t="s">
        <v>74</v>
      </c>
      <c r="E15" s="16">
        <f t="array" ref="E15">XLOOKUP(C15,'DATA TK PANEN'!D:D,'DATA TK PANEN'!H:H)</f>
        <v>44.46</v>
      </c>
      <c r="F15" s="10">
        <f>IFERROR(__xludf.DUMMYFUNCTION("XLOOKUP(C15,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(AUTO)'!S6:S""))"),3.0)</f>
        <v>3</v>
      </c>
      <c r="G15" s="10" t="str">
        <f>IFERROR(__xludf.DUMMYFUNCTION("XLOOKUP($C15,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5" s="10" t="str">
        <f>IFERROR(__xludf.DUMMYFUNCTION("XLOOKUP($C15,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5" s="18"/>
      <c r="J15" s="18"/>
      <c r="K15" s="10" t="str">
        <f>IFERROR(__xludf.DUMMYFUNCTION("XLOOKUP($C15,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5" s="10" t="str">
        <f>IFERROR(__xludf.DUMMYFUNCTION("XLOOKUP($C15,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5" s="8"/>
      <c r="N15" s="8"/>
      <c r="O15" s="8"/>
      <c r="P15" s="8"/>
      <c r="Q15" s="8"/>
      <c r="R15" s="8"/>
      <c r="S15" s="8"/>
      <c r="T15" s="8"/>
      <c r="U15" s="8"/>
    </row>
    <row r="16">
      <c r="A16" s="10" t="s">
        <v>14</v>
      </c>
      <c r="B16" s="10" t="s">
        <v>55</v>
      </c>
      <c r="C16" s="12" t="s">
        <v>76</v>
      </c>
      <c r="D16" s="13" t="s">
        <v>77</v>
      </c>
      <c r="E16" s="16" t="str">
        <f t="array" ref="E16">XLOOKUP(C16,'DATA TK PANEN'!D:D,'DATA TK PANEN'!H:H)</f>
        <v>Tidak Ditemukan</v>
      </c>
      <c r="F16" s="10" t="str">
        <f>IFERROR(__xludf.DUMMYFUNCTION("XLOOKUP(C16,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6" s="10" t="str">
        <f>IFERROR(__xludf.DUMMYFUNCTION("XLOOKUP($C16,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6" s="10" t="str">
        <f>IFERROR(__xludf.DUMMYFUNCTION("XLOOKUP($C16,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6" s="18"/>
      <c r="J16" s="18"/>
      <c r="K16" s="10" t="str">
        <f>IFERROR(__xludf.DUMMYFUNCTION("XLOOKUP($C16,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6" s="10" t="str">
        <f>IFERROR(__xludf.DUMMYFUNCTION("XLOOKUP($C16,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6" s="8"/>
      <c r="N16" s="8"/>
      <c r="O16" s="8"/>
      <c r="P16" s="8"/>
      <c r="Q16" s="8"/>
      <c r="R16" s="8"/>
      <c r="S16" s="8"/>
      <c r="T16" s="8"/>
      <c r="U16" s="8"/>
    </row>
    <row r="17">
      <c r="A17" s="10" t="s">
        <v>14</v>
      </c>
      <c r="B17" s="10" t="s">
        <v>55</v>
      </c>
      <c r="C17" s="12" t="s">
        <v>80</v>
      </c>
      <c r="D17" s="13" t="s">
        <v>81</v>
      </c>
      <c r="E17" s="16">
        <f t="array" ref="E17">XLOOKUP(C17,'DATA TK PANEN'!D:D,'DATA TK PANEN'!H:H)</f>
        <v>0</v>
      </c>
      <c r="F17" s="10" t="str">
        <f>IFERROR(__xludf.DUMMYFUNCTION("XLOOKUP(C17,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7" s="10" t="str">
        <f>IFERROR(__xludf.DUMMYFUNCTION("XLOOKUP($C17,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7" s="10" t="str">
        <f>IFERROR(__xludf.DUMMYFUNCTION("XLOOKUP($C17,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7" s="18"/>
      <c r="J17" s="18"/>
      <c r="K17" s="10" t="str">
        <f>IFERROR(__xludf.DUMMYFUNCTION("XLOOKUP($C17,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7" s="10" t="str">
        <f>IFERROR(__xludf.DUMMYFUNCTION("XLOOKUP($C17,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7" s="8"/>
      <c r="N17" s="8"/>
      <c r="O17" s="8"/>
      <c r="P17" s="8"/>
      <c r="Q17" s="8"/>
      <c r="R17" s="8"/>
      <c r="S17" s="8"/>
      <c r="T17" s="8"/>
      <c r="U17" s="8"/>
    </row>
    <row r="18">
      <c r="A18" s="10" t="s">
        <v>14</v>
      </c>
      <c r="B18" s="10" t="s">
        <v>55</v>
      </c>
      <c r="C18" s="12" t="s">
        <v>83</v>
      </c>
      <c r="D18" s="13" t="s">
        <v>84</v>
      </c>
      <c r="E18" s="16">
        <f t="array" ref="E18">XLOOKUP(C18,'DATA TK PANEN'!D:D,'DATA TK PANEN'!H:H)</f>
        <v>0</v>
      </c>
      <c r="F18" s="10" t="str">
        <f>IFERROR(__xludf.DUMMYFUNCTION("XLOOKUP(C18,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8" s="10" t="str">
        <f>IFERROR(__xludf.DUMMYFUNCTION("XLOOKUP($C18,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8" s="10" t="str">
        <f>IFERROR(__xludf.DUMMYFUNCTION("XLOOKUP($C18,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8" s="18"/>
      <c r="J18" s="18"/>
      <c r="K18" s="10" t="str">
        <f>IFERROR(__xludf.DUMMYFUNCTION("XLOOKUP($C18,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8" s="10" t="str">
        <f>IFERROR(__xludf.DUMMYFUNCTION("XLOOKUP($C18,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8" s="8"/>
      <c r="N18" s="8"/>
      <c r="O18" s="8"/>
      <c r="P18" s="8"/>
      <c r="Q18" s="8"/>
      <c r="R18" s="8"/>
      <c r="S18" s="8"/>
      <c r="T18" s="8"/>
      <c r="U18" s="8"/>
    </row>
    <row r="19">
      <c r="A19" s="10" t="s">
        <v>14</v>
      </c>
      <c r="B19" s="10" t="s">
        <v>55</v>
      </c>
      <c r="C19" s="12" t="s">
        <v>86</v>
      </c>
      <c r="D19" s="13" t="s">
        <v>87</v>
      </c>
      <c r="E19" s="16">
        <f t="array" ref="E19">XLOOKUP(C19,'DATA TK PANEN'!D:D,'DATA TK PANEN'!H:H)</f>
        <v>0</v>
      </c>
      <c r="F19" s="10" t="str">
        <f>IFERROR(__xludf.DUMMYFUNCTION("XLOOKUP(C19,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19" s="10" t="str">
        <f>IFERROR(__xludf.DUMMYFUNCTION("XLOOKUP($C19,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19" s="10" t="str">
        <f>IFERROR(__xludf.DUMMYFUNCTION("XLOOKUP($C19,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19" s="18"/>
      <c r="J19" s="18"/>
      <c r="K19" s="10" t="str">
        <f>IFERROR(__xludf.DUMMYFUNCTION("XLOOKUP($C19,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19" s="10" t="str">
        <f>IFERROR(__xludf.DUMMYFUNCTION("XLOOKUP($C19,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19" s="8"/>
      <c r="N19" s="8"/>
      <c r="O19" s="8"/>
      <c r="P19" s="8"/>
      <c r="Q19" s="8"/>
      <c r="R19" s="8"/>
      <c r="S19" s="8"/>
      <c r="T19" s="8"/>
      <c r="U19" s="8"/>
    </row>
    <row r="20">
      <c r="A20" s="10" t="s">
        <v>14</v>
      </c>
      <c r="B20" s="10" t="s">
        <v>55</v>
      </c>
      <c r="C20" s="12" t="s">
        <v>89</v>
      </c>
      <c r="D20" s="13" t="s">
        <v>90</v>
      </c>
      <c r="E20" s="16" t="str">
        <f t="array" ref="E20">XLOOKUP(C20,'DATA TK PANEN'!D:D,'DATA TK PANEN'!H:H)</f>
        <v>Tidak Ditemukan</v>
      </c>
      <c r="F20" s="10" t="str">
        <f>IFERROR(__xludf.DUMMYFUNCTION("XLOOKUP(C20,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0" s="10" t="str">
        <f>IFERROR(__xludf.DUMMYFUNCTION("XLOOKUP($C20,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0" s="10" t="str">
        <f>IFERROR(__xludf.DUMMYFUNCTION("XLOOKUP($C20,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0" s="18"/>
      <c r="J20" s="18"/>
      <c r="K20" s="10" t="str">
        <f>IFERROR(__xludf.DUMMYFUNCTION("XLOOKUP($C20,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0" s="10" t="str">
        <f>IFERROR(__xludf.DUMMYFUNCTION("XLOOKUP($C20,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0" s="8"/>
      <c r="N20" s="8"/>
      <c r="O20" s="8"/>
      <c r="P20" s="8"/>
      <c r="Q20" s="8"/>
      <c r="R20" s="8"/>
      <c r="S20" s="8"/>
      <c r="T20" s="8"/>
      <c r="U20" s="8"/>
    </row>
    <row r="21">
      <c r="A21" s="10" t="s">
        <v>14</v>
      </c>
      <c r="B21" s="10" t="s">
        <v>55</v>
      </c>
      <c r="C21" s="12" t="s">
        <v>92</v>
      </c>
      <c r="D21" s="13" t="s">
        <v>93</v>
      </c>
      <c r="E21" s="16">
        <f t="array" ref="E21">XLOOKUP(C21,'DATA TK PANEN'!D:D,'DATA TK PANEN'!H:H)</f>
        <v>3260.34</v>
      </c>
      <c r="F21" s="10">
        <f>IFERROR(__xludf.DUMMYFUNCTION("XLOOKUP(C21,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(AUTO)'!S6:S""))"),196.0)</f>
        <v>196</v>
      </c>
      <c r="G21" s="10">
        <f>IFERROR(__xludf.DUMMYFUNCTION("XLOOKUP($C21,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(AUTO)'!T6:T""))"),135.0)</f>
        <v>135</v>
      </c>
      <c r="H21" s="10">
        <f>IFERROR(__xludf.DUMMYFUNCTION("XLOOKUP($C21,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(AUTO)'!V6:V""))"),149.0)</f>
        <v>149</v>
      </c>
      <c r="I21" s="18"/>
      <c r="J21" s="18"/>
      <c r="K21" s="10">
        <f>IFERROR(__xludf.DUMMYFUNCTION("XLOOKUP($C21,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(AUTO)'!W6:W""))"),20.0)</f>
        <v>20</v>
      </c>
      <c r="L21" s="10">
        <f>IFERROR(__xludf.DUMMYFUNCTION("XLOOKUP($C21,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(AUTO)'!X6:X""))"),27.0)</f>
        <v>27</v>
      </c>
      <c r="M21" s="8"/>
      <c r="N21" s="8"/>
      <c r="O21" s="8"/>
      <c r="P21" s="8"/>
      <c r="Q21" s="8"/>
      <c r="R21" s="8"/>
      <c r="S21" s="8"/>
      <c r="T21" s="8"/>
      <c r="U21" s="8"/>
    </row>
    <row r="22">
      <c r="A22" s="10" t="s">
        <v>14</v>
      </c>
      <c r="B22" s="10" t="s">
        <v>55</v>
      </c>
      <c r="C22" s="12" t="s">
        <v>94</v>
      </c>
      <c r="D22" s="13" t="s">
        <v>96</v>
      </c>
      <c r="E22" s="16">
        <f t="array" ref="E22">XLOOKUP(C22,'DATA TK PANEN'!D:D,'DATA TK PANEN'!H:H)</f>
        <v>0</v>
      </c>
      <c r="F22" s="10" t="str">
        <f>IFERROR(__xludf.DUMMYFUNCTION("XLOOKUP(C22,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2" s="10" t="str">
        <f>IFERROR(__xludf.DUMMYFUNCTION("XLOOKUP($C22,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2" s="10" t="str">
        <f>IFERROR(__xludf.DUMMYFUNCTION("XLOOKUP($C22,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2" s="18"/>
      <c r="J22" s="18"/>
      <c r="K22" s="10" t="str">
        <f>IFERROR(__xludf.DUMMYFUNCTION("XLOOKUP($C22,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2" s="10" t="str">
        <f>IFERROR(__xludf.DUMMYFUNCTION("XLOOKUP($C22,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2" s="8"/>
      <c r="N22" s="8"/>
      <c r="O22" s="8"/>
      <c r="P22" s="8"/>
      <c r="Q22" s="8"/>
      <c r="R22" s="8"/>
      <c r="S22" s="8"/>
      <c r="T22" s="8"/>
      <c r="U22" s="8"/>
    </row>
    <row r="23">
      <c r="A23" s="10" t="s">
        <v>14</v>
      </c>
      <c r="B23" s="10" t="s">
        <v>55</v>
      </c>
      <c r="C23" s="12" t="s">
        <v>99</v>
      </c>
      <c r="D23" s="13" t="s">
        <v>100</v>
      </c>
      <c r="E23" s="16" t="str">
        <f t="array" ref="E23">XLOOKUP(C23,'DATA TK PANEN'!D:D,'DATA TK PANEN'!H:H)</f>
        <v>Tidak Ditemukan</v>
      </c>
      <c r="F23" s="10" t="str">
        <f>IFERROR(__xludf.DUMMYFUNCTION("XLOOKUP(C23,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3" s="10" t="str">
        <f>IFERROR(__xludf.DUMMYFUNCTION("XLOOKUP($C23,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3" s="10" t="str">
        <f>IFERROR(__xludf.DUMMYFUNCTION("XLOOKUP($C23,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3" s="18"/>
      <c r="J23" s="18"/>
      <c r="K23" s="10" t="str">
        <f>IFERROR(__xludf.DUMMYFUNCTION("XLOOKUP($C23,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3" s="10" t="str">
        <f>IFERROR(__xludf.DUMMYFUNCTION("XLOOKUP($C23,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3" s="8"/>
      <c r="N23" s="8"/>
      <c r="O23" s="8"/>
      <c r="P23" s="8"/>
      <c r="Q23" s="8"/>
      <c r="R23" s="8"/>
      <c r="S23" s="8"/>
      <c r="T23" s="8"/>
      <c r="U23" s="8"/>
    </row>
    <row r="24">
      <c r="A24" s="10" t="s">
        <v>14</v>
      </c>
      <c r="B24" s="10" t="s">
        <v>55</v>
      </c>
      <c r="C24" s="12" t="s">
        <v>102</v>
      </c>
      <c r="D24" s="13" t="s">
        <v>103</v>
      </c>
      <c r="E24" s="16">
        <f t="array" ref="E24">XLOOKUP(C24,'DATA TK PANEN'!D:D,'DATA TK PANEN'!H:H)</f>
        <v>269</v>
      </c>
      <c r="F24" s="10">
        <f>IFERROR(__xludf.DUMMYFUNCTION("XLOOKUP(C24,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(AUTO)'!S6:S""))"),10.0)</f>
        <v>10</v>
      </c>
      <c r="G24" s="10">
        <f>IFERROR(__xludf.DUMMYFUNCTION("XLOOKUP($C24,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(AUTO)'!T6:T""))"),7.0)</f>
        <v>7</v>
      </c>
      <c r="H24" s="10">
        <f>IFERROR(__xludf.DUMMYFUNCTION("XLOOKUP($C24,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(AUTO)'!V6:V""))"),10.0)</f>
        <v>10</v>
      </c>
      <c r="I24" s="18"/>
      <c r="J24" s="18"/>
      <c r="K24" s="10">
        <f>IFERROR(__xludf.DUMMYFUNCTION("XLOOKUP($C24,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24" s="10">
        <f>IFERROR(__xludf.DUMMYFUNCTION("XLOOKUP($C24,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24" s="8"/>
      <c r="N24" s="8"/>
      <c r="O24" s="8"/>
      <c r="P24" s="8"/>
      <c r="Q24" s="8"/>
      <c r="R24" s="8"/>
      <c r="S24" s="8"/>
      <c r="T24" s="8"/>
      <c r="U24" s="8"/>
    </row>
    <row r="25">
      <c r="A25" s="10" t="s">
        <v>14</v>
      </c>
      <c r="B25" s="10" t="s">
        <v>55</v>
      </c>
      <c r="C25" s="12" t="s">
        <v>106</v>
      </c>
      <c r="D25" s="13" t="s">
        <v>107</v>
      </c>
      <c r="E25" s="16">
        <f t="array" ref="E25">XLOOKUP(C25,'DATA TK PANEN'!D:D,'DATA TK PANEN'!H:H)</f>
        <v>264.84</v>
      </c>
      <c r="F25" s="10">
        <f>IFERROR(__xludf.DUMMYFUNCTION("XLOOKUP(C25,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(AUTO)'!S6:S""))"),15.0)</f>
        <v>15</v>
      </c>
      <c r="G25" s="10">
        <f>IFERROR(__xludf.DUMMYFUNCTION("XLOOKUP($C25,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(AUTO)'!T6:T""))"),15.0)</f>
        <v>15</v>
      </c>
      <c r="H25" s="10">
        <f>IFERROR(__xludf.DUMMYFUNCTION("XLOOKUP($C25,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(AUTO)'!V6:V""))"),13.0)</f>
        <v>13</v>
      </c>
      <c r="I25" s="18"/>
      <c r="J25" s="18"/>
      <c r="K25" s="10">
        <f>IFERROR(__xludf.DUMMYFUNCTION("XLOOKUP($C25,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(AUTO)'!W6:W""))"),1.0)</f>
        <v>1</v>
      </c>
      <c r="L25" s="10">
        <f>IFERROR(__xludf.DUMMYFUNCTION("XLOOKUP($C25,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(AUTO)'!X6:X""))"),1.0)</f>
        <v>1</v>
      </c>
      <c r="M25" s="8"/>
      <c r="N25" s="8"/>
      <c r="O25" s="8"/>
      <c r="P25" s="8"/>
      <c r="Q25" s="8"/>
      <c r="R25" s="8"/>
      <c r="S25" s="8"/>
      <c r="T25" s="8"/>
      <c r="U25" s="8"/>
    </row>
    <row r="26">
      <c r="A26" s="10" t="s">
        <v>14</v>
      </c>
      <c r="B26" s="10" t="s">
        <v>55</v>
      </c>
      <c r="C26" s="12" t="s">
        <v>109</v>
      </c>
      <c r="D26" s="13" t="s">
        <v>110</v>
      </c>
      <c r="E26" s="16">
        <f t="array" ref="E26">XLOOKUP(C26,'DATA TK PANEN'!D:D,'DATA TK PANEN'!H:H)</f>
        <v>440.4</v>
      </c>
      <c r="F26" s="10">
        <f>IFERROR(__xludf.DUMMYFUNCTION("XLOOKUP(C26,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(AUTO)'!S6:S""))"),26.0)</f>
        <v>26</v>
      </c>
      <c r="G26" s="10" t="str">
        <f>IFERROR(__xludf.DUMMYFUNCTION("XLOOKUP($C26,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(AUTO)'!T6:T""))"),"")</f>
        <v/>
      </c>
      <c r="H26" s="10" t="str">
        <f>IFERROR(__xludf.DUMMYFUNCTION("XLOOKUP($C26,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6" s="18"/>
      <c r="J26" s="18"/>
      <c r="K26" s="10" t="str">
        <f>IFERROR(__xludf.DUMMYFUNCTION("XLOOKUP($C26,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6" s="10" t="str">
        <f>IFERROR(__xludf.DUMMYFUNCTION("XLOOKUP($C26,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6" s="8"/>
      <c r="N26" s="8"/>
      <c r="O26" s="8"/>
      <c r="P26" s="8"/>
      <c r="Q26" s="8"/>
      <c r="R26" s="8"/>
      <c r="S26" s="8"/>
      <c r="T26" s="8"/>
      <c r="U26" s="8"/>
    </row>
    <row r="27">
      <c r="A27" s="10" t="s">
        <v>14</v>
      </c>
      <c r="B27" s="10" t="s">
        <v>55</v>
      </c>
      <c r="C27" s="12" t="s">
        <v>113</v>
      </c>
      <c r="D27" s="13" t="s">
        <v>114</v>
      </c>
      <c r="E27" s="16" t="str">
        <f t="array" ref="E27">XLOOKUP(C27,'DATA TK PANEN'!D:D,'DATA TK PANEN'!H:H)</f>
        <v>Tidak Ditemukan</v>
      </c>
      <c r="F27" s="10" t="str">
        <f>IFERROR(__xludf.DUMMYFUNCTION("XLOOKUP(C27,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7" s="10" t="str">
        <f>IFERROR(__xludf.DUMMYFUNCTION("XLOOKUP($C27,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7" s="10" t="str">
        <f>IFERROR(__xludf.DUMMYFUNCTION("XLOOKUP($C27,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7" s="18"/>
      <c r="J27" s="18"/>
      <c r="K27" s="10" t="str">
        <f>IFERROR(__xludf.DUMMYFUNCTION("XLOOKUP($C27,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7" s="10" t="str">
        <f>IFERROR(__xludf.DUMMYFUNCTION("XLOOKUP($C27,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7" s="8"/>
      <c r="N27" s="8"/>
      <c r="O27" s="8"/>
      <c r="P27" s="8"/>
      <c r="Q27" s="8"/>
      <c r="R27" s="8"/>
      <c r="S27" s="8"/>
      <c r="T27" s="8"/>
      <c r="U27" s="8"/>
    </row>
    <row r="28">
      <c r="A28" s="10" t="s">
        <v>14</v>
      </c>
      <c r="B28" s="10" t="s">
        <v>55</v>
      </c>
      <c r="C28" s="12" t="s">
        <v>116</v>
      </c>
      <c r="D28" s="13" t="s">
        <v>117</v>
      </c>
      <c r="E28" s="16">
        <f t="array" ref="E28">XLOOKUP(C28,'DATA TK PANEN'!D:D,'DATA TK PANEN'!H:H)</f>
        <v>0</v>
      </c>
      <c r="F28" s="10" t="str">
        <f>IFERROR(__xludf.DUMMYFUNCTION("XLOOKUP(C28,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8" s="10" t="str">
        <f>IFERROR(__xludf.DUMMYFUNCTION("XLOOKUP($C28,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8" s="10" t="str">
        <f>IFERROR(__xludf.DUMMYFUNCTION("XLOOKUP($C28,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8" s="18"/>
      <c r="J28" s="18"/>
      <c r="K28" s="10" t="str">
        <f>IFERROR(__xludf.DUMMYFUNCTION("XLOOKUP($C28,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8" s="10" t="str">
        <f>IFERROR(__xludf.DUMMYFUNCTION("XLOOKUP($C28,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8" s="8"/>
      <c r="N28" s="8"/>
      <c r="O28" s="8"/>
      <c r="P28" s="8"/>
      <c r="Q28" s="8"/>
      <c r="R28" s="8"/>
      <c r="S28" s="8"/>
      <c r="T28" s="8"/>
      <c r="U28" s="8"/>
    </row>
    <row r="29">
      <c r="A29" s="10" t="s">
        <v>14</v>
      </c>
      <c r="B29" s="10" t="s">
        <v>55</v>
      </c>
      <c r="C29" s="12" t="s">
        <v>119</v>
      </c>
      <c r="D29" s="13" t="s">
        <v>120</v>
      </c>
      <c r="E29" s="16">
        <f t="array" ref="E29">XLOOKUP(C29,'DATA TK PANEN'!D:D,'DATA TK PANEN'!H:H)</f>
        <v>0</v>
      </c>
      <c r="F29" s="10" t="str">
        <f>IFERROR(__xludf.DUMMYFUNCTION("XLOOKUP(C29,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29" s="10" t="str">
        <f>IFERROR(__xludf.DUMMYFUNCTION("XLOOKUP($C29,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29" s="10" t="str">
        <f>IFERROR(__xludf.DUMMYFUNCTION("XLOOKUP($C29,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29" s="18"/>
      <c r="J29" s="18"/>
      <c r="K29" s="10" t="str">
        <f>IFERROR(__xludf.DUMMYFUNCTION("XLOOKUP($C29,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29" s="10" t="str">
        <f>IFERROR(__xludf.DUMMYFUNCTION("XLOOKUP($C29,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29" s="8"/>
      <c r="N29" s="8"/>
      <c r="O29" s="8"/>
      <c r="P29" s="8"/>
      <c r="Q29" s="8"/>
      <c r="R29" s="8"/>
      <c r="S29" s="8"/>
      <c r="T29" s="8"/>
      <c r="U29" s="8"/>
    </row>
    <row r="30">
      <c r="A30" s="10" t="s">
        <v>14</v>
      </c>
      <c r="B30" s="10" t="s">
        <v>55</v>
      </c>
      <c r="C30" s="12" t="s">
        <v>122</v>
      </c>
      <c r="D30" s="13" t="s">
        <v>123</v>
      </c>
      <c r="E30" s="16">
        <f t="array" ref="E30">XLOOKUP(C30,'DATA TK PANEN'!D:D,'DATA TK PANEN'!H:H)</f>
        <v>59.9</v>
      </c>
      <c r="F30" s="10" t="str">
        <f>IFERROR(__xludf.DUMMYFUNCTION("XLOOKUP(C30,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0" s="10" t="str">
        <f>IFERROR(__xludf.DUMMYFUNCTION("XLOOKUP($C30,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0" s="10" t="str">
        <f>IFERROR(__xludf.DUMMYFUNCTION("XLOOKUP($C30,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0" s="18"/>
      <c r="J30" s="18"/>
      <c r="K30" s="10" t="str">
        <f>IFERROR(__xludf.DUMMYFUNCTION("XLOOKUP($C30,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0" s="10" t="str">
        <f>IFERROR(__xludf.DUMMYFUNCTION("XLOOKUP($C30,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0" s="8"/>
      <c r="N30" s="8"/>
      <c r="O30" s="8"/>
      <c r="P30" s="8"/>
      <c r="Q30" s="8"/>
      <c r="R30" s="8"/>
      <c r="S30" s="8"/>
      <c r="T30" s="8"/>
      <c r="U30" s="8"/>
    </row>
    <row r="31">
      <c r="A31" s="10" t="s">
        <v>14</v>
      </c>
      <c r="B31" s="10" t="s">
        <v>55</v>
      </c>
      <c r="C31" s="12" t="s">
        <v>127</v>
      </c>
      <c r="D31" s="13" t="s">
        <v>128</v>
      </c>
      <c r="E31" s="16">
        <f t="array" ref="E31">XLOOKUP(C31,'DATA TK PANEN'!D:D,'DATA TK PANEN'!H:H)</f>
        <v>0</v>
      </c>
      <c r="F31" s="10" t="str">
        <f>IFERROR(__xludf.DUMMYFUNCTION("XLOOKUP(C31,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1" s="10" t="str">
        <f>IFERROR(__xludf.DUMMYFUNCTION("XLOOKUP($C31,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1" s="10" t="str">
        <f>IFERROR(__xludf.DUMMYFUNCTION("XLOOKUP($C31,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1" s="18"/>
      <c r="J31" s="18"/>
      <c r="K31" s="10" t="str">
        <f>IFERROR(__xludf.DUMMYFUNCTION("XLOOKUP($C31,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1" s="10" t="str">
        <f>IFERROR(__xludf.DUMMYFUNCTION("XLOOKUP($C31,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1" s="8"/>
      <c r="N31" s="8"/>
      <c r="O31" s="8"/>
      <c r="P31" s="8"/>
      <c r="Q31" s="8"/>
      <c r="R31" s="8"/>
      <c r="S31" s="8"/>
      <c r="T31" s="8"/>
      <c r="U31" s="8"/>
    </row>
    <row r="32">
      <c r="A32" s="10" t="s">
        <v>14</v>
      </c>
      <c r="B32" s="10" t="s">
        <v>55</v>
      </c>
      <c r="C32" s="12" t="s">
        <v>130</v>
      </c>
      <c r="D32" s="13" t="s">
        <v>131</v>
      </c>
      <c r="E32" s="16" t="str">
        <f t="array" ref="E32">XLOOKUP(C32,'DATA TK PANEN'!D:D,'DATA TK PANEN'!H:H)</f>
        <v>Tidak Ditemukan</v>
      </c>
      <c r="F32" s="10" t="str">
        <f>IFERROR(__xludf.DUMMYFUNCTION("XLOOKUP(C32,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2" s="10" t="str">
        <f>IFERROR(__xludf.DUMMYFUNCTION("XLOOKUP($C32,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2" s="10" t="str">
        <f>IFERROR(__xludf.DUMMYFUNCTION("XLOOKUP($C32,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2" s="18"/>
      <c r="J32" s="18"/>
      <c r="K32" s="10" t="str">
        <f>IFERROR(__xludf.DUMMYFUNCTION("XLOOKUP($C32,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2" s="10" t="str">
        <f>IFERROR(__xludf.DUMMYFUNCTION("XLOOKUP($C32,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2" s="8"/>
      <c r="N32" s="8"/>
      <c r="O32" s="8"/>
      <c r="P32" s="8"/>
      <c r="Q32" s="8"/>
      <c r="R32" s="8"/>
      <c r="S32" s="8"/>
      <c r="T32" s="8"/>
      <c r="U32" s="8"/>
    </row>
    <row r="33">
      <c r="A33" s="10" t="s">
        <v>14</v>
      </c>
      <c r="B33" s="10" t="s">
        <v>55</v>
      </c>
      <c r="C33" s="12" t="s">
        <v>133</v>
      </c>
      <c r="D33" s="13" t="s">
        <v>135</v>
      </c>
      <c r="E33" s="16" t="str">
        <f t="array" ref="E33">XLOOKUP(C33,'DATA TK PANEN'!D:D,'DATA TK PANEN'!H:H)</f>
        <v>Tidak Ditemukan</v>
      </c>
      <c r="F33" s="10" t="str">
        <f>IFERROR(__xludf.DUMMYFUNCTION("XLOOKUP(C33,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3" s="10" t="str">
        <f>IFERROR(__xludf.DUMMYFUNCTION("XLOOKUP($C33,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3" s="10" t="str">
        <f>IFERROR(__xludf.DUMMYFUNCTION("XLOOKUP($C33,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3" s="18"/>
      <c r="J33" s="18"/>
      <c r="K33" s="10" t="str">
        <f>IFERROR(__xludf.DUMMYFUNCTION("XLOOKUP($C33,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3" s="10" t="str">
        <f>IFERROR(__xludf.DUMMYFUNCTION("XLOOKUP($C33,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3" s="8"/>
      <c r="N33" s="8"/>
      <c r="O33" s="8"/>
      <c r="P33" s="8"/>
      <c r="Q33" s="8"/>
      <c r="R33" s="8"/>
      <c r="S33" s="8"/>
      <c r="T33" s="8"/>
      <c r="U33" s="8"/>
    </row>
    <row r="34">
      <c r="A34" s="10" t="s">
        <v>14</v>
      </c>
      <c r="B34" s="10" t="s">
        <v>55</v>
      </c>
      <c r="C34" s="12" t="s">
        <v>136</v>
      </c>
      <c r="D34" s="13" t="s">
        <v>138</v>
      </c>
      <c r="E34" s="16">
        <f t="array" ref="E34">XLOOKUP(C34,'DATA TK PANEN'!D:D,'DATA TK PANEN'!H:H)</f>
        <v>0</v>
      </c>
      <c r="F34" s="10" t="str">
        <f>IFERROR(__xludf.DUMMYFUNCTION("XLOOKUP(C34,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4" s="10" t="str">
        <f>IFERROR(__xludf.DUMMYFUNCTION("XLOOKUP($C34,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4" s="10" t="str">
        <f>IFERROR(__xludf.DUMMYFUNCTION("XLOOKUP($C34,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4" s="18"/>
      <c r="J34" s="18"/>
      <c r="K34" s="10" t="str">
        <f>IFERROR(__xludf.DUMMYFUNCTION("XLOOKUP($C34,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4" s="10" t="str">
        <f>IFERROR(__xludf.DUMMYFUNCTION("XLOOKUP($C34,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4" s="8"/>
      <c r="N34" s="8"/>
      <c r="O34" s="8"/>
      <c r="P34" s="8"/>
      <c r="Q34" s="8"/>
      <c r="R34" s="8"/>
      <c r="S34" s="8"/>
      <c r="T34" s="8"/>
      <c r="U34" s="8"/>
    </row>
    <row r="35">
      <c r="A35" s="10" t="s">
        <v>14</v>
      </c>
      <c r="B35" s="10" t="s">
        <v>55</v>
      </c>
      <c r="C35" s="12" t="s">
        <v>139</v>
      </c>
      <c r="D35" s="13" t="s">
        <v>141</v>
      </c>
      <c r="E35" s="16">
        <f t="array" ref="E35">XLOOKUP(C35,'DATA TK PANEN'!D:D,'DATA TK PANEN'!H:H)</f>
        <v>0</v>
      </c>
      <c r="F35" s="10" t="str">
        <f>IFERROR(__xludf.DUMMYFUNCTION("XLOOKUP(C35,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5" s="10" t="str">
        <f>IFERROR(__xludf.DUMMYFUNCTION("XLOOKUP($C35,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5" s="10" t="str">
        <f>IFERROR(__xludf.DUMMYFUNCTION("XLOOKUP($C35,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5" s="18"/>
      <c r="J35" s="18"/>
      <c r="K35" s="10" t="str">
        <f>IFERROR(__xludf.DUMMYFUNCTION("XLOOKUP($C35,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5" s="10" t="str">
        <f>IFERROR(__xludf.DUMMYFUNCTION("XLOOKUP($C35,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5" s="8"/>
      <c r="N35" s="8"/>
      <c r="O35" s="8"/>
      <c r="P35" s="8"/>
      <c r="Q35" s="8"/>
      <c r="R35" s="8"/>
      <c r="S35" s="8"/>
      <c r="T35" s="8"/>
      <c r="U35" s="8"/>
    </row>
    <row r="36">
      <c r="A36" s="10" t="s">
        <v>14</v>
      </c>
      <c r="B36" s="10" t="s">
        <v>55</v>
      </c>
      <c r="C36" s="12" t="s">
        <v>142</v>
      </c>
      <c r="D36" s="13" t="s">
        <v>143</v>
      </c>
      <c r="E36" s="16" t="str">
        <f t="array" ref="E36">XLOOKUP(C36,'DATA TK PANEN'!D:D,'DATA TK PANEN'!H:H)</f>
        <v>Tidak Ditemukan</v>
      </c>
      <c r="F36" s="10" t="str">
        <f>IFERROR(__xludf.DUMMYFUNCTION("XLOOKUP(C36,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6" s="10" t="str">
        <f>IFERROR(__xludf.DUMMYFUNCTION("XLOOKUP($C36,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6" s="10" t="str">
        <f>IFERROR(__xludf.DUMMYFUNCTION("XLOOKUP($C36,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6" s="18"/>
      <c r="J36" s="18"/>
      <c r="K36" s="10" t="str">
        <f>IFERROR(__xludf.DUMMYFUNCTION("XLOOKUP($C36,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6" s="10" t="str">
        <f>IFERROR(__xludf.DUMMYFUNCTION("XLOOKUP($C36,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6" s="8"/>
      <c r="N36" s="8"/>
      <c r="O36" s="8"/>
      <c r="P36" s="8"/>
      <c r="Q36" s="8"/>
      <c r="R36" s="8"/>
      <c r="S36" s="8"/>
      <c r="T36" s="8"/>
      <c r="U36" s="8"/>
    </row>
    <row r="37">
      <c r="A37" s="10" t="s">
        <v>14</v>
      </c>
      <c r="B37" s="10" t="s">
        <v>55</v>
      </c>
      <c r="C37" s="12" t="s">
        <v>145</v>
      </c>
      <c r="D37" s="13" t="s">
        <v>146</v>
      </c>
      <c r="E37" s="16" t="str">
        <f t="array" ref="E37">XLOOKUP(C37,'DATA TK PANEN'!D:D,'DATA TK PANEN'!H:H)</f>
        <v>Tidak Ditemukan</v>
      </c>
      <c r="F37" s="10" t="str">
        <f>IFERROR(__xludf.DUMMYFUNCTION("XLOOKUP(C37,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7" s="10" t="str">
        <f>IFERROR(__xludf.DUMMYFUNCTION("XLOOKUP($C37,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7" s="10" t="str">
        <f>IFERROR(__xludf.DUMMYFUNCTION("XLOOKUP($C37,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7" s="18"/>
      <c r="J37" s="18"/>
      <c r="K37" s="10" t="str">
        <f>IFERROR(__xludf.DUMMYFUNCTION("XLOOKUP($C37,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7" s="10" t="str">
        <f>IFERROR(__xludf.DUMMYFUNCTION("XLOOKUP($C37,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7" s="8"/>
      <c r="N37" s="8"/>
      <c r="O37" s="8"/>
      <c r="P37" s="8"/>
      <c r="Q37" s="8"/>
      <c r="R37" s="8"/>
      <c r="S37" s="8"/>
      <c r="T37" s="8"/>
      <c r="U37" s="8"/>
    </row>
    <row r="38">
      <c r="A38" s="10" t="s">
        <v>14</v>
      </c>
      <c r="B38" s="10" t="s">
        <v>55</v>
      </c>
      <c r="C38" s="12" t="s">
        <v>148</v>
      </c>
      <c r="D38" s="13" t="s">
        <v>149</v>
      </c>
      <c r="E38" s="16">
        <f t="array" ref="E38">XLOOKUP(C38,'DATA TK PANEN'!D:D,'DATA TK PANEN'!H:H)</f>
        <v>0</v>
      </c>
      <c r="F38" s="10" t="str">
        <f>IFERROR(__xludf.DUMMYFUNCTION("XLOOKUP(C38,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8" s="10" t="str">
        <f>IFERROR(__xludf.DUMMYFUNCTION("XLOOKUP($C38,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8" s="10" t="str">
        <f>IFERROR(__xludf.DUMMYFUNCTION("XLOOKUP($C38,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8" s="18"/>
      <c r="J38" s="18"/>
      <c r="K38" s="10" t="str">
        <f>IFERROR(__xludf.DUMMYFUNCTION("XLOOKUP($C38,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8" s="10" t="str">
        <f>IFERROR(__xludf.DUMMYFUNCTION("XLOOKUP($C38,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8" s="8"/>
      <c r="N38" s="8"/>
      <c r="O38" s="8"/>
      <c r="P38" s="8"/>
      <c r="Q38" s="8"/>
      <c r="R38" s="8"/>
      <c r="S38" s="8"/>
      <c r="T38" s="8"/>
      <c r="U38" s="8"/>
    </row>
    <row r="39">
      <c r="A39" s="10" t="s">
        <v>14</v>
      </c>
      <c r="B39" s="10" t="s">
        <v>55</v>
      </c>
      <c r="C39" s="12" t="s">
        <v>150</v>
      </c>
      <c r="D39" s="13" t="s">
        <v>152</v>
      </c>
      <c r="E39" s="16" t="str">
        <f t="array" ref="E39">XLOOKUP(C39,'DATA TK PANEN'!D:D,'DATA TK PANEN'!H:H)</f>
        <v>Tidak Ditemukan</v>
      </c>
      <c r="F39" s="10" t="str">
        <f>IFERROR(__xludf.DUMMYFUNCTION("XLOOKUP(C39,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39" s="10" t="str">
        <f>IFERROR(__xludf.DUMMYFUNCTION("XLOOKUP($C39,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39" s="10" t="str">
        <f>IFERROR(__xludf.DUMMYFUNCTION("XLOOKUP($C39,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39" s="18"/>
      <c r="J39" s="18"/>
      <c r="K39" s="10" t="str">
        <f>IFERROR(__xludf.DUMMYFUNCTION("XLOOKUP($C39,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39" s="10" t="str">
        <f>IFERROR(__xludf.DUMMYFUNCTION("XLOOKUP($C39,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39" s="8"/>
      <c r="N39" s="8"/>
      <c r="O39" s="8"/>
      <c r="P39" s="8"/>
      <c r="Q39" s="8"/>
      <c r="R39" s="8"/>
      <c r="S39" s="8"/>
      <c r="T39" s="8"/>
      <c r="U39" s="8"/>
    </row>
    <row r="40">
      <c r="A40" s="10" t="s">
        <v>14</v>
      </c>
      <c r="B40" s="10" t="s">
        <v>55</v>
      </c>
      <c r="C40" s="12" t="s">
        <v>154</v>
      </c>
      <c r="D40" s="13" t="s">
        <v>155</v>
      </c>
      <c r="E40" s="16">
        <f t="array" ref="E40">XLOOKUP(C40,'DATA TK PANEN'!D:D,'DATA TK PANEN'!H:H)</f>
        <v>0</v>
      </c>
      <c r="F40" s="10" t="str">
        <f>IFERROR(__xludf.DUMMYFUNCTION("XLOOKUP(C40,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0" s="10" t="str">
        <f>IFERROR(__xludf.DUMMYFUNCTION("XLOOKUP($C40,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0" s="10" t="str">
        <f>IFERROR(__xludf.DUMMYFUNCTION("XLOOKUP($C40,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0" s="18"/>
      <c r="J40" s="18"/>
      <c r="K40" s="10" t="str">
        <f>IFERROR(__xludf.DUMMYFUNCTION("XLOOKUP($C40,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0" s="10" t="str">
        <f>IFERROR(__xludf.DUMMYFUNCTION("XLOOKUP($C40,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0" s="8"/>
      <c r="N40" s="8"/>
      <c r="O40" s="8"/>
      <c r="P40" s="8"/>
      <c r="Q40" s="8"/>
      <c r="R40" s="8"/>
      <c r="S40" s="8"/>
      <c r="T40" s="8"/>
      <c r="U40" s="8"/>
    </row>
    <row r="41">
      <c r="A41" s="10" t="s">
        <v>14</v>
      </c>
      <c r="B41" s="10" t="s">
        <v>55</v>
      </c>
      <c r="C41" s="12" t="s">
        <v>156</v>
      </c>
      <c r="D41" s="13" t="s">
        <v>158</v>
      </c>
      <c r="E41" s="16">
        <f t="array" ref="E41">XLOOKUP(C41,'DATA TK PANEN'!D:D,'DATA TK PANEN'!H:H)</f>
        <v>233.62</v>
      </c>
      <c r="F41" s="10" t="str">
        <f>IFERROR(__xludf.DUMMYFUNCTION("XLOOKUP(C41,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1" s="10" t="str">
        <f>IFERROR(__xludf.DUMMYFUNCTION("XLOOKUP($C41,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1" s="10" t="str">
        <f>IFERROR(__xludf.DUMMYFUNCTION("XLOOKUP($C41,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1" s="18"/>
      <c r="J41" s="18"/>
      <c r="K41" s="10" t="str">
        <f>IFERROR(__xludf.DUMMYFUNCTION("XLOOKUP($C41,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1" s="10" t="str">
        <f>IFERROR(__xludf.DUMMYFUNCTION("XLOOKUP($C41,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1" s="8"/>
      <c r="N41" s="8"/>
      <c r="O41" s="8"/>
      <c r="P41" s="8"/>
      <c r="Q41" s="8"/>
      <c r="R41" s="8"/>
      <c r="S41" s="8"/>
      <c r="T41" s="8"/>
      <c r="U41" s="8"/>
    </row>
    <row r="42">
      <c r="A42" s="10" t="s">
        <v>14</v>
      </c>
      <c r="B42" s="10" t="s">
        <v>55</v>
      </c>
      <c r="C42" s="12" t="s">
        <v>160</v>
      </c>
      <c r="D42" s="13" t="s">
        <v>161</v>
      </c>
      <c r="E42" s="16" t="str">
        <f t="array" ref="E42">XLOOKUP(C42,'DATA TK PANEN'!D:D,'DATA TK PANEN'!H:H)</f>
        <v>Tidak Ditemukan</v>
      </c>
      <c r="F42" s="10" t="str">
        <f>IFERROR(__xludf.DUMMYFUNCTION("XLOOKUP(C42,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2" s="10" t="str">
        <f>IFERROR(__xludf.DUMMYFUNCTION("XLOOKUP($C42,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2" s="10" t="str">
        <f>IFERROR(__xludf.DUMMYFUNCTION("XLOOKUP($C42,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2" s="18"/>
      <c r="J42" s="18"/>
      <c r="K42" s="10" t="str">
        <f>IFERROR(__xludf.DUMMYFUNCTION("XLOOKUP($C42,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2" s="10" t="str">
        <f>IFERROR(__xludf.DUMMYFUNCTION("XLOOKUP($C42,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2" s="8"/>
      <c r="N42" s="8"/>
      <c r="O42" s="8"/>
      <c r="P42" s="8"/>
      <c r="Q42" s="8"/>
      <c r="R42" s="8"/>
      <c r="S42" s="8"/>
      <c r="T42" s="8"/>
      <c r="U42" s="8"/>
    </row>
    <row r="43">
      <c r="A43" s="10" t="s">
        <v>14</v>
      </c>
      <c r="B43" s="10" t="s">
        <v>55</v>
      </c>
      <c r="C43" s="12" t="s">
        <v>163</v>
      </c>
      <c r="D43" s="13" t="s">
        <v>164</v>
      </c>
      <c r="E43" s="16" t="str">
        <f t="array" ref="E43">XLOOKUP(C43,'DATA TK PANEN'!D:D,'DATA TK PANEN'!H:H)</f>
        <v>Tidak Ditemukan</v>
      </c>
      <c r="F43" s="10" t="str">
        <f>IFERROR(__xludf.DUMMYFUNCTION("XLOOKUP(C43,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3" s="10" t="str">
        <f>IFERROR(__xludf.DUMMYFUNCTION("XLOOKUP($C43,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3" s="10" t="str">
        <f>IFERROR(__xludf.DUMMYFUNCTION("XLOOKUP($C43,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3" s="18"/>
      <c r="J43" s="18"/>
      <c r="K43" s="10" t="str">
        <f>IFERROR(__xludf.DUMMYFUNCTION("XLOOKUP($C43,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3" s="10" t="str">
        <f>IFERROR(__xludf.DUMMYFUNCTION("XLOOKUP($C43,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3" s="8"/>
      <c r="N43" s="8"/>
      <c r="O43" s="8"/>
      <c r="P43" s="8"/>
      <c r="Q43" s="8"/>
      <c r="R43" s="8"/>
      <c r="S43" s="8"/>
      <c r="T43" s="8"/>
      <c r="U43" s="8"/>
    </row>
    <row r="44">
      <c r="A44" s="10" t="s">
        <v>14</v>
      </c>
      <c r="B44" s="10" t="s">
        <v>55</v>
      </c>
      <c r="C44" s="12" t="s">
        <v>166</v>
      </c>
      <c r="D44" s="13" t="s">
        <v>167</v>
      </c>
      <c r="E44" s="16">
        <f t="array" ref="E44">XLOOKUP(C44,'DATA TK PANEN'!D:D,'DATA TK PANEN'!H:H)</f>
        <v>106.2</v>
      </c>
      <c r="F44" s="10">
        <f>IFERROR(__xludf.DUMMYFUNCTION("XLOOKUP(C44,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(AUTO)'!S6:S""))"),6.0)</f>
        <v>6</v>
      </c>
      <c r="G44" s="10">
        <f>IFERROR(__xludf.DUMMYFUNCTION("XLOOKUP($C44,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(AUTO)'!T6:T""))"),6.0)</f>
        <v>6</v>
      </c>
      <c r="H44" s="10">
        <f>IFERROR(__xludf.DUMMYFUNCTION("XLOOKUP($C44,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(AUTO)'!V6:V""))"),6.0)</f>
        <v>6</v>
      </c>
      <c r="I44" s="18"/>
      <c r="J44" s="18"/>
      <c r="K44" s="10">
        <f>IFERROR(__xludf.DUMMYFUNCTION("XLOOKUP($C44,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44" s="10">
        <f>IFERROR(__xludf.DUMMYFUNCTION("XLOOKUP($C44,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44" s="8"/>
      <c r="N44" s="8"/>
      <c r="O44" s="8"/>
      <c r="P44" s="8"/>
      <c r="Q44" s="8"/>
      <c r="R44" s="8"/>
      <c r="S44" s="8"/>
      <c r="T44" s="8"/>
      <c r="U44" s="8"/>
    </row>
    <row r="45">
      <c r="A45" s="10" t="s">
        <v>14</v>
      </c>
      <c r="B45" s="10" t="s">
        <v>55</v>
      </c>
      <c r="C45" s="12" t="s">
        <v>170</v>
      </c>
      <c r="D45" s="13" t="s">
        <v>171</v>
      </c>
      <c r="E45" s="16">
        <f t="array" ref="E45">XLOOKUP(C45,'DATA TK PANEN'!D:D,'DATA TK PANEN'!H:H)</f>
        <v>0</v>
      </c>
      <c r="F45" s="10" t="str">
        <f>IFERROR(__xludf.DUMMYFUNCTION("XLOOKUP(C45,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5" s="10" t="str">
        <f>IFERROR(__xludf.DUMMYFUNCTION("XLOOKUP($C45,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5" s="10" t="str">
        <f>IFERROR(__xludf.DUMMYFUNCTION("XLOOKUP($C45,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5" s="18"/>
      <c r="J45" s="18"/>
      <c r="K45" s="10" t="str">
        <f>IFERROR(__xludf.DUMMYFUNCTION("XLOOKUP($C45,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5" s="10" t="str">
        <f>IFERROR(__xludf.DUMMYFUNCTION("XLOOKUP($C45,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5" s="8"/>
      <c r="N45" s="8"/>
      <c r="O45" s="8"/>
      <c r="P45" s="8"/>
      <c r="Q45" s="8"/>
      <c r="R45" s="8"/>
      <c r="S45" s="8"/>
      <c r="T45" s="8"/>
      <c r="U45" s="8"/>
    </row>
    <row r="46">
      <c r="A46" s="10" t="s">
        <v>14</v>
      </c>
      <c r="B46" s="10" t="s">
        <v>55</v>
      </c>
      <c r="C46" s="12" t="s">
        <v>174</v>
      </c>
      <c r="D46" s="13" t="s">
        <v>175</v>
      </c>
      <c r="E46" s="16" t="str">
        <f t="array" ref="E46">XLOOKUP(C46,'DATA TK PANEN'!D:D,'DATA TK PANEN'!H:H)</f>
        <v>Tidak Ditemukan</v>
      </c>
      <c r="F46" s="10" t="str">
        <f>IFERROR(__xludf.DUMMYFUNCTION("XLOOKUP(C46,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6" s="10" t="str">
        <f>IFERROR(__xludf.DUMMYFUNCTION("XLOOKUP($C46,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6" s="10" t="str">
        <f>IFERROR(__xludf.DUMMYFUNCTION("XLOOKUP($C46,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46" s="18"/>
      <c r="J46" s="18"/>
      <c r="K46" s="10" t="str">
        <f>IFERROR(__xludf.DUMMYFUNCTION("XLOOKUP($C46,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6" s="10" t="str">
        <f>IFERROR(__xludf.DUMMYFUNCTION("XLOOKUP($C46,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6" s="8"/>
      <c r="N46" s="8"/>
      <c r="O46" s="8"/>
      <c r="P46" s="8"/>
      <c r="Q46" s="8"/>
      <c r="R46" s="8"/>
      <c r="S46" s="8"/>
      <c r="T46" s="8"/>
      <c r="U46" s="8"/>
    </row>
    <row r="47">
      <c r="A47" s="10" t="s">
        <v>14</v>
      </c>
      <c r="B47" s="10" t="s">
        <v>55</v>
      </c>
      <c r="C47" s="12" t="s">
        <v>177</v>
      </c>
      <c r="D47" s="13" t="s">
        <v>178</v>
      </c>
      <c r="E47" s="16">
        <f t="array" ref="E47">XLOOKUP(C47,'DATA TK PANEN'!D:D,'DATA TK PANEN'!H:H)</f>
        <v>0</v>
      </c>
      <c r="F47" s="10" t="str">
        <f>IFERROR(__xludf.DUMMYFUNCTION("XLOOKUP(C47,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47" s="10" t="str">
        <f>IFERROR(__xludf.DUMMYFUNCTION("XLOOKUP($C47,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47" s="10">
        <f>IFERROR(__xludf.DUMMYFUNCTION("XLOOKUP($C47,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(AUTO)'!V6:V""))"),0.0)</f>
        <v>0</v>
      </c>
      <c r="I47" s="18"/>
      <c r="J47" s="18"/>
      <c r="K47" s="10" t="str">
        <f>IFERROR(__xludf.DUMMYFUNCTION("XLOOKUP($C47,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(AUTO)'!W6:W""))"),"")</f>
        <v/>
      </c>
      <c r="L47" s="10" t="str">
        <f>IFERROR(__xludf.DUMMYFUNCTION("XLOOKUP($C47,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(AUTO)'!X6:X""))"),"")</f>
        <v/>
      </c>
      <c r="M47" s="8"/>
      <c r="N47" s="8"/>
      <c r="O47" s="8"/>
      <c r="P47" s="8"/>
      <c r="Q47" s="8"/>
      <c r="R47" s="8"/>
      <c r="S47" s="8"/>
      <c r="T47" s="8"/>
      <c r="U47" s="8"/>
    </row>
    <row r="48">
      <c r="A48" s="10" t="s">
        <v>14</v>
      </c>
      <c r="B48" s="10" t="s">
        <v>180</v>
      </c>
      <c r="C48" s="12" t="s">
        <v>98</v>
      </c>
      <c r="D48" s="13" t="s">
        <v>183</v>
      </c>
      <c r="E48" s="16">
        <f t="array" ref="E48">XLOOKUP(C48,'DATA TK PANEN'!D:D,'DATA TK PANEN'!H:H)</f>
        <v>12888.38</v>
      </c>
      <c r="F48" s="10">
        <f>IFERROR(__xludf.DUMMYFUNCTION("XLOOKUP(C48,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(AUTO)'!S6:S""))"),773.0)</f>
        <v>773</v>
      </c>
      <c r="G48" s="10">
        <f>IFERROR(__xludf.DUMMYFUNCTION("XLOOKUP($C48,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(AUTO)'!T6:T""))"),204.0)</f>
        <v>204</v>
      </c>
      <c r="H48" s="10">
        <f>IFERROR(__xludf.DUMMYFUNCTION("XLOOKUP($C48,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(AUTO)'!V6:V""))"),223.0)</f>
        <v>223</v>
      </c>
      <c r="I48" s="18"/>
      <c r="J48" s="18"/>
      <c r="K48" s="10">
        <f>IFERROR(__xludf.DUMMYFUNCTION("XLOOKUP($C48,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(AUTO)'!W6:W""))"),40.0)</f>
        <v>40</v>
      </c>
      <c r="L48" s="10">
        <f>IFERROR(__xludf.DUMMYFUNCTION("XLOOKUP($C48,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(AUTO)'!X6:X""))"),381.0)</f>
        <v>381</v>
      </c>
      <c r="M48" s="8"/>
      <c r="N48" s="8"/>
      <c r="O48" s="8"/>
      <c r="P48" s="8"/>
      <c r="Q48" s="8"/>
      <c r="R48" s="8"/>
      <c r="S48" s="8"/>
      <c r="T48" s="8"/>
      <c r="U48" s="8"/>
    </row>
    <row r="49">
      <c r="A49" s="10" t="s">
        <v>14</v>
      </c>
      <c r="B49" s="10" t="s">
        <v>180</v>
      </c>
      <c r="C49" s="12" t="s">
        <v>105</v>
      </c>
      <c r="D49" s="13" t="s">
        <v>187</v>
      </c>
      <c r="E49" s="16">
        <f t="array" ref="E49">XLOOKUP(C49,'DATA TK PANEN'!D:D,'DATA TK PANEN'!H:H)</f>
        <v>12127.94</v>
      </c>
      <c r="F49" s="10">
        <f>IFERROR(__xludf.DUMMYFUNCTION("XLOOKUP(C49,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(AUTO)'!S6:S""))"),728.0)</f>
        <v>728</v>
      </c>
      <c r="G49" s="10">
        <f>IFERROR(__xludf.DUMMYFUNCTION("XLOOKUP($C49,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(AUTO)'!T6:T""))"),207.0)</f>
        <v>207</v>
      </c>
      <c r="H49" s="10">
        <f>IFERROR(__xludf.DUMMYFUNCTION("XLOOKUP($C49,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(AUTO)'!V6:V""))"),209.0)</f>
        <v>209</v>
      </c>
      <c r="I49" s="18"/>
      <c r="J49" s="18"/>
      <c r="K49" s="10">
        <f>IFERROR(__xludf.DUMMYFUNCTION("XLOOKUP($C49,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(AUTO)'!W6:W""))"),40.0)</f>
        <v>40</v>
      </c>
      <c r="L49" s="10">
        <f>IFERROR(__xludf.DUMMYFUNCTION("XLOOKUP($C49,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(AUTO)'!X6:X""))"),359.0)</f>
        <v>359</v>
      </c>
      <c r="M49" s="8"/>
      <c r="N49" s="8"/>
      <c r="O49" s="8"/>
      <c r="P49" s="8"/>
      <c r="Q49" s="8"/>
      <c r="R49" s="8"/>
      <c r="S49" s="8"/>
      <c r="T49" s="8"/>
      <c r="U49" s="8"/>
    </row>
    <row r="50">
      <c r="A50" s="10" t="s">
        <v>14</v>
      </c>
      <c r="B50" s="10" t="s">
        <v>180</v>
      </c>
      <c r="C50" s="12" t="s">
        <v>115</v>
      </c>
      <c r="D50" s="13" t="s">
        <v>190</v>
      </c>
      <c r="E50" s="16">
        <f t="array" ref="E50">XLOOKUP(C50,'DATA TK PANEN'!D:D,'DATA TK PANEN'!H:H)</f>
        <v>14243.49</v>
      </c>
      <c r="F50" s="10">
        <f>IFERROR(__xludf.DUMMYFUNCTION("XLOOKUP(C50,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(AUTO)'!S6:S""))"),855.0)</f>
        <v>855</v>
      </c>
      <c r="G50" s="10">
        <f>IFERROR(__xludf.DUMMYFUNCTION("XLOOKUP($C50,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(AUTO)'!T6:T""))"),263.0)</f>
        <v>263</v>
      </c>
      <c r="H50" s="10">
        <f>IFERROR(__xludf.DUMMYFUNCTION("XLOOKUP($C50,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(AUTO)'!V6:V""))"),261.0)</f>
        <v>261</v>
      </c>
      <c r="I50" s="18"/>
      <c r="J50" s="18"/>
      <c r="K50" s="10">
        <f>IFERROR(__xludf.DUMMYFUNCTION("XLOOKUP($C50,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(AUTO)'!W6:W""))"),40.0)</f>
        <v>40</v>
      </c>
      <c r="L50" s="10">
        <f>IFERROR(__xludf.DUMMYFUNCTION("XLOOKUP($C50,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(AUTO)'!X6:X""))"),408.0)</f>
        <v>408</v>
      </c>
      <c r="M50" s="8"/>
      <c r="N50" s="8"/>
      <c r="O50" s="8"/>
      <c r="P50" s="8"/>
      <c r="Q50" s="8"/>
      <c r="R50" s="8"/>
      <c r="S50" s="8"/>
      <c r="T50" s="8"/>
      <c r="U50" s="8"/>
    </row>
    <row r="51">
      <c r="A51" s="10" t="s">
        <v>14</v>
      </c>
      <c r="B51" s="10" t="s">
        <v>180</v>
      </c>
      <c r="C51" s="12" t="s">
        <v>111</v>
      </c>
      <c r="D51" s="13" t="s">
        <v>192</v>
      </c>
      <c r="E51" s="16">
        <f t="array" ref="E51">XLOOKUP(C51,'DATA TK PANEN'!D:D,'DATA TK PANEN'!H:H)</f>
        <v>4634.41</v>
      </c>
      <c r="F51" s="10">
        <f>IFERROR(__xludf.DUMMYFUNCTION("XLOOKUP(C51,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(AUTO)'!S6:S""))"),278.0)</f>
        <v>278</v>
      </c>
      <c r="G51" s="10">
        <f>IFERROR(__xludf.DUMMYFUNCTION("XLOOKUP($C51,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(AUTO)'!T6:T""))"),40.0)</f>
        <v>40</v>
      </c>
      <c r="H51" s="10">
        <f>IFERROR(__xludf.DUMMYFUNCTION("XLOOKUP($C51,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(AUTO)'!V6:V""))"),43.0)</f>
        <v>43</v>
      </c>
      <c r="I51" s="18"/>
      <c r="J51" s="18"/>
      <c r="K51" s="10">
        <f>IFERROR(__xludf.DUMMYFUNCTION("XLOOKUP($C51,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(AUTO)'!W6:W""))"),20.0)</f>
        <v>20</v>
      </c>
      <c r="L51" s="10">
        <f>IFERROR(__xludf.DUMMYFUNCTION("XLOOKUP($C51,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(AUTO)'!X6:X""))"),171.0)</f>
        <v>171</v>
      </c>
      <c r="M51" s="8"/>
      <c r="N51" s="8"/>
      <c r="O51" s="8"/>
      <c r="P51" s="8"/>
      <c r="Q51" s="8"/>
      <c r="R51" s="8"/>
      <c r="S51" s="8"/>
      <c r="T51" s="8"/>
      <c r="U51" s="8"/>
    </row>
    <row r="52">
      <c r="A52" s="10" t="s">
        <v>14</v>
      </c>
      <c r="B52" s="10" t="s">
        <v>180</v>
      </c>
      <c r="C52" s="12" t="s">
        <v>195</v>
      </c>
      <c r="D52" s="13" t="s">
        <v>196</v>
      </c>
      <c r="E52" s="16">
        <f t="array" ref="E52">XLOOKUP(C52,'DATA TK PANEN'!D:D,'DATA TK PANEN'!H:H)</f>
        <v>2783.48</v>
      </c>
      <c r="F52" s="10">
        <f>IFERROR(__xludf.DUMMYFUNCTION("XLOOKUP(C52,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(AUTO)'!S6:S""))"),167.0)</f>
        <v>167</v>
      </c>
      <c r="G52" s="10">
        <f>IFERROR(__xludf.DUMMYFUNCTION("XLOOKUP($C52,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(AUTO)'!T6:T""))"),90.0)</f>
        <v>90</v>
      </c>
      <c r="H52" s="10">
        <f>IFERROR(__xludf.DUMMYFUNCTION("XLOOKUP($C52,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(AUTO)'!V6:V""))"),82.0)</f>
        <v>82</v>
      </c>
      <c r="I52" s="18"/>
      <c r="J52" s="18"/>
      <c r="K52" s="10">
        <f>IFERROR(__xludf.DUMMYFUNCTION("XLOOKUP($C52,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(AUTO)'!W6:W""))"),10.0)</f>
        <v>10</v>
      </c>
      <c r="L52" s="10">
        <f>IFERROR(__xludf.DUMMYFUNCTION("XLOOKUP($C52,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(AUTO)'!X6:X""))"),47.0)</f>
        <v>47</v>
      </c>
      <c r="M52" s="8"/>
      <c r="N52" s="8"/>
      <c r="O52" s="8"/>
      <c r="P52" s="8"/>
      <c r="Q52" s="8"/>
      <c r="R52" s="8"/>
      <c r="S52" s="8"/>
      <c r="T52" s="8"/>
      <c r="U52" s="8"/>
    </row>
    <row r="53">
      <c r="A53" s="10" t="s">
        <v>198</v>
      </c>
      <c r="B53" s="10" t="s">
        <v>199</v>
      </c>
      <c r="C53" s="12" t="s">
        <v>201</v>
      </c>
      <c r="D53" s="13" t="s">
        <v>202</v>
      </c>
      <c r="E53" s="16">
        <f t="array" ref="E53">XLOOKUP(C53,'DATA TK PANEN'!D:D,'DATA TK PANEN'!H:H)</f>
        <v>250.49</v>
      </c>
      <c r="F53" s="10">
        <f>IFERROR(__xludf.DUMMYFUNCTION("XLOOKUP(C53,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(AUTO)'!S6:S""))"),14.0)</f>
        <v>14</v>
      </c>
      <c r="G53" s="10">
        <f>IFERROR(__xludf.DUMMYFUNCTION("XLOOKUP($C53,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(AUTO)'!T6:T""))"),7.0)</f>
        <v>7</v>
      </c>
      <c r="H53" s="10">
        <f>IFERROR(__xludf.DUMMYFUNCTION("XLOOKUP($C53,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(AUTO)'!V6:V""))"),7.0)</f>
        <v>7</v>
      </c>
      <c r="I53" s="18"/>
      <c r="J53" s="18"/>
      <c r="K53" s="10">
        <f>IFERROR(__xludf.DUMMYFUNCTION("XLOOKUP($C53,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(AUTO)'!W6:W""))"),3.0)</f>
        <v>3</v>
      </c>
      <c r="L53" s="10">
        <f>IFERROR(__xludf.DUMMYFUNCTION("XLOOKUP($C53,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(AUTO)'!X6:X""))"),4.0)</f>
        <v>4</v>
      </c>
      <c r="M53" s="8"/>
      <c r="N53" s="8"/>
      <c r="O53" s="8"/>
      <c r="P53" s="8"/>
      <c r="Q53" s="8"/>
      <c r="R53" s="8"/>
      <c r="S53" s="8"/>
      <c r="T53" s="8"/>
      <c r="U53" s="8"/>
    </row>
    <row r="54">
      <c r="A54" s="10" t="s">
        <v>198</v>
      </c>
      <c r="B54" s="10" t="s">
        <v>199</v>
      </c>
      <c r="C54" s="12" t="s">
        <v>181</v>
      </c>
      <c r="D54" s="13" t="s">
        <v>204</v>
      </c>
      <c r="E54" s="16">
        <f t="array" ref="E54">XLOOKUP(C54,'DATA TK PANEN'!D:D,'DATA TK PANEN'!H:H)</f>
        <v>34</v>
      </c>
      <c r="F54" s="10">
        <f>IFERROR(__xludf.DUMMYFUNCTION("XLOOKUP(C54,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(AUTO)'!S6:S""))"),2.0)</f>
        <v>2</v>
      </c>
      <c r="G54" s="10">
        <f>IFERROR(__xludf.DUMMYFUNCTION("XLOOKUP($C54,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(AUTO)'!T6:T""))"),3.0)</f>
        <v>3</v>
      </c>
      <c r="H54" s="10">
        <f>IFERROR(__xludf.DUMMYFUNCTION("XLOOKUP($C54,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(AUTO)'!V6:V""))"),3.0)</f>
        <v>3</v>
      </c>
      <c r="I54" s="18"/>
      <c r="J54" s="18"/>
      <c r="K54" s="10">
        <f>IFERROR(__xludf.DUMMYFUNCTION("XLOOKUP($C54,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54" s="10">
        <f>IFERROR(__xludf.DUMMYFUNCTION("XLOOKUP($C54,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54" s="8"/>
      <c r="N54" s="8"/>
      <c r="O54" s="8"/>
      <c r="P54" s="8"/>
      <c r="Q54" s="8"/>
      <c r="R54" s="8"/>
      <c r="S54" s="8"/>
      <c r="T54" s="8"/>
      <c r="U54" s="8"/>
    </row>
    <row r="55">
      <c r="A55" s="10" t="s">
        <v>198</v>
      </c>
      <c r="B55" s="10" t="s">
        <v>199</v>
      </c>
      <c r="C55" s="12" t="s">
        <v>208</v>
      </c>
      <c r="D55" s="13" t="s">
        <v>209</v>
      </c>
      <c r="E55" s="16">
        <f t="array" ref="E55">XLOOKUP(C55,'DATA TK PANEN'!D:D,'DATA TK PANEN'!H:H)</f>
        <v>1104.56</v>
      </c>
      <c r="F55" s="10">
        <f>IFERROR(__xludf.DUMMYFUNCTION("XLOOKUP(C55,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(AUTO)'!S6:S""))"),66.0)</f>
        <v>66</v>
      </c>
      <c r="G55" s="10">
        <f>IFERROR(__xludf.DUMMYFUNCTION("XLOOKUP($C55,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(AUTO)'!T6:T""))"),36.0)</f>
        <v>36</v>
      </c>
      <c r="H55" s="10">
        <f>IFERROR(__xludf.DUMMYFUNCTION("XLOOKUP($C55,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(AUTO)'!V6:V""))"),42.0)</f>
        <v>42</v>
      </c>
      <c r="I55" s="18"/>
      <c r="J55" s="18"/>
      <c r="K55" s="10">
        <f>IFERROR(__xludf.DUMMYFUNCTION("XLOOKUP($C55,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(AUTO)'!W6:W""))"),10.0)</f>
        <v>10</v>
      </c>
      <c r="L55" s="10">
        <f>IFERROR(__xludf.DUMMYFUNCTION("XLOOKUP($C55,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(AUTO)'!X6:X""))"),14.0)</f>
        <v>14</v>
      </c>
      <c r="M55" s="8"/>
      <c r="N55" s="8"/>
      <c r="O55" s="8"/>
      <c r="P55" s="8"/>
      <c r="Q55" s="8"/>
      <c r="R55" s="8"/>
      <c r="S55" s="8"/>
      <c r="T55" s="8"/>
      <c r="U55" s="8"/>
    </row>
    <row r="56">
      <c r="A56" s="10" t="s">
        <v>198</v>
      </c>
      <c r="B56" s="10" t="s">
        <v>199</v>
      </c>
      <c r="C56" s="12" t="s">
        <v>213</v>
      </c>
      <c r="D56" s="13" t="s">
        <v>214</v>
      </c>
      <c r="E56" s="16">
        <f t="array" ref="E56">XLOOKUP(C56,'DATA TK PANEN'!D:D,'DATA TK PANEN'!H:H)</f>
        <v>4157.86</v>
      </c>
      <c r="F56" s="10">
        <f>IFERROR(__xludf.DUMMYFUNCTION("XLOOKUP(C56,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(AUTO)'!S6:S""))"),249.0)</f>
        <v>249</v>
      </c>
      <c r="G56" s="10">
        <f>IFERROR(__xludf.DUMMYFUNCTION("XLOOKUP($C56,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(AUTO)'!T6:T""))"),192.0)</f>
        <v>192</v>
      </c>
      <c r="H56" s="10">
        <f>IFERROR(__xludf.DUMMYFUNCTION("XLOOKUP($C56,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(AUTO)'!V6:V""))"),201.0)</f>
        <v>201</v>
      </c>
      <c r="I56" s="18"/>
      <c r="J56" s="18"/>
      <c r="K56" s="10">
        <f>IFERROR(__xludf.DUMMYFUNCTION("XLOOKUP($C56,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(AUTO)'!W6:W""))"),19.0)</f>
        <v>19</v>
      </c>
      <c r="L56" s="10">
        <f>IFERROR(__xludf.DUMMYFUNCTION("XLOOKUP($C56,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(AUTO)'!X6:X""))"),29.0)</f>
        <v>29</v>
      </c>
      <c r="M56" s="8"/>
      <c r="N56" s="8"/>
      <c r="O56" s="8"/>
      <c r="P56" s="8"/>
      <c r="Q56" s="8"/>
      <c r="R56" s="8"/>
      <c r="S56" s="8"/>
      <c r="T56" s="8"/>
      <c r="U56" s="8"/>
    </row>
    <row r="57">
      <c r="A57" s="10" t="s">
        <v>198</v>
      </c>
      <c r="B57" s="10" t="s">
        <v>199</v>
      </c>
      <c r="C57" s="12" t="s">
        <v>216</v>
      </c>
      <c r="D57" s="13" t="s">
        <v>218</v>
      </c>
      <c r="E57" s="16">
        <f t="array" ref="E57">XLOOKUP(C57,'DATA TK PANEN'!D:D,'DATA TK PANEN'!H:H)</f>
        <v>3014.12</v>
      </c>
      <c r="F57" s="10">
        <f>IFERROR(__xludf.DUMMYFUNCTION("XLOOKUP(C57,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(AUTO)'!S6:S""))"),182.0)</f>
        <v>182</v>
      </c>
      <c r="G57" s="10">
        <f>IFERROR(__xludf.DUMMYFUNCTION("XLOOKUP($C57,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(AUTO)'!T6:T""))"),163.0)</f>
        <v>163</v>
      </c>
      <c r="H57" s="10">
        <f>IFERROR(__xludf.DUMMYFUNCTION("XLOOKUP($C57,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(AUTO)'!V6:V""))"),166.0)</f>
        <v>166</v>
      </c>
      <c r="I57" s="18"/>
      <c r="J57" s="18"/>
      <c r="K57" s="10">
        <f>IFERROR(__xludf.DUMMYFUNCTION("XLOOKUP($C57,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(AUTO)'!W6:W""))"),6.0)</f>
        <v>6</v>
      </c>
      <c r="L57" s="10">
        <f>IFERROR(__xludf.DUMMYFUNCTION("XLOOKUP($C57,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(AUTO)'!X6:X""))"),10.0)</f>
        <v>10</v>
      </c>
      <c r="M57" s="8"/>
      <c r="N57" s="8"/>
      <c r="O57" s="8"/>
      <c r="P57" s="8"/>
      <c r="Q57" s="8"/>
      <c r="R57" s="8"/>
      <c r="S57" s="8"/>
      <c r="T57" s="8"/>
      <c r="U57" s="8"/>
    </row>
    <row r="58">
      <c r="A58" s="10" t="s">
        <v>198</v>
      </c>
      <c r="B58" s="10" t="s">
        <v>199</v>
      </c>
      <c r="C58" s="12" t="s">
        <v>221</v>
      </c>
      <c r="D58" s="13" t="s">
        <v>222</v>
      </c>
      <c r="E58" s="16">
        <f t="array" ref="E58">XLOOKUP(C58,'DATA TK PANEN'!D:D,'DATA TK PANEN'!H:H)</f>
        <v>3839.43</v>
      </c>
      <c r="F58" s="10">
        <f>IFERROR(__xludf.DUMMYFUNCTION("XLOOKUP(C58,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(AUTO)'!S6:S""))"),230.0)</f>
        <v>230</v>
      </c>
      <c r="G58" s="10">
        <f>IFERROR(__xludf.DUMMYFUNCTION("XLOOKUP($C58,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(AUTO)'!T6:T""))"),218.0)</f>
        <v>218</v>
      </c>
      <c r="H58" s="10">
        <f>IFERROR(__xludf.DUMMYFUNCTION("XLOOKUP($C58,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(AUTO)'!V6:V""))"),219.0)</f>
        <v>219</v>
      </c>
      <c r="I58" s="18"/>
      <c r="J58" s="18"/>
      <c r="K58" s="10">
        <f>IFERROR(__xludf.DUMMYFUNCTION("XLOOKUP($C58,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(AUTO)'!W6:W""))"),4.0)</f>
        <v>4</v>
      </c>
      <c r="L58" s="10">
        <f>IFERROR(__xludf.DUMMYFUNCTION("XLOOKUP($C58,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(AUTO)'!X6:X""))"),7.0)</f>
        <v>7</v>
      </c>
      <c r="M58" s="8"/>
      <c r="N58" s="8"/>
      <c r="O58" s="8"/>
      <c r="P58" s="8"/>
      <c r="Q58" s="8"/>
      <c r="R58" s="8"/>
      <c r="S58" s="8"/>
      <c r="T58" s="8"/>
      <c r="U58" s="8"/>
    </row>
    <row r="59">
      <c r="A59" s="10" t="s">
        <v>198</v>
      </c>
      <c r="B59" s="10" t="s">
        <v>199</v>
      </c>
      <c r="C59" s="12" t="s">
        <v>225</v>
      </c>
      <c r="D59" s="13" t="s">
        <v>226</v>
      </c>
      <c r="E59" s="16">
        <f t="array" ref="E59">XLOOKUP(C59,'DATA TK PANEN'!D:D,'DATA TK PANEN'!H:H)</f>
        <v>4579.57</v>
      </c>
      <c r="F59" s="10">
        <f>IFERROR(__xludf.DUMMYFUNCTION("XLOOKUP(C59,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(AUTO)'!S6:S""))"),244.0)</f>
        <v>244</v>
      </c>
      <c r="G59" s="10">
        <f>IFERROR(__xludf.DUMMYFUNCTION("XLOOKUP($C59,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(AUTO)'!T6:T""))"),236.0)</f>
        <v>236</v>
      </c>
      <c r="H59" s="10">
        <f>IFERROR(__xludf.DUMMYFUNCTION("XLOOKUP($C59,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(AUTO)'!V6:V""))"),237.0)</f>
        <v>237</v>
      </c>
      <c r="I59" s="18"/>
      <c r="J59" s="18"/>
      <c r="K59" s="10">
        <f>IFERROR(__xludf.DUMMYFUNCTION("XLOOKUP($C59,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(AUTO)'!W6:W""))"),3.0)</f>
        <v>3</v>
      </c>
      <c r="L59" s="10">
        <f>IFERROR(__xludf.DUMMYFUNCTION("XLOOKUP($C59,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(AUTO)'!X6:X""))"),4.0)</f>
        <v>4</v>
      </c>
      <c r="M59" s="8"/>
      <c r="N59" s="8"/>
      <c r="O59" s="8"/>
      <c r="P59" s="8"/>
      <c r="Q59" s="8"/>
      <c r="R59" s="8"/>
      <c r="S59" s="8"/>
      <c r="T59" s="8"/>
      <c r="U59" s="8"/>
    </row>
    <row r="60">
      <c r="A60" s="10" t="s">
        <v>198</v>
      </c>
      <c r="B60" s="10" t="s">
        <v>199</v>
      </c>
      <c r="C60" s="12" t="s">
        <v>229</v>
      </c>
      <c r="D60" s="13" t="s">
        <v>230</v>
      </c>
      <c r="E60" s="16">
        <f t="array" ref="E60">XLOOKUP(C60,'DATA TK PANEN'!D:D,'DATA TK PANEN'!H:H)</f>
        <v>4724.66</v>
      </c>
      <c r="F60" s="10">
        <f>IFERROR(__xludf.DUMMYFUNCTION("XLOOKUP(C60,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(AUTO)'!S6:S""))"),283.0)</f>
        <v>283</v>
      </c>
      <c r="G60" s="10">
        <f>IFERROR(__xludf.DUMMYFUNCTION("XLOOKUP($C60,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(AUTO)'!T6:T""))"),219.0)</f>
        <v>219</v>
      </c>
      <c r="H60" s="10">
        <f>IFERROR(__xludf.DUMMYFUNCTION("XLOOKUP($C60,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(AUTO)'!V6:V""))"),241.0)</f>
        <v>241</v>
      </c>
      <c r="I60" s="18"/>
      <c r="J60" s="18"/>
      <c r="K60" s="10">
        <f>IFERROR(__xludf.DUMMYFUNCTION("XLOOKUP($C60,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(AUTO)'!W6:W""))"),17.0)</f>
        <v>17</v>
      </c>
      <c r="L60" s="10">
        <f>IFERROR(__xludf.DUMMYFUNCTION("XLOOKUP($C60,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(AUTO)'!X6:X""))"),25.0)</f>
        <v>25</v>
      </c>
      <c r="M60" s="8"/>
      <c r="N60" s="8"/>
      <c r="O60" s="8"/>
      <c r="P60" s="8"/>
      <c r="Q60" s="8"/>
      <c r="R60" s="8"/>
      <c r="S60" s="8"/>
      <c r="T60" s="8"/>
      <c r="U60" s="8"/>
    </row>
    <row r="61">
      <c r="A61" s="10" t="s">
        <v>198</v>
      </c>
      <c r="B61" s="10" t="s">
        <v>199</v>
      </c>
      <c r="C61" s="12" t="s">
        <v>231</v>
      </c>
      <c r="D61" s="13" t="s">
        <v>232</v>
      </c>
      <c r="E61" s="16">
        <f t="array" ref="E61">XLOOKUP(C61,'DATA TK PANEN'!D:D,'DATA TK PANEN'!H:H)</f>
        <v>4648.22</v>
      </c>
      <c r="F61" s="10">
        <f>IFERROR(__xludf.DUMMYFUNCTION("XLOOKUP(C61,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(AUTO)'!S6:S""))"),291.0)</f>
        <v>291</v>
      </c>
      <c r="G61" s="10">
        <f>IFERROR(__xludf.DUMMYFUNCTION("XLOOKUP($C61,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(AUTO)'!T6:T""))"),238.0)</f>
        <v>238</v>
      </c>
      <c r="H61" s="10">
        <f>IFERROR(__xludf.DUMMYFUNCTION("XLOOKUP($C61,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(AUTO)'!V6:V""))"),239.0)</f>
        <v>239</v>
      </c>
      <c r="I61" s="18"/>
      <c r="J61" s="18"/>
      <c r="K61" s="10">
        <f>IFERROR(__xludf.DUMMYFUNCTION("XLOOKUP($C61,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(AUTO)'!W6:W""))"),21.0)</f>
        <v>21</v>
      </c>
      <c r="L61" s="10">
        <f>IFERROR(__xludf.DUMMYFUNCTION("XLOOKUP($C61,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(AUTO)'!X6:X""))"),31.0)</f>
        <v>31</v>
      </c>
      <c r="M61" s="8"/>
      <c r="N61" s="8"/>
      <c r="O61" s="8"/>
      <c r="P61" s="8"/>
      <c r="Q61" s="8"/>
      <c r="R61" s="8"/>
      <c r="S61" s="8"/>
      <c r="T61" s="8"/>
      <c r="U61" s="8"/>
    </row>
    <row r="62">
      <c r="A62" s="10" t="s">
        <v>198</v>
      </c>
      <c r="B62" s="10" t="s">
        <v>199</v>
      </c>
      <c r="C62" s="12" t="s">
        <v>234</v>
      </c>
      <c r="D62" s="13" t="s">
        <v>235</v>
      </c>
      <c r="E62" s="16">
        <f t="array" ref="E62">XLOOKUP(C62,'DATA TK PANEN'!D:D,'DATA TK PANEN'!H:H)</f>
        <v>2420.65</v>
      </c>
      <c r="F62" s="10">
        <f>IFERROR(__xludf.DUMMYFUNCTION("XLOOKUP(C62,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(AUTO)'!S6:S""))"),145.0)</f>
        <v>145</v>
      </c>
      <c r="G62" s="10">
        <f>IFERROR(__xludf.DUMMYFUNCTION("XLOOKUP($C62,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(AUTO)'!T6:T""))"),107.0)</f>
        <v>107</v>
      </c>
      <c r="H62" s="10">
        <f>IFERROR(__xludf.DUMMYFUNCTION("XLOOKUP($C62,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(AUTO)'!V6:V""))"),110.0)</f>
        <v>110</v>
      </c>
      <c r="I62" s="18"/>
      <c r="J62" s="18"/>
      <c r="K62" s="10">
        <f>IFERROR(__xludf.DUMMYFUNCTION("XLOOKUP($C62,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(AUTO)'!W6:W""))"),14.0)</f>
        <v>14</v>
      </c>
      <c r="L62" s="10">
        <f>IFERROR(__xludf.DUMMYFUNCTION("XLOOKUP($C62,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(AUTO)'!X6:X""))"),21.0)</f>
        <v>21</v>
      </c>
      <c r="M62" s="8"/>
      <c r="N62" s="8"/>
      <c r="O62" s="8"/>
      <c r="P62" s="8"/>
      <c r="Q62" s="8"/>
      <c r="R62" s="8"/>
      <c r="S62" s="8"/>
      <c r="T62" s="8"/>
      <c r="U62" s="8"/>
    </row>
    <row r="63">
      <c r="A63" s="10" t="s">
        <v>198</v>
      </c>
      <c r="B63" s="10" t="s">
        <v>199</v>
      </c>
      <c r="C63" s="12" t="s">
        <v>239</v>
      </c>
      <c r="D63" s="13" t="s">
        <v>240</v>
      </c>
      <c r="E63" s="16">
        <f t="array" ref="E63">XLOOKUP(C63,'DATA TK PANEN'!D:D,'DATA TK PANEN'!H:H)</f>
        <v>4648.18</v>
      </c>
      <c r="F63" s="10">
        <f>IFERROR(__xludf.DUMMYFUNCTION("XLOOKUP(C63,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(AUTO)'!S6:S""))"),197.0)</f>
        <v>197</v>
      </c>
      <c r="G63" s="10">
        <f>IFERROR(__xludf.DUMMYFUNCTION("XLOOKUP($C63,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(AUTO)'!T6:T""))"),136.0)</f>
        <v>136</v>
      </c>
      <c r="H63" s="10">
        <f>IFERROR(__xludf.DUMMYFUNCTION("XLOOKUP($C63,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(AUTO)'!V6:V""))"),130.0)</f>
        <v>130</v>
      </c>
      <c r="I63" s="18"/>
      <c r="J63" s="18"/>
      <c r="K63" s="10">
        <f>IFERROR(__xludf.DUMMYFUNCTION("XLOOKUP($C63,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(AUTO)'!W6:W""))"),27.0)</f>
        <v>27</v>
      </c>
      <c r="L63" s="10">
        <f>IFERROR(__xludf.DUMMYFUNCTION("XLOOKUP($C63,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(AUTO)'!X6:X""))"),40.0)</f>
        <v>40</v>
      </c>
      <c r="M63" s="8"/>
      <c r="N63" s="8"/>
      <c r="O63" s="8"/>
      <c r="P63" s="8"/>
      <c r="Q63" s="8"/>
      <c r="R63" s="8"/>
      <c r="S63" s="8"/>
      <c r="T63" s="8"/>
      <c r="U63" s="8"/>
    </row>
    <row r="64">
      <c r="A64" s="10" t="s">
        <v>198</v>
      </c>
      <c r="B64" s="10" t="s">
        <v>199</v>
      </c>
      <c r="C64" s="12" t="s">
        <v>243</v>
      </c>
      <c r="D64" s="13" t="s">
        <v>244</v>
      </c>
      <c r="E64" s="16">
        <f t="array" ref="E64">XLOOKUP(C64,'DATA TK PANEN'!D:D,'DATA TK PANEN'!H:H)</f>
        <v>3834.49</v>
      </c>
      <c r="F64" s="10">
        <f>IFERROR(__xludf.DUMMYFUNCTION("XLOOKUP(C64,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(AUTO)'!S6:S""))"),210.0)</f>
        <v>210</v>
      </c>
      <c r="G64" s="10">
        <f>IFERROR(__xludf.DUMMYFUNCTION("XLOOKUP($C64,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(AUTO)'!T6:T""))"),176.0)</f>
        <v>176</v>
      </c>
      <c r="H64" s="10">
        <f>IFERROR(__xludf.DUMMYFUNCTION("XLOOKUP($C64,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(AUTO)'!V6:V""))"),174.0)</f>
        <v>174</v>
      </c>
      <c r="I64" s="18"/>
      <c r="J64" s="18"/>
      <c r="K64" s="10">
        <f>IFERROR(__xludf.DUMMYFUNCTION("XLOOKUP($C64,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(AUTO)'!W6:W""))"),14.0)</f>
        <v>14</v>
      </c>
      <c r="L64" s="10">
        <f>IFERROR(__xludf.DUMMYFUNCTION("XLOOKUP($C64,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(AUTO)'!X6:X""))"),22.0)</f>
        <v>22</v>
      </c>
      <c r="M64" s="8"/>
      <c r="N64" s="8"/>
      <c r="O64" s="8"/>
      <c r="P64" s="8"/>
      <c r="Q64" s="8"/>
      <c r="R64" s="8"/>
      <c r="S64" s="8"/>
      <c r="T64" s="8"/>
      <c r="U64" s="8"/>
    </row>
    <row r="65">
      <c r="A65" s="10" t="s">
        <v>198</v>
      </c>
      <c r="B65" s="10" t="s">
        <v>199</v>
      </c>
      <c r="C65" s="12" t="s">
        <v>247</v>
      </c>
      <c r="D65" s="13" t="s">
        <v>248</v>
      </c>
      <c r="E65" s="16">
        <f t="array" ref="E65">XLOOKUP(C65,'DATA TK PANEN'!D:D,'DATA TK PANEN'!H:H)</f>
        <v>3285.83</v>
      </c>
      <c r="F65" s="10">
        <f>IFERROR(__xludf.DUMMYFUNCTION("XLOOKUP(C65,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(AUTO)'!S6:S""))"),198.0)</f>
        <v>198</v>
      </c>
      <c r="G65" s="10">
        <f>IFERROR(__xludf.DUMMYFUNCTION("XLOOKUP($C65,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(AUTO)'!T6:T""))"),159.0)</f>
        <v>159</v>
      </c>
      <c r="H65" s="10">
        <f>IFERROR(__xludf.DUMMYFUNCTION("XLOOKUP($C65,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(AUTO)'!V6:V""))"),166.0)</f>
        <v>166</v>
      </c>
      <c r="I65" s="18"/>
      <c r="J65" s="18"/>
      <c r="K65" s="10">
        <f>IFERROR(__xludf.DUMMYFUNCTION("XLOOKUP($C65,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(AUTO)'!W6:W""))"),13.0)</f>
        <v>13</v>
      </c>
      <c r="L65" s="10">
        <f>IFERROR(__xludf.DUMMYFUNCTION("XLOOKUP($C65,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(AUTO)'!X6:X""))"),19.0)</f>
        <v>19</v>
      </c>
      <c r="M65" s="8"/>
      <c r="N65" s="8"/>
      <c r="O65" s="8"/>
      <c r="P65" s="8"/>
      <c r="Q65" s="8"/>
      <c r="R65" s="8"/>
      <c r="S65" s="8"/>
      <c r="T65" s="8"/>
      <c r="U65" s="8"/>
    </row>
    <row r="66">
      <c r="A66" s="10" t="s">
        <v>198</v>
      </c>
      <c r="B66" s="10" t="s">
        <v>199</v>
      </c>
      <c r="C66" s="12" t="s">
        <v>250</v>
      </c>
      <c r="D66" s="13" t="s">
        <v>252</v>
      </c>
      <c r="E66" s="16">
        <f t="array" ref="E66">XLOOKUP(C66,'DATA TK PANEN'!D:D,'DATA TK PANEN'!H:H)</f>
        <v>3452.19</v>
      </c>
      <c r="F66" s="10">
        <f>IFERROR(__xludf.DUMMYFUNCTION("XLOOKUP(C66,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(AUTO)'!S6:S""))"),199.0)</f>
        <v>199</v>
      </c>
      <c r="G66" s="10">
        <f>IFERROR(__xludf.DUMMYFUNCTION("XLOOKUP($C66,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(AUTO)'!T6:T""))"),184.0)</f>
        <v>184</v>
      </c>
      <c r="H66" s="10">
        <f>IFERROR(__xludf.DUMMYFUNCTION("XLOOKUP($C66,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(AUTO)'!V6:V""))"),185.0)</f>
        <v>185</v>
      </c>
      <c r="I66" s="18"/>
      <c r="J66" s="18"/>
      <c r="K66" s="10">
        <f>IFERROR(__xludf.DUMMYFUNCTION("XLOOKUP($C66,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(AUTO)'!W6:W""))"),6.0)</f>
        <v>6</v>
      </c>
      <c r="L66" s="10">
        <f>IFERROR(__xludf.DUMMYFUNCTION("XLOOKUP($C66,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(AUTO)'!X6:X""))"),8.0)</f>
        <v>8</v>
      </c>
      <c r="M66" s="8"/>
      <c r="N66" s="8"/>
      <c r="O66" s="8"/>
      <c r="P66" s="8"/>
      <c r="Q66" s="8"/>
      <c r="R66" s="8"/>
      <c r="S66" s="8"/>
      <c r="T66" s="8"/>
      <c r="U66" s="8"/>
    </row>
    <row r="67">
      <c r="A67" s="10" t="s">
        <v>198</v>
      </c>
      <c r="B67" s="10" t="s">
        <v>199</v>
      </c>
      <c r="C67" s="12" t="s">
        <v>253</v>
      </c>
      <c r="D67" s="13" t="s">
        <v>254</v>
      </c>
      <c r="E67" s="16">
        <f t="array" ref="E67">XLOOKUP(C67,'DATA TK PANEN'!D:D,'DATA TK PANEN'!H:H)</f>
        <v>2463.89</v>
      </c>
      <c r="F67" s="10">
        <f>IFERROR(__xludf.DUMMYFUNCTION("XLOOKUP(C67,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(AUTO)'!S6:S""))"),141.0)</f>
        <v>141</v>
      </c>
      <c r="G67" s="10">
        <f>IFERROR(__xludf.DUMMYFUNCTION("XLOOKUP($C67,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(AUTO)'!T6:T""))"),116.0)</f>
        <v>116</v>
      </c>
      <c r="H67" s="10">
        <f>IFERROR(__xludf.DUMMYFUNCTION("XLOOKUP($C67,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(AUTO)'!V6:V""))"),116.0)</f>
        <v>116</v>
      </c>
      <c r="I67" s="18"/>
      <c r="J67" s="18"/>
      <c r="K67" s="10">
        <f>IFERROR(__xludf.DUMMYFUNCTION("XLOOKUP($C67,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(AUTO)'!W6:W""))"),10.0)</f>
        <v>10</v>
      </c>
      <c r="L67" s="10">
        <f>IFERROR(__xludf.DUMMYFUNCTION("XLOOKUP($C67,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(AUTO)'!X6:X""))"),15.0)</f>
        <v>15</v>
      </c>
      <c r="M67" s="8"/>
      <c r="N67" s="8"/>
      <c r="O67" s="8"/>
      <c r="P67" s="8"/>
      <c r="Q67" s="8"/>
      <c r="R67" s="8"/>
      <c r="S67" s="8"/>
      <c r="T67" s="8"/>
      <c r="U67" s="8"/>
    </row>
    <row r="68">
      <c r="A68" s="10" t="s">
        <v>198</v>
      </c>
      <c r="B68" s="10" t="s">
        <v>199</v>
      </c>
      <c r="C68" s="12" t="s">
        <v>257</v>
      </c>
      <c r="D68" s="13" t="s">
        <v>258</v>
      </c>
      <c r="E68" s="16">
        <f t="array" ref="E68">XLOOKUP(C68,'DATA TK PANEN'!D:D,'DATA TK PANEN'!H:H)</f>
        <v>5279.61</v>
      </c>
      <c r="F68" s="10">
        <f>IFERROR(__xludf.DUMMYFUNCTION("XLOOKUP(C68,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(AUTO)'!S6:S""))"),317.0)</f>
        <v>317</v>
      </c>
      <c r="G68" s="10">
        <f>IFERROR(__xludf.DUMMYFUNCTION("XLOOKUP($C68,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(AUTO)'!T6:T""))"),290.0)</f>
        <v>290</v>
      </c>
      <c r="H68" s="10">
        <f>IFERROR(__xludf.DUMMYFUNCTION("XLOOKUP($C68,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(AUTO)'!V6:V""))"),276.0)</f>
        <v>276</v>
      </c>
      <c r="I68" s="18"/>
      <c r="J68" s="18"/>
      <c r="K68" s="10">
        <f>IFERROR(__xludf.DUMMYFUNCTION("XLOOKUP($C68,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(AUTO)'!W6:W""))"),16.0)</f>
        <v>16</v>
      </c>
      <c r="L68" s="10">
        <f>IFERROR(__xludf.DUMMYFUNCTION("XLOOKUP($C68,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(AUTO)'!X6:X""))"),25.0)</f>
        <v>25</v>
      </c>
      <c r="M68" s="8"/>
      <c r="N68" s="8"/>
      <c r="O68" s="8"/>
      <c r="P68" s="8"/>
      <c r="Q68" s="8"/>
      <c r="R68" s="8"/>
      <c r="S68" s="8"/>
      <c r="T68" s="8"/>
      <c r="U68" s="8"/>
    </row>
    <row r="69">
      <c r="A69" s="10" t="s">
        <v>198</v>
      </c>
      <c r="B69" s="10" t="s">
        <v>199</v>
      </c>
      <c r="C69" s="12" t="s">
        <v>261</v>
      </c>
      <c r="D69" s="13" t="s">
        <v>262</v>
      </c>
      <c r="E69" s="16">
        <f t="array" ref="E69">XLOOKUP(C69,'DATA TK PANEN'!D:D,'DATA TK PANEN'!H:H)</f>
        <v>1468.74</v>
      </c>
      <c r="F69" s="10">
        <f>IFERROR(__xludf.DUMMYFUNCTION("XLOOKUP(C69,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(AUTO)'!S6:S""))"),83.0)</f>
        <v>83</v>
      </c>
      <c r="G69" s="10">
        <f>IFERROR(__xludf.DUMMYFUNCTION("XLOOKUP($C69,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(AUTO)'!T6:T""))"),70.0)</f>
        <v>70</v>
      </c>
      <c r="H69" s="10">
        <f>IFERROR(__xludf.DUMMYFUNCTION("XLOOKUP($C69,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(AUTO)'!V6:V""))"),64.0)</f>
        <v>64</v>
      </c>
      <c r="I69" s="18"/>
      <c r="J69" s="18"/>
      <c r="K69" s="10">
        <f>IFERROR(__xludf.DUMMYFUNCTION("XLOOKUP($C69,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(AUTO)'!W6:W""))"),8.0)</f>
        <v>8</v>
      </c>
      <c r="L69" s="10">
        <f>IFERROR(__xludf.DUMMYFUNCTION("XLOOKUP($C69,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(AUTO)'!X6:X""))"),11.0)</f>
        <v>11</v>
      </c>
      <c r="M69" s="8"/>
      <c r="N69" s="8"/>
      <c r="O69" s="8"/>
      <c r="P69" s="8"/>
      <c r="Q69" s="8"/>
      <c r="R69" s="8"/>
      <c r="S69" s="8"/>
      <c r="T69" s="8"/>
      <c r="U69" s="8"/>
    </row>
    <row r="70">
      <c r="A70" s="10" t="s">
        <v>198</v>
      </c>
      <c r="B70" s="10" t="s">
        <v>199</v>
      </c>
      <c r="C70" s="12" t="s">
        <v>265</v>
      </c>
      <c r="D70" s="13" t="s">
        <v>267</v>
      </c>
      <c r="E70" s="16">
        <f t="array" ref="E70">XLOOKUP(C70,'DATA TK PANEN'!D:D,'DATA TK PANEN'!H:H)</f>
        <v>4522.19</v>
      </c>
      <c r="F70" s="10">
        <f>IFERROR(__xludf.DUMMYFUNCTION("XLOOKUP(C70,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(AUTO)'!S6:S""))"),278.0)</f>
        <v>278</v>
      </c>
      <c r="G70" s="10">
        <f>IFERROR(__xludf.DUMMYFUNCTION("XLOOKUP($C70,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(AUTO)'!T6:T""))"),204.0)</f>
        <v>204</v>
      </c>
      <c r="H70" s="10">
        <f>IFERROR(__xludf.DUMMYFUNCTION("XLOOKUP($C70,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(AUTO)'!V6:V""))"),204.0)</f>
        <v>204</v>
      </c>
      <c r="I70" s="18"/>
      <c r="J70" s="18"/>
      <c r="K70" s="10">
        <f>IFERROR(__xludf.DUMMYFUNCTION("XLOOKUP($C70,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(AUTO)'!W6:W""))"),30.0)</f>
        <v>30</v>
      </c>
      <c r="L70" s="10">
        <f>IFERROR(__xludf.DUMMYFUNCTION("XLOOKUP($C70,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(AUTO)'!X6:X""))"),44.0)</f>
        <v>44</v>
      </c>
      <c r="M70" s="8"/>
      <c r="N70" s="8"/>
      <c r="O70" s="8"/>
      <c r="P70" s="8"/>
      <c r="Q70" s="8"/>
      <c r="R70" s="8"/>
      <c r="S70" s="8"/>
      <c r="T70" s="8"/>
      <c r="U70" s="8"/>
    </row>
    <row r="71">
      <c r="A71" s="10" t="s">
        <v>198</v>
      </c>
      <c r="B71" s="10" t="s">
        <v>199</v>
      </c>
      <c r="C71" s="12" t="s">
        <v>269</v>
      </c>
      <c r="D71" s="13" t="s">
        <v>270</v>
      </c>
      <c r="E71" s="16">
        <f t="array" ref="E71">XLOOKUP(C71,'DATA TK PANEN'!D:D,'DATA TK PANEN'!H:H)</f>
        <v>2268.19</v>
      </c>
      <c r="F71" s="10">
        <f>IFERROR(__xludf.DUMMYFUNCTION("XLOOKUP(C71,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(AUTO)'!S6:S""))"),136.0)</f>
        <v>136</v>
      </c>
      <c r="G71" s="10">
        <f>IFERROR(__xludf.DUMMYFUNCTION("XLOOKUP($C71,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(AUTO)'!T6:T""))"),130.0)</f>
        <v>130</v>
      </c>
      <c r="H71" s="10">
        <f>IFERROR(__xludf.DUMMYFUNCTION("XLOOKUP($C71,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(AUTO)'!V6:V""))"),132.0)</f>
        <v>132</v>
      </c>
      <c r="I71" s="18"/>
      <c r="J71" s="18"/>
      <c r="K71" s="10">
        <f>IFERROR(__xludf.DUMMYFUNCTION("XLOOKUP($C71,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(AUTO)'!W6:W""))"),2.0)</f>
        <v>2</v>
      </c>
      <c r="L71" s="10">
        <f>IFERROR(__xludf.DUMMYFUNCTION("XLOOKUP($C71,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(AUTO)'!X6:X""))"),2.0)</f>
        <v>2</v>
      </c>
      <c r="M71" s="8"/>
      <c r="N71" s="8"/>
      <c r="O71" s="8"/>
      <c r="P71" s="8"/>
      <c r="Q71" s="8"/>
      <c r="R71" s="8"/>
      <c r="S71" s="8"/>
      <c r="T71" s="8"/>
      <c r="U71" s="8"/>
    </row>
    <row r="72">
      <c r="A72" s="10" t="s">
        <v>198</v>
      </c>
      <c r="B72" s="10" t="s">
        <v>199</v>
      </c>
      <c r="C72" s="12" t="s">
        <v>274</v>
      </c>
      <c r="D72" s="13" t="s">
        <v>275</v>
      </c>
      <c r="E72" s="16">
        <f t="array" ref="E72">XLOOKUP(C72,'DATA TK PANEN'!D:D,'DATA TK PANEN'!H:H)</f>
        <v>3626.12</v>
      </c>
      <c r="F72" s="10">
        <f>IFERROR(__xludf.DUMMYFUNCTION("XLOOKUP(C72,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(AUTO)'!S6:S""))"),218.0)</f>
        <v>218</v>
      </c>
      <c r="G72" s="10">
        <f>IFERROR(__xludf.DUMMYFUNCTION("XLOOKUP($C72,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(AUTO)'!T6:T""))"),160.0)</f>
        <v>160</v>
      </c>
      <c r="H72" s="10">
        <f>IFERROR(__xludf.DUMMYFUNCTION("XLOOKUP($C72,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(AUTO)'!V6:V""))"),163.0)</f>
        <v>163</v>
      </c>
      <c r="I72" s="18"/>
      <c r="J72" s="18"/>
      <c r="K72" s="10">
        <f>IFERROR(__xludf.DUMMYFUNCTION("XLOOKUP($C72,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(AUTO)'!W6:W""))"),22.0)</f>
        <v>22</v>
      </c>
      <c r="L72" s="10">
        <f>IFERROR(__xludf.DUMMYFUNCTION("XLOOKUP($C72,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(AUTO)'!X6:X""))"),33.0)</f>
        <v>33</v>
      </c>
      <c r="M72" s="8"/>
      <c r="N72" s="8"/>
      <c r="O72" s="8"/>
      <c r="P72" s="8"/>
      <c r="Q72" s="8"/>
      <c r="R72" s="8"/>
      <c r="S72" s="8"/>
      <c r="T72" s="8"/>
      <c r="U72" s="8"/>
    </row>
    <row r="73">
      <c r="A73" s="10" t="s">
        <v>198</v>
      </c>
      <c r="B73" s="10" t="s">
        <v>199</v>
      </c>
      <c r="C73" s="12" t="s">
        <v>278</v>
      </c>
      <c r="D73" s="13" t="s">
        <v>279</v>
      </c>
      <c r="E73" s="16">
        <f t="array" ref="E73">XLOOKUP(C73,'DATA TK PANEN'!D:D,'DATA TK PANEN'!H:H)</f>
        <v>946.23</v>
      </c>
      <c r="F73" s="10">
        <f>IFERROR(__xludf.DUMMYFUNCTION("XLOOKUP(C73,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(AUTO)'!S6:S""))"),57.0)</f>
        <v>57</v>
      </c>
      <c r="G73" s="10">
        <f>IFERROR(__xludf.DUMMYFUNCTION("XLOOKUP($C73,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(AUTO)'!T6:T""))"),42.0)</f>
        <v>42</v>
      </c>
      <c r="H73" s="10">
        <f>IFERROR(__xludf.DUMMYFUNCTION("XLOOKUP($C73,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(AUTO)'!V6:V""))"),37.0)</f>
        <v>37</v>
      </c>
      <c r="I73" s="18"/>
      <c r="J73" s="18"/>
      <c r="K73" s="10">
        <f>IFERROR(__xludf.DUMMYFUNCTION("XLOOKUP($C73,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(AUTO)'!W6:W""))"),8.0)</f>
        <v>8</v>
      </c>
      <c r="L73" s="10">
        <f>IFERROR(__xludf.DUMMYFUNCTION("XLOOKUP($C73,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(AUTO)'!X6:X""))"),12.0)</f>
        <v>12</v>
      </c>
      <c r="M73" s="8"/>
      <c r="N73" s="8"/>
      <c r="O73" s="8"/>
      <c r="P73" s="8"/>
      <c r="Q73" s="8"/>
      <c r="R73" s="8"/>
      <c r="S73" s="8"/>
      <c r="T73" s="8"/>
      <c r="U73" s="8"/>
    </row>
    <row r="74">
      <c r="A74" s="10" t="s">
        <v>198</v>
      </c>
      <c r="B74" s="10" t="s">
        <v>199</v>
      </c>
      <c r="C74" s="12" t="s">
        <v>283</v>
      </c>
      <c r="D74" s="13" t="s">
        <v>284</v>
      </c>
      <c r="E74" s="16">
        <f t="array" ref="E74">XLOOKUP(C74,'DATA TK PANEN'!D:D,'DATA TK PANEN'!H:H)</f>
        <v>2041.21</v>
      </c>
      <c r="F74" s="10">
        <f>IFERROR(__xludf.DUMMYFUNCTION("XLOOKUP(C74,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(AUTO)'!S6:S""))"),122.0)</f>
        <v>122</v>
      </c>
      <c r="G74" s="10">
        <f>IFERROR(__xludf.DUMMYFUNCTION("XLOOKUP($C74,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(AUTO)'!T6:T""))"),86.0)</f>
        <v>86</v>
      </c>
      <c r="H74" s="10">
        <f>IFERROR(__xludf.DUMMYFUNCTION("XLOOKUP($C74,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(AUTO)'!V6:V""))"),88.0)</f>
        <v>88</v>
      </c>
      <c r="I74" s="18"/>
      <c r="J74" s="18"/>
      <c r="K74" s="10">
        <f>IFERROR(__xludf.DUMMYFUNCTION("XLOOKUP($C74,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(AUTO)'!W6:W""))"),14.0)</f>
        <v>14</v>
      </c>
      <c r="L74" s="10">
        <f>IFERROR(__xludf.DUMMYFUNCTION("XLOOKUP($C74,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(AUTO)'!X6:X""))"),20.0)</f>
        <v>20</v>
      </c>
      <c r="M74" s="8"/>
      <c r="N74" s="8"/>
      <c r="O74" s="8"/>
      <c r="P74" s="8"/>
      <c r="Q74" s="8"/>
      <c r="R74" s="8"/>
      <c r="S74" s="8"/>
      <c r="T74" s="8"/>
      <c r="U74" s="8"/>
    </row>
    <row r="75">
      <c r="A75" s="10" t="s">
        <v>286</v>
      </c>
      <c r="B75" s="10" t="s">
        <v>287</v>
      </c>
      <c r="C75" s="12" t="s">
        <v>223</v>
      </c>
      <c r="D75" s="13" t="s">
        <v>288</v>
      </c>
      <c r="E75" s="16">
        <f t="array" ref="E75">XLOOKUP(C75,'DATA TK PANEN'!D:D,'DATA TK PANEN'!H:H)</f>
        <v>256.42</v>
      </c>
      <c r="F75" s="10">
        <f>IFERROR(__xludf.DUMMYFUNCTION("XLOOKUP(C75,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(AUTO)'!S6:S""))"),15.0)</f>
        <v>15</v>
      </c>
      <c r="G75" s="10">
        <f>IFERROR(__xludf.DUMMYFUNCTION("XLOOKUP($C75,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(AUTO)'!T6:T""))"),4.0)</f>
        <v>4</v>
      </c>
      <c r="H75" s="10">
        <f>IFERROR(__xludf.DUMMYFUNCTION("XLOOKUP($C75,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(AUTO)'!V6:V""))"),7.0)</f>
        <v>7</v>
      </c>
      <c r="I75" s="18"/>
      <c r="J75" s="18"/>
      <c r="K75" s="10">
        <f>IFERROR(__xludf.DUMMYFUNCTION("XLOOKUP($C75,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(AUTO)'!W6:W""))"),4.0)</f>
        <v>4</v>
      </c>
      <c r="L75" s="10">
        <f>IFERROR(__xludf.DUMMYFUNCTION("XLOOKUP($C75,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(AUTO)'!X6:X""))"),4.0)</f>
        <v>4</v>
      </c>
      <c r="M75" s="8"/>
      <c r="N75" s="8"/>
      <c r="O75" s="8"/>
      <c r="P75" s="8"/>
      <c r="Q75" s="8"/>
      <c r="R75" s="8"/>
      <c r="S75" s="8"/>
      <c r="T75" s="8"/>
      <c r="U75" s="8"/>
    </row>
    <row r="76">
      <c r="A76" s="10" t="s">
        <v>286</v>
      </c>
      <c r="B76" s="10" t="s">
        <v>287</v>
      </c>
      <c r="C76" s="12" t="s">
        <v>291</v>
      </c>
      <c r="D76" s="13" t="s">
        <v>292</v>
      </c>
      <c r="E76" s="16">
        <f t="array" ref="E76">XLOOKUP(C76,'DATA TK PANEN'!D:D,'DATA TK PANEN'!H:H)</f>
        <v>25</v>
      </c>
      <c r="F76" s="10">
        <f>IFERROR(__xludf.DUMMYFUNCTION("XLOOKUP(C76,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(AUTO)'!S6:S""))"),1.0)</f>
        <v>1</v>
      </c>
      <c r="G76" s="10">
        <f>IFERROR(__xludf.DUMMYFUNCTION("XLOOKUP($C76,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(AUTO)'!T6:T""))"),3.0)</f>
        <v>3</v>
      </c>
      <c r="H76" s="10">
        <f>IFERROR(__xludf.DUMMYFUNCTION("XLOOKUP($C76,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(AUTO)'!V6:V""))"),10.0)</f>
        <v>10</v>
      </c>
      <c r="I76" s="18"/>
      <c r="J76" s="18"/>
      <c r="K76" s="10">
        <f>IFERROR(__xludf.DUMMYFUNCTION("XLOOKUP($C76,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76" s="10">
        <f>IFERROR(__xludf.DUMMYFUNCTION("XLOOKUP($C76,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76" s="8"/>
      <c r="N76" s="8"/>
      <c r="O76" s="8"/>
      <c r="P76" s="8"/>
      <c r="Q76" s="8"/>
      <c r="R76" s="8"/>
      <c r="S76" s="8"/>
      <c r="T76" s="8"/>
      <c r="U76" s="8"/>
    </row>
    <row r="77">
      <c r="A77" s="10" t="s">
        <v>286</v>
      </c>
      <c r="B77" s="10" t="s">
        <v>287</v>
      </c>
      <c r="C77" s="12" t="s">
        <v>294</v>
      </c>
      <c r="D77" s="13" t="s">
        <v>296</v>
      </c>
      <c r="E77" s="16">
        <f t="array" ref="E77">XLOOKUP(C77,'DATA TK PANEN'!D:D,'DATA TK PANEN'!H:H)</f>
        <v>623.45</v>
      </c>
      <c r="F77" s="10">
        <f>IFERROR(__xludf.DUMMYFUNCTION("XLOOKUP(C77,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(AUTO)'!S6:S""))"),36.0)</f>
        <v>36</v>
      </c>
      <c r="G77" s="10">
        <f>IFERROR(__xludf.DUMMYFUNCTION("XLOOKUP($C77,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(AUTO)'!T6:T""))"),20.0)</f>
        <v>20</v>
      </c>
      <c r="H77" s="10">
        <f>IFERROR(__xludf.DUMMYFUNCTION("XLOOKUP($C77,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(AUTO)'!V6:V""))"),21.0)</f>
        <v>21</v>
      </c>
      <c r="I77" s="18"/>
      <c r="J77" s="18"/>
      <c r="K77" s="10">
        <f>IFERROR(__xludf.DUMMYFUNCTION("XLOOKUP($C77,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(AUTO)'!W6:W""))"),8.0)</f>
        <v>8</v>
      </c>
      <c r="L77" s="10">
        <f>IFERROR(__xludf.DUMMYFUNCTION("XLOOKUP($C77,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(AUTO)'!X6:X""))"),7.0)</f>
        <v>7</v>
      </c>
      <c r="M77" s="8"/>
      <c r="N77" s="8"/>
      <c r="O77" s="8"/>
      <c r="P77" s="8"/>
      <c r="Q77" s="8"/>
      <c r="R77" s="8"/>
      <c r="S77" s="8"/>
      <c r="T77" s="8"/>
      <c r="U77" s="8"/>
    </row>
    <row r="78">
      <c r="A78" s="10" t="s">
        <v>286</v>
      </c>
      <c r="B78" s="10" t="s">
        <v>287</v>
      </c>
      <c r="C78" s="12" t="s">
        <v>298</v>
      </c>
      <c r="D78" s="13" t="s">
        <v>299</v>
      </c>
      <c r="E78" s="16">
        <f t="array" ref="E78">XLOOKUP(C78,'DATA TK PANEN'!D:D,'DATA TK PANEN'!H:H)</f>
        <v>1070.59</v>
      </c>
      <c r="F78" s="10">
        <f>IFERROR(__xludf.DUMMYFUNCTION("XLOOKUP(C78,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(AUTO)'!S6:S""))"),49.0)</f>
        <v>49</v>
      </c>
      <c r="G78" s="10">
        <f>IFERROR(__xludf.DUMMYFUNCTION("XLOOKUP($C78,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(AUTO)'!T6:T""))"),27.0)</f>
        <v>27</v>
      </c>
      <c r="H78" s="10">
        <f>IFERROR(__xludf.DUMMYFUNCTION("XLOOKUP($C78,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(AUTO)'!V6:V""))"),35.0)</f>
        <v>35</v>
      </c>
      <c r="I78" s="18"/>
      <c r="J78" s="18"/>
      <c r="K78" s="10">
        <f>IFERROR(__xludf.DUMMYFUNCTION("XLOOKUP($C78,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(AUTO)'!W6:W""))"),7.0)</f>
        <v>7</v>
      </c>
      <c r="L78" s="10">
        <f>IFERROR(__xludf.DUMMYFUNCTION("XLOOKUP($C78,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(AUTO)'!X6:X""))"),7.0)</f>
        <v>7</v>
      </c>
      <c r="M78" s="8"/>
      <c r="N78" s="8"/>
      <c r="O78" s="8"/>
      <c r="P78" s="8"/>
      <c r="Q78" s="8"/>
      <c r="R78" s="8"/>
      <c r="S78" s="8"/>
      <c r="T78" s="8"/>
      <c r="U78" s="8"/>
    </row>
    <row r="79">
      <c r="A79" s="10" t="s">
        <v>286</v>
      </c>
      <c r="B79" s="10" t="s">
        <v>287</v>
      </c>
      <c r="C79" s="12" t="s">
        <v>301</v>
      </c>
      <c r="D79" s="13" t="s">
        <v>302</v>
      </c>
      <c r="E79" s="16">
        <f t="array" ref="E79">XLOOKUP(C79,'DATA TK PANEN'!D:D,'DATA TK PANEN'!H:H)</f>
        <v>1209.9</v>
      </c>
      <c r="F79" s="10">
        <f>IFERROR(__xludf.DUMMYFUNCTION("XLOOKUP(C79,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(AUTO)'!S6:S""))"),20.0)</f>
        <v>20</v>
      </c>
      <c r="G79" s="10">
        <f>IFERROR(__xludf.DUMMYFUNCTION("XLOOKUP($C79,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(AUTO)'!T6:T""))"),24.0)</f>
        <v>24</v>
      </c>
      <c r="H79" s="10">
        <f>IFERROR(__xludf.DUMMYFUNCTION("XLOOKUP($C79,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(AUTO)'!V6:V""))"),20.0)</f>
        <v>20</v>
      </c>
      <c r="I79" s="18"/>
      <c r="J79" s="18"/>
      <c r="K79" s="10">
        <f>IFERROR(__xludf.DUMMYFUNCTION("XLOOKUP($C79,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79" s="10">
        <f>IFERROR(__xludf.DUMMYFUNCTION("XLOOKUP($C79,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79" s="8"/>
      <c r="N79" s="8"/>
      <c r="O79" s="8"/>
      <c r="P79" s="8"/>
      <c r="Q79" s="8"/>
      <c r="R79" s="8"/>
      <c r="S79" s="8"/>
      <c r="T79" s="8"/>
      <c r="U79" s="8"/>
    </row>
    <row r="80">
      <c r="A80" s="10" t="s">
        <v>286</v>
      </c>
      <c r="B80" s="10" t="s">
        <v>287</v>
      </c>
      <c r="C80" s="12" t="s">
        <v>228</v>
      </c>
      <c r="D80" s="13" t="s">
        <v>305</v>
      </c>
      <c r="E80" s="16">
        <f t="array" ref="E80">XLOOKUP(C80,'DATA TK PANEN'!D:D,'DATA TK PANEN'!H:H)</f>
        <v>50.74</v>
      </c>
      <c r="F80" s="10">
        <f>IFERROR(__xludf.DUMMYFUNCTION("XLOOKUP(C80,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(AUTO)'!S6:S""))"),2.0)</f>
        <v>2</v>
      </c>
      <c r="G80" s="10">
        <f>IFERROR(__xludf.DUMMYFUNCTION("XLOOKUP($C80,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(AUTO)'!T6:T""))"),5.0)</f>
        <v>5</v>
      </c>
      <c r="H80" s="10">
        <f>IFERROR(__xludf.DUMMYFUNCTION("XLOOKUP($C80,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(AUTO)'!V6:V""))"),2.0)</f>
        <v>2</v>
      </c>
      <c r="I80" s="18"/>
      <c r="J80" s="18"/>
      <c r="K80" s="10">
        <f>IFERROR(__xludf.DUMMYFUNCTION("XLOOKUP($C80,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0" s="10">
        <f>IFERROR(__xludf.DUMMYFUNCTION("XLOOKUP($C80,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0" s="8"/>
      <c r="N80" s="8"/>
      <c r="O80" s="8"/>
      <c r="P80" s="8"/>
      <c r="Q80" s="8"/>
      <c r="R80" s="8"/>
      <c r="S80" s="8"/>
      <c r="T80" s="8"/>
      <c r="U80" s="8"/>
    </row>
    <row r="81">
      <c r="A81" s="10" t="s">
        <v>286</v>
      </c>
      <c r="B81" s="10" t="s">
        <v>287</v>
      </c>
      <c r="C81" s="12" t="s">
        <v>237</v>
      </c>
      <c r="D81" s="13" t="s">
        <v>306</v>
      </c>
      <c r="E81" s="16">
        <f t="array" ref="E81">XLOOKUP(C81,'DATA TK PANEN'!D:D,'DATA TK PANEN'!H:H)</f>
        <v>749.6</v>
      </c>
      <c r="F81" s="10" t="str">
        <f>IFERROR(__xludf.DUMMYFUNCTION("XLOOKUP(C81,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81" s="10" t="str">
        <f>IFERROR(__xludf.DUMMYFUNCTION("XLOOKUP($C81,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81" s="10" t="str">
        <f>IFERROR(__xludf.DUMMYFUNCTION("XLOOKUP($C81,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81" s="18"/>
      <c r="J81" s="18"/>
      <c r="K81" s="10">
        <f>IFERROR(__xludf.DUMMYFUNCTION("XLOOKUP($C81,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1" s="10">
        <f>IFERROR(__xludf.DUMMYFUNCTION("XLOOKUP($C81,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1" s="8"/>
      <c r="N81" s="8"/>
      <c r="O81" s="8"/>
      <c r="P81" s="8"/>
      <c r="Q81" s="8"/>
      <c r="R81" s="8"/>
      <c r="S81" s="8"/>
      <c r="T81" s="8"/>
      <c r="U81" s="8"/>
    </row>
    <row r="82">
      <c r="A82" s="10" t="s">
        <v>286</v>
      </c>
      <c r="B82" s="10" t="s">
        <v>287</v>
      </c>
      <c r="C82" s="12" t="s">
        <v>307</v>
      </c>
      <c r="D82" s="13" t="s">
        <v>308</v>
      </c>
      <c r="E82" s="16">
        <f t="array" ref="E82">XLOOKUP(C82,'DATA TK PANEN'!D:D,'DATA TK PANEN'!H:H)</f>
        <v>432</v>
      </c>
      <c r="F82" s="10" t="str">
        <f>IFERROR(__xludf.DUMMYFUNCTION("XLOOKUP(C82,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82" s="10" t="str">
        <f>IFERROR(__xludf.DUMMYFUNCTION("XLOOKUP($C82,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82" s="10" t="str">
        <f>IFERROR(__xludf.DUMMYFUNCTION("XLOOKUP($C82,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82" s="18"/>
      <c r="J82" s="18"/>
      <c r="K82" s="10">
        <f>IFERROR(__xludf.DUMMYFUNCTION("XLOOKUP($C82,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2" s="10">
        <f>IFERROR(__xludf.DUMMYFUNCTION("XLOOKUP($C82,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2" s="8"/>
      <c r="N82" s="8"/>
      <c r="O82" s="8"/>
      <c r="P82" s="8"/>
      <c r="Q82" s="8"/>
      <c r="R82" s="8"/>
      <c r="S82" s="8"/>
      <c r="T82" s="8"/>
      <c r="U82" s="8"/>
    </row>
    <row r="83">
      <c r="A83" s="10" t="s">
        <v>286</v>
      </c>
      <c r="B83" s="10" t="s">
        <v>287</v>
      </c>
      <c r="C83" s="12" t="s">
        <v>310</v>
      </c>
      <c r="D83" s="13" t="s">
        <v>311</v>
      </c>
      <c r="E83" s="16">
        <f t="array" ref="E83">XLOOKUP(C83,'DATA TK PANEN'!D:D,'DATA TK PANEN'!H:H)</f>
        <v>200</v>
      </c>
      <c r="F83" s="10">
        <f>IFERROR(__xludf.DUMMYFUNCTION("XLOOKUP(C83,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(AUTO)'!S6:S""))"),12.0)</f>
        <v>12</v>
      </c>
      <c r="G83" s="10">
        <f>IFERROR(__xludf.DUMMYFUNCTION("XLOOKUP($C83,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(AUTO)'!T6:T""))"),3.0)</f>
        <v>3</v>
      </c>
      <c r="H83" s="10">
        <f>IFERROR(__xludf.DUMMYFUNCTION("XLOOKUP($C83,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(AUTO)'!V6:V""))"),0.0)</f>
        <v>0</v>
      </c>
      <c r="I83" s="18"/>
      <c r="J83" s="18"/>
      <c r="K83" s="10">
        <f>IFERROR(__xludf.DUMMYFUNCTION("XLOOKUP($C83,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(AUTO)'!W6:W""))"),6.0)</f>
        <v>6</v>
      </c>
      <c r="L83" s="10">
        <f>IFERROR(__xludf.DUMMYFUNCTION("XLOOKUP($C83,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(AUTO)'!X6:X""))"),6.0)</f>
        <v>6</v>
      </c>
      <c r="M83" s="8"/>
      <c r="N83" s="8"/>
      <c r="O83" s="8"/>
      <c r="P83" s="8"/>
      <c r="Q83" s="8"/>
      <c r="R83" s="8"/>
      <c r="S83" s="8"/>
      <c r="T83" s="8"/>
      <c r="U83" s="8"/>
    </row>
    <row r="84">
      <c r="A84" s="10" t="s">
        <v>286</v>
      </c>
      <c r="B84" s="10" t="s">
        <v>287</v>
      </c>
      <c r="C84" s="12" t="s">
        <v>193</v>
      </c>
      <c r="D84" s="13" t="s">
        <v>312</v>
      </c>
      <c r="E84" s="16">
        <f t="array" ref="E84">XLOOKUP(C84,'DATA TK PANEN'!D:D,'DATA TK PANEN'!H:H)</f>
        <v>1440.4</v>
      </c>
      <c r="F84" s="10">
        <f>IFERROR(__xludf.DUMMYFUNCTION("XLOOKUP(C84,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(AUTO)'!S6:S""))"),46.0)</f>
        <v>46</v>
      </c>
      <c r="G84" s="10">
        <f>IFERROR(__xludf.DUMMYFUNCTION("XLOOKUP($C84,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(AUTO)'!T6:T""))"),20.0)</f>
        <v>20</v>
      </c>
      <c r="H84" s="10">
        <f>IFERROR(__xludf.DUMMYFUNCTION("XLOOKUP($C84,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(AUTO)'!V6:V""))"),28.0)</f>
        <v>28</v>
      </c>
      <c r="I84" s="18"/>
      <c r="J84" s="18"/>
      <c r="K84" s="10">
        <f>IFERROR(__xludf.DUMMYFUNCTION("XLOOKUP($C84,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(AUTO)'!W6:W""))"),9.0)</f>
        <v>9</v>
      </c>
      <c r="L84" s="10">
        <f>IFERROR(__xludf.DUMMYFUNCTION("XLOOKUP($C84,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(AUTO)'!X6:X""))"),9.0)</f>
        <v>9</v>
      </c>
      <c r="M84" s="8"/>
      <c r="N84" s="8"/>
      <c r="O84" s="8"/>
      <c r="P84" s="8"/>
      <c r="Q84" s="8"/>
      <c r="R84" s="8"/>
      <c r="S84" s="8"/>
      <c r="T84" s="8"/>
      <c r="U84" s="8"/>
    </row>
    <row r="85">
      <c r="A85" s="10" t="s">
        <v>286</v>
      </c>
      <c r="B85" s="10" t="s">
        <v>287</v>
      </c>
      <c r="C85" s="12" t="s">
        <v>314</v>
      </c>
      <c r="D85" s="13" t="s">
        <v>315</v>
      </c>
      <c r="E85" s="16">
        <f t="array" ref="E85">XLOOKUP(C85,'DATA TK PANEN'!D:D,'DATA TK PANEN'!H:H)</f>
        <v>628.11</v>
      </c>
      <c r="F85" s="10">
        <f>IFERROR(__xludf.DUMMYFUNCTION("XLOOKUP(C85,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(AUTO)'!S6:S""))"),8.0)</f>
        <v>8</v>
      </c>
      <c r="G85" s="10">
        <f>IFERROR(__xludf.DUMMYFUNCTION("XLOOKUP($C85,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(AUTO)'!T6:T""))"),4.0)</f>
        <v>4</v>
      </c>
      <c r="H85" s="10">
        <f>IFERROR(__xludf.DUMMYFUNCTION("XLOOKUP($C85,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(AUTO)'!V6:V""))"),7.0)</f>
        <v>7</v>
      </c>
      <c r="I85" s="18"/>
      <c r="J85" s="18"/>
      <c r="K85" s="10">
        <f>IFERROR(__xludf.DUMMYFUNCTION("XLOOKUP($C85,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5" s="10">
        <f>IFERROR(__xludf.DUMMYFUNCTION("XLOOKUP($C85,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5" s="8"/>
      <c r="N85" s="8"/>
      <c r="O85" s="8"/>
      <c r="P85" s="8"/>
      <c r="Q85" s="8"/>
      <c r="R85" s="8"/>
      <c r="S85" s="8"/>
      <c r="T85" s="8"/>
      <c r="U85" s="8"/>
    </row>
    <row r="86">
      <c r="A86" s="10" t="s">
        <v>286</v>
      </c>
      <c r="B86" s="10" t="s">
        <v>287</v>
      </c>
      <c r="C86" s="12" t="s">
        <v>317</v>
      </c>
      <c r="D86" s="13" t="s">
        <v>318</v>
      </c>
      <c r="E86" s="16">
        <f t="array" ref="E86">XLOOKUP(C86,'DATA TK PANEN'!D:D,'DATA TK PANEN'!H:H)</f>
        <v>0</v>
      </c>
      <c r="F86" s="10" t="str">
        <f>IFERROR(__xludf.DUMMYFUNCTION("XLOOKUP(C86,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86" s="10" t="str">
        <f>IFERROR(__xludf.DUMMYFUNCTION("XLOOKUP($C86,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86" s="10" t="str">
        <f>IFERROR(__xludf.DUMMYFUNCTION("XLOOKUP($C86,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86" s="18"/>
      <c r="J86" s="18"/>
      <c r="K86" s="10">
        <f>IFERROR(__xludf.DUMMYFUNCTION("XLOOKUP($C86,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6" s="10">
        <f>IFERROR(__xludf.DUMMYFUNCTION("XLOOKUP($C86,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6" s="8"/>
      <c r="N86" s="8"/>
      <c r="O86" s="8"/>
      <c r="P86" s="8"/>
      <c r="Q86" s="8"/>
      <c r="R86" s="8"/>
      <c r="S86" s="8"/>
      <c r="T86" s="8"/>
      <c r="U86" s="8"/>
    </row>
    <row r="87">
      <c r="A87" s="10" t="s">
        <v>286</v>
      </c>
      <c r="B87" s="10" t="s">
        <v>287</v>
      </c>
      <c r="C87" s="12" t="s">
        <v>320</v>
      </c>
      <c r="D87" s="13" t="s">
        <v>321</v>
      </c>
      <c r="E87" s="16">
        <f t="array" ref="E87">XLOOKUP(C87,'DATA TK PANEN'!D:D,'DATA TK PANEN'!H:H)</f>
        <v>3683.69</v>
      </c>
      <c r="F87" s="10" t="str">
        <f>IFERROR(__xludf.DUMMYFUNCTION("XLOOKUP(C87,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87" s="10" t="str">
        <f>IFERROR(__xludf.DUMMYFUNCTION("XLOOKUP($C87,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87" s="10" t="str">
        <f>IFERROR(__xludf.DUMMYFUNCTION("XLOOKUP($C87,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87" s="18"/>
      <c r="J87" s="18"/>
      <c r="K87" s="10">
        <f>IFERROR(__xludf.DUMMYFUNCTION("XLOOKUP($C87,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87" s="10">
        <f>IFERROR(__xludf.DUMMYFUNCTION("XLOOKUP($C87,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87" s="8"/>
      <c r="N87" s="8"/>
      <c r="O87" s="8"/>
      <c r="P87" s="8"/>
      <c r="Q87" s="8"/>
      <c r="R87" s="8"/>
      <c r="S87" s="8"/>
      <c r="T87" s="8"/>
      <c r="U87" s="8"/>
    </row>
    <row r="88">
      <c r="A88" s="10" t="s">
        <v>286</v>
      </c>
      <c r="B88" s="10" t="s">
        <v>287</v>
      </c>
      <c r="C88" s="12" t="s">
        <v>323</v>
      </c>
      <c r="D88" s="13" t="s">
        <v>324</v>
      </c>
      <c r="E88" s="16">
        <f t="array" ref="E88">XLOOKUP(C88,'DATA TK PANEN'!D:D,'DATA TK PANEN'!H:H)</f>
        <v>2100.14</v>
      </c>
      <c r="F88" s="10">
        <f>IFERROR(__xludf.DUMMYFUNCTION("XLOOKUP(C88,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(AUTO)'!S6:S""))"),79.0)</f>
        <v>79</v>
      </c>
      <c r="G88" s="10">
        <f>IFERROR(__xludf.DUMMYFUNCTION("XLOOKUP($C88,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(AUTO)'!T6:T""))"),40.0)</f>
        <v>40</v>
      </c>
      <c r="H88" s="10">
        <f>IFERROR(__xludf.DUMMYFUNCTION("XLOOKUP($C88,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(AUTO)'!V6:V""))"),60.0)</f>
        <v>60</v>
      </c>
      <c r="I88" s="18"/>
      <c r="J88" s="18"/>
      <c r="K88" s="10">
        <f>IFERROR(__xludf.DUMMYFUNCTION("XLOOKUP($C88,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(AUTO)'!W6:W""))"),10.0)</f>
        <v>10</v>
      </c>
      <c r="L88" s="10">
        <f>IFERROR(__xludf.DUMMYFUNCTION("XLOOKUP($C88,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(AUTO)'!X6:X""))"),9.0)</f>
        <v>9</v>
      </c>
      <c r="M88" s="8"/>
      <c r="N88" s="8"/>
      <c r="O88" s="8"/>
      <c r="P88" s="8"/>
      <c r="Q88" s="8"/>
      <c r="R88" s="8"/>
      <c r="S88" s="8"/>
      <c r="T88" s="8"/>
      <c r="U88" s="8"/>
    </row>
    <row r="89">
      <c r="A89" s="10" t="s">
        <v>286</v>
      </c>
      <c r="B89" s="10" t="s">
        <v>287</v>
      </c>
      <c r="C89" s="12" t="s">
        <v>326</v>
      </c>
      <c r="D89" s="13" t="s">
        <v>327</v>
      </c>
      <c r="E89" s="16">
        <f t="array" ref="E89">XLOOKUP(C89,'DATA TK PANEN'!D:D,'DATA TK PANEN'!H:H)</f>
        <v>200.77</v>
      </c>
      <c r="F89" s="10">
        <f>IFERROR(__xludf.DUMMYFUNCTION("XLOOKUP(C89,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(AUTO)'!S6:S""))"),12.0)</f>
        <v>12</v>
      </c>
      <c r="G89" s="10">
        <f>IFERROR(__xludf.DUMMYFUNCTION("XLOOKUP($C89,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(AUTO)'!T6:T""))"),8.0)</f>
        <v>8</v>
      </c>
      <c r="H89" s="10">
        <f>IFERROR(__xludf.DUMMYFUNCTION("XLOOKUP($C89,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(AUTO)'!V6:V""))"),8.0)</f>
        <v>8</v>
      </c>
      <c r="I89" s="18"/>
      <c r="J89" s="18"/>
      <c r="K89" s="10">
        <f>IFERROR(__xludf.DUMMYFUNCTION("XLOOKUP($C89,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(AUTO)'!W6:W""))"),10.0)</f>
        <v>10</v>
      </c>
      <c r="L89" s="10">
        <f>IFERROR(__xludf.DUMMYFUNCTION("XLOOKUP($C89,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(AUTO)'!X6:X""))"),12.0)</f>
        <v>12</v>
      </c>
      <c r="M89" s="8"/>
      <c r="N89" s="8"/>
      <c r="O89" s="8"/>
      <c r="P89" s="8"/>
      <c r="Q89" s="8"/>
      <c r="R89" s="8"/>
      <c r="S89" s="8"/>
      <c r="T89" s="8"/>
      <c r="U89" s="8"/>
    </row>
    <row r="90">
      <c r="A90" s="10" t="s">
        <v>286</v>
      </c>
      <c r="B90" s="10" t="s">
        <v>287</v>
      </c>
      <c r="C90" s="12" t="s">
        <v>329</v>
      </c>
      <c r="D90" s="13" t="s">
        <v>330</v>
      </c>
      <c r="E90" s="16">
        <f t="array" ref="E90">XLOOKUP(C90,'DATA TK PANEN'!D:D,'DATA TK PANEN'!H:H)</f>
        <v>423</v>
      </c>
      <c r="F90" s="10">
        <f>IFERROR(__xludf.DUMMYFUNCTION("XLOOKUP(C90,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(AUTO)'!S6:S""))"),25.0)</f>
        <v>25</v>
      </c>
      <c r="G90" s="10">
        <f>IFERROR(__xludf.DUMMYFUNCTION("XLOOKUP($C90,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(AUTO)'!T6:T""))"),6.0)</f>
        <v>6</v>
      </c>
      <c r="H90" s="10">
        <f>IFERROR(__xludf.DUMMYFUNCTION("XLOOKUP($C90,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(AUTO)'!V6:V""))"),20.0)</f>
        <v>20</v>
      </c>
      <c r="I90" s="18"/>
      <c r="J90" s="18"/>
      <c r="K90" s="10">
        <f>IFERROR(__xludf.DUMMYFUNCTION("XLOOKUP($C90,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(AUTO)'!W6:W""))"),3.0)</f>
        <v>3</v>
      </c>
      <c r="L90" s="10">
        <f>IFERROR(__xludf.DUMMYFUNCTION("XLOOKUP($C90,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(AUTO)'!X6:X""))"),2.0)</f>
        <v>2</v>
      </c>
      <c r="M90" s="8"/>
      <c r="N90" s="8"/>
      <c r="O90" s="8"/>
      <c r="P90" s="8"/>
      <c r="Q90" s="8"/>
      <c r="R90" s="8"/>
      <c r="S90" s="8"/>
      <c r="T90" s="8"/>
      <c r="U90" s="8"/>
    </row>
    <row r="91">
      <c r="A91" s="10" t="s">
        <v>286</v>
      </c>
      <c r="B91" s="10" t="s">
        <v>287</v>
      </c>
      <c r="C91" s="12" t="s">
        <v>332</v>
      </c>
      <c r="D91" s="13" t="s">
        <v>333</v>
      </c>
      <c r="E91" s="16">
        <f t="array" ref="E91">XLOOKUP(C91,'DATA TK PANEN'!D:D,'DATA TK PANEN'!H:H)</f>
        <v>33</v>
      </c>
      <c r="F91" s="10" t="str">
        <f>IFERROR(__xludf.DUMMYFUNCTION("XLOOKUP(C91,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91" s="10" t="str">
        <f>IFERROR(__xludf.DUMMYFUNCTION("XLOOKUP($C91,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91" s="10" t="str">
        <f>IFERROR(__xludf.DUMMYFUNCTION("XLOOKUP($C91,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91" s="18"/>
      <c r="J91" s="18"/>
      <c r="K91" s="10">
        <f>IFERROR(__xludf.DUMMYFUNCTION("XLOOKUP($C91,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1" s="10">
        <f>IFERROR(__xludf.DUMMYFUNCTION("XLOOKUP($C91,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1" s="8"/>
      <c r="N91" s="8"/>
      <c r="O91" s="8"/>
      <c r="P91" s="8"/>
      <c r="Q91" s="8"/>
      <c r="R91" s="8"/>
      <c r="S91" s="8"/>
      <c r="T91" s="8"/>
      <c r="U91" s="8"/>
    </row>
    <row r="92">
      <c r="A92" s="10" t="s">
        <v>286</v>
      </c>
      <c r="B92" s="10" t="s">
        <v>287</v>
      </c>
      <c r="C92" s="12" t="s">
        <v>336</v>
      </c>
      <c r="D92" s="13" t="s">
        <v>337</v>
      </c>
      <c r="E92" s="16">
        <f t="array" ref="E92">XLOOKUP(C92,'DATA TK PANEN'!D:D,'DATA TK PANEN'!H:H)</f>
        <v>1855.53</v>
      </c>
      <c r="F92" s="10">
        <f>IFERROR(__xludf.DUMMYFUNCTION("XLOOKUP(C92,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(AUTO)'!S6:S""))"),98.0)</f>
        <v>98</v>
      </c>
      <c r="G92" s="10">
        <f>IFERROR(__xludf.DUMMYFUNCTION("XLOOKUP($C92,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(AUTO)'!T6:T""))"),140.0)</f>
        <v>140</v>
      </c>
      <c r="H92" s="10">
        <f>IFERROR(__xludf.DUMMYFUNCTION("XLOOKUP($C92,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(AUTO)'!V6:V""))"),198.0)</f>
        <v>198</v>
      </c>
      <c r="I92" s="18"/>
      <c r="J92" s="18"/>
      <c r="K92" s="10">
        <f>IFERROR(__xludf.DUMMYFUNCTION("XLOOKUP($C92,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2" s="10">
        <f>IFERROR(__xludf.DUMMYFUNCTION("XLOOKUP($C92,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2" s="8"/>
      <c r="N92" s="8"/>
      <c r="O92" s="8"/>
      <c r="P92" s="8"/>
      <c r="Q92" s="8"/>
      <c r="R92" s="8"/>
      <c r="S92" s="8"/>
      <c r="T92" s="8"/>
      <c r="U92" s="8"/>
    </row>
    <row r="93">
      <c r="A93" s="10" t="s">
        <v>286</v>
      </c>
      <c r="B93" s="10" t="s">
        <v>287</v>
      </c>
      <c r="C93" s="12" t="s">
        <v>340</v>
      </c>
      <c r="D93" s="13" t="s">
        <v>342</v>
      </c>
      <c r="E93" s="16">
        <f t="array" ref="E93">XLOOKUP(C93,'DATA TK PANEN'!D:D,'DATA TK PANEN'!H:H)</f>
        <v>3663.17</v>
      </c>
      <c r="F93" s="10" t="str">
        <f>IFERROR(__xludf.DUMMYFUNCTION("XLOOKUP(C93,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93" s="10" t="str">
        <f>IFERROR(__xludf.DUMMYFUNCTION("XLOOKUP($C93,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93" s="10" t="str">
        <f>IFERROR(__xludf.DUMMYFUNCTION("XLOOKUP($C93,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93" s="18"/>
      <c r="J93" s="18"/>
      <c r="K93" s="10">
        <f>IFERROR(__xludf.DUMMYFUNCTION("XLOOKUP($C93,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3" s="10">
        <f>IFERROR(__xludf.DUMMYFUNCTION("XLOOKUP($C93,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3" s="8"/>
      <c r="N93" s="8"/>
      <c r="O93" s="8"/>
      <c r="P93" s="8"/>
      <c r="Q93" s="8"/>
      <c r="R93" s="8"/>
      <c r="S93" s="8"/>
      <c r="T93" s="8"/>
      <c r="U93" s="8"/>
    </row>
    <row r="94">
      <c r="A94" s="10" t="s">
        <v>286</v>
      </c>
      <c r="B94" s="10" t="s">
        <v>287</v>
      </c>
      <c r="C94" s="12" t="s">
        <v>344</v>
      </c>
      <c r="D94" s="13" t="s">
        <v>345</v>
      </c>
      <c r="E94" s="16" t="str">
        <f t="array" ref="E94">XLOOKUP(C94,'DATA TK PANEN'!D:D,'DATA TK PANEN'!H:H)</f>
        <v>Tidak Ditemukan</v>
      </c>
      <c r="F94" s="10" t="str">
        <f>IFERROR(__xludf.DUMMYFUNCTION("XLOOKUP(C94,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94" s="10" t="str">
        <f>IFERROR(__xludf.DUMMYFUNCTION("XLOOKUP($C94,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94" s="10" t="str">
        <f>IFERROR(__xludf.DUMMYFUNCTION("XLOOKUP($C94,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94" s="18"/>
      <c r="J94" s="18"/>
      <c r="K94" s="10">
        <f>IFERROR(__xludf.DUMMYFUNCTION("XLOOKUP($C94,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4" s="10">
        <f>IFERROR(__xludf.DUMMYFUNCTION("XLOOKUP($C94,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4" s="8"/>
      <c r="N94" s="8"/>
      <c r="O94" s="8"/>
      <c r="P94" s="8"/>
      <c r="Q94" s="8"/>
      <c r="R94" s="8"/>
      <c r="S94" s="8"/>
      <c r="T94" s="8"/>
      <c r="U94" s="8"/>
    </row>
    <row r="95">
      <c r="A95" s="10" t="s">
        <v>286</v>
      </c>
      <c r="B95" s="10" t="s">
        <v>287</v>
      </c>
      <c r="C95" s="12" t="s">
        <v>347</v>
      </c>
      <c r="D95" s="13" t="s">
        <v>348</v>
      </c>
      <c r="E95" s="16">
        <f t="array" ref="E95">XLOOKUP(C95,'DATA TK PANEN'!D:D,'DATA TK PANEN'!H:H)</f>
        <v>2855.8</v>
      </c>
      <c r="F95" s="10" t="str">
        <f>IFERROR(__xludf.DUMMYFUNCTION("XLOOKUP(C95,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95" s="10" t="str">
        <f>IFERROR(__xludf.DUMMYFUNCTION("XLOOKUP($C95,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95" s="10" t="str">
        <f>IFERROR(__xludf.DUMMYFUNCTION("XLOOKUP($C95,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95" s="18"/>
      <c r="J95" s="18"/>
      <c r="K95" s="10">
        <f>IFERROR(__xludf.DUMMYFUNCTION("XLOOKUP($C95,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5" s="10">
        <f>IFERROR(__xludf.DUMMYFUNCTION("XLOOKUP($C95,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5" s="8"/>
      <c r="N95" s="8"/>
      <c r="O95" s="8"/>
      <c r="P95" s="8"/>
      <c r="Q95" s="8"/>
      <c r="R95" s="8"/>
      <c r="S95" s="8"/>
      <c r="T95" s="8"/>
      <c r="U95" s="8"/>
    </row>
    <row r="96">
      <c r="A96" s="10" t="s">
        <v>286</v>
      </c>
      <c r="B96" s="10" t="s">
        <v>287</v>
      </c>
      <c r="C96" s="12" t="s">
        <v>351</v>
      </c>
      <c r="D96" s="13" t="s">
        <v>352</v>
      </c>
      <c r="E96" s="16">
        <f t="array" ref="E96">XLOOKUP(C96,'DATA TK PANEN'!D:D,'DATA TK PANEN'!H:H)</f>
        <v>10.6</v>
      </c>
      <c r="F96" s="10" t="str">
        <f>IFERROR(__xludf.DUMMYFUNCTION("XLOOKUP(C96,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(AUTO)'!S6:S""))"),"-")</f>
        <v>-</v>
      </c>
      <c r="G96" s="10" t="str">
        <f>IFERROR(__xludf.DUMMYFUNCTION("XLOOKUP($C96,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(AUTO)'!T6:T""))"),"-")</f>
        <v>-</v>
      </c>
      <c r="H96" s="10" t="str">
        <f>IFERROR(__xludf.DUMMYFUNCTION("XLOOKUP($C96,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(AUTO)'!V6:V""))"),"")</f>
        <v/>
      </c>
      <c r="I96" s="18"/>
      <c r="J96" s="18"/>
      <c r="K96" s="10">
        <f>IFERROR(__xludf.DUMMYFUNCTION("XLOOKUP($C96,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6" s="10">
        <f>IFERROR(__xludf.DUMMYFUNCTION("XLOOKUP($C96,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6" s="8"/>
      <c r="N96" s="8"/>
      <c r="O96" s="8"/>
      <c r="P96" s="8"/>
      <c r="Q96" s="8"/>
      <c r="R96" s="8"/>
      <c r="S96" s="8"/>
      <c r="T96" s="8"/>
      <c r="U96" s="8"/>
    </row>
    <row r="97">
      <c r="A97" s="10" t="s">
        <v>286</v>
      </c>
      <c r="B97" s="10" t="s">
        <v>287</v>
      </c>
      <c r="C97" s="12" t="s">
        <v>354</v>
      </c>
      <c r="D97" s="13" t="s">
        <v>355</v>
      </c>
      <c r="E97" s="16">
        <f t="array" ref="E97">XLOOKUP(C97,'DATA TK PANEN'!D:D,'DATA TK PANEN'!H:H)</f>
        <v>238.54</v>
      </c>
      <c r="F97" s="10">
        <f>IFERROR(__xludf.DUMMYFUNCTION("XLOOKUP(C97,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(AUTO)'!S6:S""))"),4.0)</f>
        <v>4</v>
      </c>
      <c r="G97" s="10">
        <f>IFERROR(__xludf.DUMMYFUNCTION("XLOOKUP($C97,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(AUTO)'!T6:T""))"),4.0)</f>
        <v>4</v>
      </c>
      <c r="H97" s="10">
        <f>IFERROR(__xludf.DUMMYFUNCTION("XLOOKUP($C97,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(AUTO)'!V6:V""))"),6.0)</f>
        <v>6</v>
      </c>
      <c r="I97" s="18"/>
      <c r="J97" s="18"/>
      <c r="K97" s="10">
        <f>IFERROR(__xludf.DUMMYFUNCTION("XLOOKUP($C97,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7" s="10">
        <f>IFERROR(__xludf.DUMMYFUNCTION("XLOOKUP($C97,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7" s="8"/>
      <c r="N97" s="8"/>
      <c r="O97" s="8"/>
      <c r="P97" s="8"/>
      <c r="Q97" s="8"/>
      <c r="R97" s="8"/>
      <c r="S97" s="8"/>
      <c r="T97" s="8"/>
      <c r="U97" s="8"/>
    </row>
    <row r="98">
      <c r="A98" s="10" t="s">
        <v>286</v>
      </c>
      <c r="B98" s="10" t="s">
        <v>287</v>
      </c>
      <c r="C98" s="12" t="s">
        <v>357</v>
      </c>
      <c r="D98" s="13" t="s">
        <v>358</v>
      </c>
      <c r="E98" s="16">
        <f t="array" ref="E98">XLOOKUP(C98,'DATA TK PANEN'!D:D,'DATA TK PANEN'!H:H)</f>
        <v>952</v>
      </c>
      <c r="F98" s="10">
        <f>IFERROR(__xludf.DUMMYFUNCTION("XLOOKUP(C98,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(AUTO)'!S6:S""))"),38.0)</f>
        <v>38</v>
      </c>
      <c r="G98" s="10">
        <f>IFERROR(__xludf.DUMMYFUNCTION("XLOOKUP($C98,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(AUTO)'!T6:T""))"),30.0)</f>
        <v>30</v>
      </c>
      <c r="H98" s="10">
        <f>IFERROR(__xludf.DUMMYFUNCTION("XLOOKUP($C98,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(AUTO)'!V6:V""))"),40.0)</f>
        <v>40</v>
      </c>
      <c r="I98" s="18"/>
      <c r="J98" s="18"/>
      <c r="K98" s="10">
        <f>IFERROR(__xludf.DUMMYFUNCTION("XLOOKUP($C98,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(AUTO)'!W6:W""))"),0.0)</f>
        <v>0</v>
      </c>
      <c r="L98" s="10">
        <f>IFERROR(__xludf.DUMMYFUNCTION("XLOOKUP($C98,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(AUTO)'!X6:X""))"),0.0)</f>
        <v>0</v>
      </c>
      <c r="M98" s="8"/>
      <c r="N98" s="8"/>
      <c r="O98" s="8"/>
      <c r="P98" s="8"/>
      <c r="Q98" s="8"/>
      <c r="R98" s="8"/>
      <c r="S98" s="8"/>
      <c r="T98" s="8"/>
      <c r="U98" s="8"/>
    </row>
    <row r="99">
      <c r="A99" s="10" t="s">
        <v>286</v>
      </c>
      <c r="B99" s="10" t="s">
        <v>287</v>
      </c>
      <c r="C99" s="12" t="s">
        <v>361</v>
      </c>
      <c r="D99" s="13" t="s">
        <v>362</v>
      </c>
      <c r="E99" s="16">
        <f t="array" ref="E99">XLOOKUP(C99,'DATA TK PANEN'!D:D,'DATA TK PANEN'!H:H)</f>
        <v>1383.92</v>
      </c>
      <c r="F99" s="10">
        <f>IFERROR(__xludf.DUMMYFUNCTION("XLOOKUP(C99,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(AUTO)'!S6:S""))"),62.0)</f>
        <v>62</v>
      </c>
      <c r="G99" s="10">
        <f>IFERROR(__xludf.DUMMYFUNCTION("XLOOKUP($C99,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(AUTO)'!T6:T""))"),20.0)</f>
        <v>20</v>
      </c>
      <c r="H99" s="10">
        <f>IFERROR(__xludf.DUMMYFUNCTION("XLOOKUP($C99,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(AUTO)'!V6:V""))"),0.0)</f>
        <v>0</v>
      </c>
      <c r="I99" s="18"/>
      <c r="J99" s="18"/>
      <c r="K99" s="10">
        <f>IFERROR(__xludf.DUMMYFUNCTION("XLOOKUP($C99,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(AUTO)'!W6:W""))"),31.0)</f>
        <v>31</v>
      </c>
      <c r="L99" s="10">
        <f>IFERROR(__xludf.DUMMYFUNCTION("XLOOKUP($C99,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(AUTO)'!X6:X""))"),31.0)</f>
        <v>31</v>
      </c>
      <c r="M99" s="8"/>
      <c r="N99" s="8"/>
      <c r="O99" s="8"/>
      <c r="P99" s="8"/>
      <c r="Q99" s="8"/>
      <c r="R99" s="8"/>
      <c r="S99" s="8"/>
      <c r="T99" s="8"/>
      <c r="U99" s="8"/>
    </row>
    <row r="100">
      <c r="A100" s="10" t="s">
        <v>286</v>
      </c>
      <c r="B100" s="10" t="s">
        <v>287</v>
      </c>
      <c r="C100" s="12" t="s">
        <v>365</v>
      </c>
      <c r="D100" s="13" t="s">
        <v>366</v>
      </c>
      <c r="E100" s="16">
        <f t="array" ref="E100">XLOOKUP(C100,'DATA TK PANEN'!D:D,'DATA TK PANEN'!H:H)</f>
        <v>933.31</v>
      </c>
      <c r="F100" s="10">
        <f>IFERROR(__xludf.DUMMYFUNCTION("XLOOKUP(C100,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(AUTO)'!S6:S""))"),42.0)</f>
        <v>42</v>
      </c>
      <c r="G100" s="10">
        <f>IFERROR(__xludf.DUMMYFUNCTION("XLOOKUP($C100,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(AUTO)'!T6:T""))"),28.0)</f>
        <v>28</v>
      </c>
      <c r="H100" s="10">
        <f>IFERROR(__xludf.DUMMYFUNCTION("XLOOKUP($C100,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(AUTO)'!V6:V""))"),38.0)</f>
        <v>38</v>
      </c>
      <c r="I100" s="18"/>
      <c r="J100" s="18"/>
      <c r="K100" s="10">
        <f>IFERROR(__xludf.DUMMYFUNCTION("XLOOKUP($C100,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100" s="10">
        <f>IFERROR(__xludf.DUMMYFUNCTION("XLOOKUP($C100,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00" s="8"/>
      <c r="N100" s="8"/>
      <c r="O100" s="8"/>
      <c r="P100" s="8"/>
      <c r="Q100" s="8"/>
      <c r="R100" s="8"/>
      <c r="S100" s="8"/>
      <c r="T100" s="8"/>
      <c r="U100" s="8"/>
    </row>
    <row r="101">
      <c r="A101" s="10" t="s">
        <v>286</v>
      </c>
      <c r="B101" s="10" t="s">
        <v>287</v>
      </c>
      <c r="C101" s="12" t="s">
        <v>368</v>
      </c>
      <c r="D101" s="13" t="s">
        <v>369</v>
      </c>
      <c r="E101" s="16">
        <f t="array" ref="E101">XLOOKUP(C101,'DATA TK PANEN'!D:D,'DATA TK PANEN'!H:H)</f>
        <v>600</v>
      </c>
      <c r="F101" s="10">
        <f>IFERROR(__xludf.DUMMYFUNCTION("XLOOKUP(C101,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(AUTO)'!S6:S""))"),15.0)</f>
        <v>15</v>
      </c>
      <c r="G101" s="10">
        <f>IFERROR(__xludf.DUMMYFUNCTION("XLOOKUP($C101,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101" s="10">
        <f>IFERROR(__xludf.DUMMYFUNCTION("XLOOKUP($C101,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01" s="18"/>
      <c r="J101" s="18"/>
      <c r="K101" s="10">
        <f>IFERROR(__xludf.DUMMYFUNCTION("XLOOKUP($C101,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101" s="10">
        <f>IFERROR(__xludf.DUMMYFUNCTION("XLOOKUP($C101,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01" s="8"/>
      <c r="N101" s="8"/>
      <c r="O101" s="8"/>
      <c r="P101" s="8"/>
      <c r="Q101" s="8"/>
      <c r="R101" s="8"/>
      <c r="S101" s="8"/>
      <c r="T101" s="8"/>
      <c r="U101" s="8"/>
    </row>
    <row r="102">
      <c r="A102" s="10" t="s">
        <v>286</v>
      </c>
      <c r="B102" s="10" t="s">
        <v>287</v>
      </c>
      <c r="C102" s="12" t="s">
        <v>372</v>
      </c>
      <c r="D102" s="13" t="s">
        <v>373</v>
      </c>
      <c r="E102" s="16">
        <f t="array" ref="E102">XLOOKUP(C102,'DATA TK PANEN'!D:D,'DATA TK PANEN'!H:H)</f>
        <v>895.78</v>
      </c>
      <c r="F102" s="10">
        <f>IFERROR(__xludf.DUMMYFUNCTION("XLOOKUP(C102,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02" s="10">
        <f>IFERROR(__xludf.DUMMYFUNCTION("XLOOKUP($C102,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102" s="10">
        <f>IFERROR(__xludf.DUMMYFUNCTION("XLOOKUP($C102,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102" s="18"/>
      <c r="J102" s="18"/>
      <c r="K102" s="10">
        <f>IFERROR(__xludf.DUMMYFUNCTION("XLOOKUP($C102,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2" s="10">
        <f>IFERROR(__xludf.DUMMYFUNCTION("XLOOKUP($C102,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2" s="8"/>
      <c r="N102" s="8"/>
      <c r="O102" s="8"/>
      <c r="P102" s="8"/>
      <c r="Q102" s="8"/>
      <c r="R102" s="8"/>
      <c r="S102" s="8"/>
      <c r="T102" s="8"/>
      <c r="U102" s="8"/>
    </row>
    <row r="103">
      <c r="A103" s="10" t="s">
        <v>286</v>
      </c>
      <c r="B103" s="10" t="s">
        <v>287</v>
      </c>
      <c r="C103" s="12" t="s">
        <v>375</v>
      </c>
      <c r="D103" s="13" t="s">
        <v>376</v>
      </c>
      <c r="E103" s="16">
        <f t="array" ref="E103">XLOOKUP(C103,'DATA TK PANEN'!D:D,'DATA TK PANEN'!H:H)</f>
        <v>54</v>
      </c>
      <c r="F103" s="10">
        <f>IFERROR(__xludf.DUMMYFUNCTION("XLOOKUP(C103,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03" s="10">
        <f>IFERROR(__xludf.DUMMYFUNCTION("XLOOKUP($C103,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03" s="10">
        <f>IFERROR(__xludf.DUMMYFUNCTION("XLOOKUP($C103,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103" s="18"/>
      <c r="J103" s="18"/>
      <c r="K103" s="10">
        <f>IFERROR(__xludf.DUMMYFUNCTION("XLOOKUP($C103,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3" s="10">
        <f>IFERROR(__xludf.DUMMYFUNCTION("XLOOKUP($C103,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3" s="8"/>
      <c r="N103" s="8"/>
      <c r="O103" s="8"/>
      <c r="P103" s="8"/>
      <c r="Q103" s="8"/>
      <c r="R103" s="8"/>
      <c r="S103" s="8"/>
      <c r="T103" s="8"/>
      <c r="U103" s="8"/>
    </row>
    <row r="104">
      <c r="A104" s="10" t="s">
        <v>286</v>
      </c>
      <c r="B104" s="10" t="s">
        <v>287</v>
      </c>
      <c r="C104" s="12" t="s">
        <v>379</v>
      </c>
      <c r="D104" s="13" t="s">
        <v>380</v>
      </c>
      <c r="E104" s="16">
        <f t="array" ref="E104">XLOOKUP(C104,'DATA TK PANEN'!D:D,'DATA TK PANEN'!H:H)</f>
        <v>3.5</v>
      </c>
      <c r="F104" s="10" t="str">
        <f>IFERROR(__xludf.DUMMYFUNCTION("XLOOKUP(C104,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04" s="10" t="str">
        <f>IFERROR(__xludf.DUMMYFUNCTION("XLOOKUP($C104,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04" s="10" t="str">
        <f>IFERROR(__xludf.DUMMYFUNCTION("XLOOKUP($C104,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04" s="18"/>
      <c r="J104" s="18"/>
      <c r="K104" s="10">
        <f>IFERROR(__xludf.DUMMYFUNCTION("XLOOKUP($C104,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4" s="10">
        <f>IFERROR(__xludf.DUMMYFUNCTION("XLOOKUP($C104,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4" s="8"/>
      <c r="N104" s="8"/>
      <c r="O104" s="8"/>
      <c r="P104" s="8"/>
      <c r="Q104" s="8"/>
      <c r="R104" s="8"/>
      <c r="S104" s="8"/>
      <c r="T104" s="8"/>
      <c r="U104" s="8"/>
    </row>
    <row r="105">
      <c r="A105" s="10" t="s">
        <v>286</v>
      </c>
      <c r="B105" s="10" t="s">
        <v>287</v>
      </c>
      <c r="C105" s="12" t="s">
        <v>382</v>
      </c>
      <c r="D105" s="13" t="s">
        <v>383</v>
      </c>
      <c r="E105" s="16">
        <f t="array" ref="E105">XLOOKUP(C105,'DATA TK PANEN'!D:D,'DATA TK PANEN'!H:H)</f>
        <v>185.81</v>
      </c>
      <c r="F105" s="10">
        <f>IFERROR(__xludf.DUMMYFUNCTION("XLOOKUP(C105,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105" s="10">
        <f>IFERROR(__xludf.DUMMYFUNCTION("XLOOKUP($C105,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105" s="10">
        <f>IFERROR(__xludf.DUMMYFUNCTION("XLOOKUP($C105,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105" s="18"/>
      <c r="J105" s="18"/>
      <c r="K105" s="10">
        <f>IFERROR(__xludf.DUMMYFUNCTION("XLOOKUP($C105,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5" s="10">
        <f>IFERROR(__xludf.DUMMYFUNCTION("XLOOKUP($C105,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5" s="8"/>
      <c r="N105" s="8"/>
      <c r="O105" s="8"/>
      <c r="P105" s="8"/>
      <c r="Q105" s="8"/>
      <c r="R105" s="8"/>
      <c r="S105" s="8"/>
      <c r="T105" s="8"/>
      <c r="U105" s="8"/>
    </row>
    <row r="106">
      <c r="A106" s="10" t="s">
        <v>286</v>
      </c>
      <c r="B106" s="10" t="s">
        <v>287</v>
      </c>
      <c r="C106" s="12" t="s">
        <v>385</v>
      </c>
      <c r="D106" s="13" t="s">
        <v>386</v>
      </c>
      <c r="E106" s="16">
        <f t="array" ref="E106">XLOOKUP(C106,'DATA TK PANEN'!D:D,'DATA TK PANEN'!H:H)</f>
        <v>265</v>
      </c>
      <c r="F106" s="10">
        <f>IFERROR(__xludf.DUMMYFUNCTION("XLOOKUP(C106,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106" s="10">
        <f>IFERROR(__xludf.DUMMYFUNCTION("XLOOKUP($C106,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106" s="10">
        <f>IFERROR(__xludf.DUMMYFUNCTION("XLOOKUP($C106,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06" s="18"/>
      <c r="J106" s="18"/>
      <c r="K106" s="10">
        <f>IFERROR(__xludf.DUMMYFUNCTION("XLOOKUP($C106,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106" s="10">
        <f>IFERROR(__xludf.DUMMYFUNCTION("XLOOKUP($C106,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106" s="8"/>
      <c r="N106" s="8"/>
      <c r="O106" s="8"/>
      <c r="P106" s="8"/>
      <c r="Q106" s="8"/>
      <c r="R106" s="8"/>
      <c r="S106" s="8"/>
      <c r="T106" s="8"/>
      <c r="U106" s="8"/>
    </row>
    <row r="107">
      <c r="A107" s="10" t="s">
        <v>286</v>
      </c>
      <c r="B107" s="10" t="s">
        <v>287</v>
      </c>
      <c r="C107" s="12" t="s">
        <v>387</v>
      </c>
      <c r="D107" s="13" t="s">
        <v>388</v>
      </c>
      <c r="E107" s="16">
        <f t="array" ref="E107">XLOOKUP(C107,'DATA TK PANEN'!D:D,'DATA TK PANEN'!H:H)</f>
        <v>8.93</v>
      </c>
      <c r="F107" s="10">
        <f>IFERROR(__xludf.DUMMYFUNCTION("XLOOKUP(C107,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07" s="10">
        <f>IFERROR(__xludf.DUMMYFUNCTION("XLOOKUP($C107,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07" s="10">
        <f>IFERROR(__xludf.DUMMYFUNCTION("XLOOKUP($C107,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107" s="18"/>
      <c r="J107" s="18"/>
      <c r="K107" s="10">
        <f>IFERROR(__xludf.DUMMYFUNCTION("XLOOKUP($C107,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7" s="10">
        <f>IFERROR(__xludf.DUMMYFUNCTION("XLOOKUP($C107,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7" s="8"/>
      <c r="N107" s="8"/>
      <c r="O107" s="8"/>
      <c r="P107" s="8"/>
      <c r="Q107" s="8"/>
      <c r="R107" s="8"/>
      <c r="S107" s="8"/>
      <c r="T107" s="8"/>
      <c r="U107" s="8"/>
    </row>
    <row r="108">
      <c r="A108" s="10" t="s">
        <v>286</v>
      </c>
      <c r="B108" s="10" t="s">
        <v>287</v>
      </c>
      <c r="C108" s="12" t="s">
        <v>392</v>
      </c>
      <c r="D108" s="13" t="s">
        <v>393</v>
      </c>
      <c r="E108" s="16">
        <f t="array" ref="E108">XLOOKUP(C108,'DATA TK PANEN'!D:D,'DATA TK PANEN'!H:H)</f>
        <v>394.24</v>
      </c>
      <c r="F108" s="10">
        <f>IFERROR(__xludf.DUMMYFUNCTION("XLOOKUP(C108,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108" s="10">
        <f>IFERROR(__xludf.DUMMYFUNCTION("XLOOKUP($C108,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108" s="10">
        <f>IFERROR(__xludf.DUMMYFUNCTION("XLOOKUP($C108,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108" s="18"/>
      <c r="J108" s="18"/>
      <c r="K108" s="10">
        <f>IFERROR(__xludf.DUMMYFUNCTION("XLOOKUP($C108,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8" s="10">
        <f>IFERROR(__xludf.DUMMYFUNCTION("XLOOKUP($C108,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8" s="8"/>
      <c r="N108" s="8"/>
      <c r="O108" s="8"/>
      <c r="P108" s="8"/>
      <c r="Q108" s="8"/>
      <c r="R108" s="8"/>
      <c r="S108" s="8"/>
      <c r="T108" s="8"/>
      <c r="U108" s="8"/>
    </row>
    <row r="109">
      <c r="A109" s="10" t="s">
        <v>286</v>
      </c>
      <c r="B109" s="10" t="s">
        <v>287</v>
      </c>
      <c r="C109" s="12" t="s">
        <v>396</v>
      </c>
      <c r="D109" s="13" t="s">
        <v>397</v>
      </c>
      <c r="E109" s="16">
        <f t="array" ref="E109">XLOOKUP(C109,'DATA TK PANEN'!D:D,'DATA TK PANEN'!H:H)</f>
        <v>108.99</v>
      </c>
      <c r="F109" s="10">
        <f>IFERROR(__xludf.DUMMYFUNCTION("XLOOKUP(C109,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109" s="10">
        <f>IFERROR(__xludf.DUMMYFUNCTION("XLOOKUP($C109,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109" s="10">
        <f>IFERROR(__xludf.DUMMYFUNCTION("XLOOKUP($C109,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109" s="18"/>
      <c r="J109" s="18"/>
      <c r="K109" s="10">
        <f>IFERROR(__xludf.DUMMYFUNCTION("XLOOKUP($C109,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09" s="10">
        <f>IFERROR(__xludf.DUMMYFUNCTION("XLOOKUP($C109,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09" s="8"/>
      <c r="N109" s="8"/>
      <c r="O109" s="8"/>
      <c r="P109" s="8"/>
      <c r="Q109" s="8"/>
      <c r="R109" s="8"/>
      <c r="S109" s="8"/>
      <c r="T109" s="8"/>
      <c r="U109" s="8"/>
    </row>
    <row r="110">
      <c r="A110" s="10" t="s">
        <v>286</v>
      </c>
      <c r="B110" s="10" t="s">
        <v>287</v>
      </c>
      <c r="C110" s="12" t="s">
        <v>400</v>
      </c>
      <c r="D110" s="13" t="s">
        <v>401</v>
      </c>
      <c r="E110" s="16">
        <f t="array" ref="E110">XLOOKUP(C110,'DATA TK PANEN'!D:D,'DATA TK PANEN'!H:H)</f>
        <v>197.58</v>
      </c>
      <c r="F110" s="10">
        <f>IFERROR(__xludf.DUMMYFUNCTION("XLOOKUP(C110,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(AUTO)'!S6:S""))"),10.0)</f>
        <v>10</v>
      </c>
      <c r="G110" s="10">
        <f>IFERROR(__xludf.DUMMYFUNCTION("XLOOKUP($C110,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110" s="10">
        <f>IFERROR(__xludf.DUMMYFUNCTION("XLOOKUP($C110,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110" s="18"/>
      <c r="J110" s="18"/>
      <c r="K110" s="10">
        <f>IFERROR(__xludf.DUMMYFUNCTION("XLOOKUP($C110,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0" s="10">
        <f>IFERROR(__xludf.DUMMYFUNCTION("XLOOKUP($C110,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0" s="8"/>
      <c r="N110" s="8"/>
      <c r="O110" s="8"/>
      <c r="P110" s="8"/>
      <c r="Q110" s="8"/>
      <c r="R110" s="8"/>
      <c r="S110" s="8"/>
      <c r="T110" s="8"/>
      <c r="U110" s="8"/>
    </row>
    <row r="111">
      <c r="A111" s="10" t="s">
        <v>286</v>
      </c>
      <c r="B111" s="10" t="s">
        <v>287</v>
      </c>
      <c r="C111" s="12" t="s">
        <v>404</v>
      </c>
      <c r="D111" s="13" t="s">
        <v>405</v>
      </c>
      <c r="E111" s="16">
        <f t="array" ref="E111">XLOOKUP(C111,'DATA TK PANEN'!D:D,'DATA TK PANEN'!H:H)</f>
        <v>8</v>
      </c>
      <c r="F111" s="10" t="str">
        <f>IFERROR(__xludf.DUMMYFUNCTION("XLOOKUP(C111,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11" s="10" t="str">
        <f>IFERROR(__xludf.DUMMYFUNCTION("XLOOKUP($C111,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11" s="10" t="str">
        <f>IFERROR(__xludf.DUMMYFUNCTION("XLOOKUP($C111,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11" s="18"/>
      <c r="J111" s="18"/>
      <c r="K111" s="10">
        <f>IFERROR(__xludf.DUMMYFUNCTION("XLOOKUP($C111,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1" s="10">
        <f>IFERROR(__xludf.DUMMYFUNCTION("XLOOKUP($C111,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1" s="8"/>
      <c r="N111" s="8"/>
      <c r="O111" s="8"/>
      <c r="P111" s="8"/>
      <c r="Q111" s="8"/>
      <c r="R111" s="8"/>
      <c r="S111" s="8"/>
      <c r="T111" s="8"/>
      <c r="U111" s="8"/>
    </row>
    <row r="112">
      <c r="A112" s="10" t="s">
        <v>286</v>
      </c>
      <c r="B112" s="10" t="s">
        <v>287</v>
      </c>
      <c r="C112" s="12" t="s">
        <v>407</v>
      </c>
      <c r="D112" s="13" t="s">
        <v>408</v>
      </c>
      <c r="E112" s="16">
        <f t="array" ref="E112">XLOOKUP(C112,'DATA TK PANEN'!D:D,'DATA TK PANEN'!H:H)</f>
        <v>30</v>
      </c>
      <c r="F112" s="10">
        <f>IFERROR(__xludf.DUMMYFUNCTION("XLOOKUP(C112,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12" s="10">
        <f>IFERROR(__xludf.DUMMYFUNCTION("XLOOKUP($C112,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12" s="10">
        <f>IFERROR(__xludf.DUMMYFUNCTION("XLOOKUP($C112,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112" s="18"/>
      <c r="J112" s="18"/>
      <c r="K112" s="10">
        <f>IFERROR(__xludf.DUMMYFUNCTION("XLOOKUP($C112,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2" s="10">
        <f>IFERROR(__xludf.DUMMYFUNCTION("XLOOKUP($C112,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2" s="8"/>
      <c r="N112" s="8"/>
      <c r="O112" s="8"/>
      <c r="P112" s="8"/>
      <c r="Q112" s="8"/>
      <c r="R112" s="8"/>
      <c r="S112" s="8"/>
      <c r="T112" s="8"/>
      <c r="U112" s="8"/>
    </row>
    <row r="113">
      <c r="A113" s="10" t="s">
        <v>286</v>
      </c>
      <c r="B113" s="10" t="s">
        <v>287</v>
      </c>
      <c r="C113" s="12" t="s">
        <v>410</v>
      </c>
      <c r="D113" s="13" t="s">
        <v>411</v>
      </c>
      <c r="E113" s="16">
        <f t="array" ref="E113">XLOOKUP(C113,'DATA TK PANEN'!D:D,'DATA TK PANEN'!H:H)</f>
        <v>1458.7</v>
      </c>
      <c r="F113" s="10" t="str">
        <f>IFERROR(__xludf.DUMMYFUNCTION("XLOOKUP(C113,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13" s="10" t="str">
        <f>IFERROR(__xludf.DUMMYFUNCTION("XLOOKUP($C113,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13" s="10" t="str">
        <f>IFERROR(__xludf.DUMMYFUNCTION("XLOOKUP($C113,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13" s="18"/>
      <c r="J113" s="18"/>
      <c r="K113" s="10">
        <f>IFERROR(__xludf.DUMMYFUNCTION("XLOOKUP($C113,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3" s="10">
        <f>IFERROR(__xludf.DUMMYFUNCTION("XLOOKUP($C113,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3" s="8"/>
      <c r="N113" s="8"/>
      <c r="O113" s="8"/>
      <c r="P113" s="8"/>
      <c r="Q113" s="8"/>
      <c r="R113" s="8"/>
      <c r="S113" s="8"/>
      <c r="T113" s="8"/>
      <c r="U113" s="8"/>
    </row>
    <row r="114">
      <c r="A114" s="10" t="s">
        <v>286</v>
      </c>
      <c r="B114" s="10" t="s">
        <v>287</v>
      </c>
      <c r="C114" s="12" t="s">
        <v>414</v>
      </c>
      <c r="D114" s="13" t="s">
        <v>415</v>
      </c>
      <c r="E114" s="16">
        <f t="array" ref="E114">XLOOKUP(C114,'DATA TK PANEN'!D:D,'DATA TK PANEN'!H:H)</f>
        <v>53.95</v>
      </c>
      <c r="F114" s="10">
        <f>IFERROR(__xludf.DUMMYFUNCTION("XLOOKUP(C114,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14" s="10">
        <f>IFERROR(__xludf.DUMMYFUNCTION("XLOOKUP($C114,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14" s="10">
        <f>IFERROR(__xludf.DUMMYFUNCTION("XLOOKUP($C114,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114" s="18"/>
      <c r="J114" s="18"/>
      <c r="K114" s="10">
        <f>IFERROR(__xludf.DUMMYFUNCTION("XLOOKUP($C114,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4" s="10">
        <f>IFERROR(__xludf.DUMMYFUNCTION("XLOOKUP($C114,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4" s="8"/>
      <c r="N114" s="8"/>
      <c r="O114" s="8"/>
      <c r="P114" s="8"/>
      <c r="Q114" s="8"/>
      <c r="R114" s="8"/>
      <c r="S114" s="8"/>
      <c r="T114" s="8"/>
      <c r="U114" s="8"/>
    </row>
    <row r="115">
      <c r="A115" s="10" t="s">
        <v>286</v>
      </c>
      <c r="B115" s="10" t="s">
        <v>287</v>
      </c>
      <c r="C115" s="12" t="s">
        <v>417</v>
      </c>
      <c r="D115" s="13" t="s">
        <v>419</v>
      </c>
      <c r="E115" s="16">
        <f t="array" ref="E115">XLOOKUP(C115,'DATA TK PANEN'!D:D,'DATA TK PANEN'!H:H)</f>
        <v>131.75</v>
      </c>
      <c r="F115" s="10">
        <f>IFERROR(__xludf.DUMMYFUNCTION("XLOOKUP(C115,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115" s="10">
        <f>IFERROR(__xludf.DUMMYFUNCTION("XLOOKUP($C115,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15" s="10">
        <f>IFERROR(__xludf.DUMMYFUNCTION("XLOOKUP($C115,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(AUTO)'!V6:V""))"),11.0)</f>
        <v>11</v>
      </c>
      <c r="I115" s="18"/>
      <c r="J115" s="18"/>
      <c r="K115" s="10">
        <f>IFERROR(__xludf.DUMMYFUNCTION("XLOOKUP($C115,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5" s="10">
        <f>IFERROR(__xludf.DUMMYFUNCTION("XLOOKUP($C115,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5" s="8"/>
      <c r="N115" s="8"/>
      <c r="O115" s="8"/>
      <c r="P115" s="8"/>
      <c r="Q115" s="8"/>
      <c r="R115" s="8"/>
      <c r="S115" s="8"/>
      <c r="T115" s="8"/>
      <c r="U115" s="8"/>
    </row>
    <row r="116">
      <c r="A116" s="10" t="s">
        <v>286</v>
      </c>
      <c r="B116" s="10" t="s">
        <v>287</v>
      </c>
      <c r="C116" s="12" t="s">
        <v>421</v>
      </c>
      <c r="D116" s="13" t="s">
        <v>422</v>
      </c>
      <c r="E116" s="16">
        <f t="array" ref="E116">XLOOKUP(C116,'DATA TK PANEN'!D:D,'DATA TK PANEN'!H:H)</f>
        <v>114.19</v>
      </c>
      <c r="F116" s="10">
        <f>IFERROR(__xludf.DUMMYFUNCTION("XLOOKUP(C116,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116" s="10">
        <f>IFERROR(__xludf.DUMMYFUNCTION("XLOOKUP($C116,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116" s="10">
        <f>IFERROR(__xludf.DUMMYFUNCTION("XLOOKUP($C116,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16" s="18"/>
      <c r="J116" s="18"/>
      <c r="K116" s="10">
        <f>IFERROR(__xludf.DUMMYFUNCTION("XLOOKUP($C116,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6" s="10">
        <f>IFERROR(__xludf.DUMMYFUNCTION("XLOOKUP($C116,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6" s="8"/>
      <c r="N116" s="8"/>
      <c r="O116" s="8"/>
      <c r="P116" s="8"/>
      <c r="Q116" s="8"/>
      <c r="R116" s="8"/>
      <c r="S116" s="8"/>
      <c r="T116" s="8"/>
      <c r="U116" s="8"/>
    </row>
    <row r="117">
      <c r="A117" s="10" t="s">
        <v>286</v>
      </c>
      <c r="B117" s="10" t="s">
        <v>287</v>
      </c>
      <c r="C117" s="12" t="s">
        <v>424</v>
      </c>
      <c r="D117" s="13" t="s">
        <v>425</v>
      </c>
      <c r="E117" s="16">
        <f t="array" ref="E117">XLOOKUP(C117,'DATA TK PANEN'!D:D,'DATA TK PANEN'!H:H)</f>
        <v>118</v>
      </c>
      <c r="F117" s="10" t="str">
        <f>IFERROR(__xludf.DUMMYFUNCTION("XLOOKUP(C117,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17" s="10" t="str">
        <f>IFERROR(__xludf.DUMMYFUNCTION("XLOOKUP($C117,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17" s="10" t="str">
        <f>IFERROR(__xludf.DUMMYFUNCTION("XLOOKUP($C117,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17" s="18"/>
      <c r="J117" s="18"/>
      <c r="K117" s="10">
        <f>IFERROR(__xludf.DUMMYFUNCTION("XLOOKUP($C117,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7" s="10">
        <f>IFERROR(__xludf.DUMMYFUNCTION("XLOOKUP($C117,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7" s="8"/>
      <c r="N117" s="8"/>
      <c r="O117" s="8"/>
      <c r="P117" s="8"/>
      <c r="Q117" s="8"/>
      <c r="R117" s="8"/>
      <c r="S117" s="8"/>
      <c r="T117" s="8"/>
      <c r="U117" s="8"/>
    </row>
    <row r="118">
      <c r="A118" s="10" t="s">
        <v>286</v>
      </c>
      <c r="B118" s="10" t="s">
        <v>287</v>
      </c>
      <c r="C118" s="12" t="s">
        <v>427</v>
      </c>
      <c r="D118" s="13" t="s">
        <v>428</v>
      </c>
      <c r="E118" s="16">
        <f t="array" ref="E118">XLOOKUP(C118,'DATA TK PANEN'!D:D,'DATA TK PANEN'!H:H)</f>
        <v>247.54</v>
      </c>
      <c r="F118" s="10" t="str">
        <f>IFERROR(__xludf.DUMMYFUNCTION("XLOOKUP(C118,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18" s="10" t="str">
        <f>IFERROR(__xludf.DUMMYFUNCTION("XLOOKUP($C118,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18" s="10" t="str">
        <f>IFERROR(__xludf.DUMMYFUNCTION("XLOOKUP($C118,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18" s="18"/>
      <c r="J118" s="18"/>
      <c r="K118" s="10">
        <f>IFERROR(__xludf.DUMMYFUNCTION("XLOOKUP($C118,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8" s="10">
        <f>IFERROR(__xludf.DUMMYFUNCTION("XLOOKUP($C118,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8" s="8"/>
      <c r="N118" s="8"/>
      <c r="O118" s="8"/>
      <c r="P118" s="8"/>
      <c r="Q118" s="8"/>
      <c r="R118" s="8"/>
      <c r="S118" s="8"/>
      <c r="T118" s="8"/>
      <c r="U118" s="8"/>
    </row>
    <row r="119">
      <c r="A119" s="10" t="s">
        <v>286</v>
      </c>
      <c r="B119" s="10" t="s">
        <v>287</v>
      </c>
      <c r="C119" s="12" t="s">
        <v>430</v>
      </c>
      <c r="D119" s="13" t="s">
        <v>431</v>
      </c>
      <c r="E119" s="16">
        <f t="array" ref="E119">XLOOKUP(C119,'DATA TK PANEN'!D:D,'DATA TK PANEN'!H:H)</f>
        <v>27.01</v>
      </c>
      <c r="F119" s="10" t="str">
        <f>IFERROR(__xludf.DUMMYFUNCTION("XLOOKUP(C119,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19" s="10" t="str">
        <f>IFERROR(__xludf.DUMMYFUNCTION("XLOOKUP($C119,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19" s="10" t="str">
        <f>IFERROR(__xludf.DUMMYFUNCTION("XLOOKUP($C119,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19" s="18"/>
      <c r="J119" s="18"/>
      <c r="K119" s="10">
        <f>IFERROR(__xludf.DUMMYFUNCTION("XLOOKUP($C119,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19" s="10">
        <f>IFERROR(__xludf.DUMMYFUNCTION("XLOOKUP($C119,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19" s="8"/>
      <c r="N119" s="8"/>
      <c r="O119" s="8"/>
      <c r="P119" s="8"/>
      <c r="Q119" s="8"/>
      <c r="R119" s="8"/>
      <c r="S119" s="8"/>
      <c r="T119" s="8"/>
      <c r="U119" s="8"/>
    </row>
    <row r="120">
      <c r="A120" s="10" t="s">
        <v>286</v>
      </c>
      <c r="B120" s="10" t="s">
        <v>287</v>
      </c>
      <c r="C120" s="12" t="s">
        <v>433</v>
      </c>
      <c r="D120" s="13" t="s">
        <v>434</v>
      </c>
      <c r="E120" s="16">
        <f t="array" ref="E120">XLOOKUP(C120,'DATA TK PANEN'!D:D,'DATA TK PANEN'!H:H)</f>
        <v>38.51</v>
      </c>
      <c r="F120" s="10" t="str">
        <f>IFERROR(__xludf.DUMMYFUNCTION("XLOOKUP(C120,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20" s="10" t="str">
        <f>IFERROR(__xludf.DUMMYFUNCTION("XLOOKUP($C120,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20" s="10" t="str">
        <f>IFERROR(__xludf.DUMMYFUNCTION("XLOOKUP($C120,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20" s="18"/>
      <c r="J120" s="18"/>
      <c r="K120" s="10">
        <f>IFERROR(__xludf.DUMMYFUNCTION("XLOOKUP($C120,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0" s="10">
        <f>IFERROR(__xludf.DUMMYFUNCTION("XLOOKUP($C120,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0" s="8"/>
      <c r="N120" s="8"/>
      <c r="O120" s="8"/>
      <c r="P120" s="8"/>
      <c r="Q120" s="8"/>
      <c r="R120" s="8"/>
      <c r="S120" s="8"/>
      <c r="T120" s="8"/>
      <c r="U120" s="8"/>
    </row>
    <row r="121">
      <c r="A121" s="10" t="s">
        <v>286</v>
      </c>
      <c r="B121" s="10" t="s">
        <v>287</v>
      </c>
      <c r="C121" s="12" t="s">
        <v>436</v>
      </c>
      <c r="D121" s="13" t="s">
        <v>437</v>
      </c>
      <c r="E121" s="16">
        <f t="array" ref="E121">XLOOKUP(C121,'DATA TK PANEN'!D:D,'DATA TK PANEN'!H:H)</f>
        <v>0</v>
      </c>
      <c r="F121" s="10" t="str">
        <f>IFERROR(__xludf.DUMMYFUNCTION("XLOOKUP(C121,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21" s="10" t="str">
        <f>IFERROR(__xludf.DUMMYFUNCTION("XLOOKUP($C121,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21" s="10" t="str">
        <f>IFERROR(__xludf.DUMMYFUNCTION("XLOOKUP($C121,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21" s="18"/>
      <c r="J121" s="18"/>
      <c r="K121" s="10">
        <f>IFERROR(__xludf.DUMMYFUNCTION("XLOOKUP($C121,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1" s="10">
        <f>IFERROR(__xludf.DUMMYFUNCTION("XLOOKUP($C121,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1" s="8"/>
      <c r="N121" s="8"/>
      <c r="O121" s="8"/>
      <c r="P121" s="8"/>
      <c r="Q121" s="8"/>
      <c r="R121" s="8"/>
      <c r="S121" s="8"/>
      <c r="T121" s="8"/>
      <c r="U121" s="8"/>
    </row>
    <row r="122">
      <c r="A122" s="10" t="s">
        <v>286</v>
      </c>
      <c r="B122" s="10" t="s">
        <v>287</v>
      </c>
      <c r="C122" s="12" t="s">
        <v>439</v>
      </c>
      <c r="D122" s="13" t="s">
        <v>440</v>
      </c>
      <c r="E122" s="16">
        <f t="array" ref="E122">XLOOKUP(C122,'DATA TK PANEN'!D:D,'DATA TK PANEN'!H:H)</f>
        <v>2249.62</v>
      </c>
      <c r="F122" s="10">
        <f>IFERROR(__xludf.DUMMYFUNCTION("XLOOKUP(C122,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(AUTO)'!S6:S""))"),108.0)</f>
        <v>108</v>
      </c>
      <c r="G122" s="10">
        <f>IFERROR(__xludf.DUMMYFUNCTION("XLOOKUP($C122,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(AUTO)'!T6:T""))"),56.0)</f>
        <v>56</v>
      </c>
      <c r="H122" s="10">
        <f>IFERROR(__xludf.DUMMYFUNCTION("XLOOKUP($C122,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(AUTO)'!V6:V""))"),70.0)</f>
        <v>70</v>
      </c>
      <c r="I122" s="18"/>
      <c r="J122" s="18"/>
      <c r="K122" s="10">
        <f>IFERROR(__xludf.DUMMYFUNCTION("XLOOKUP($C122,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(AUTO)'!W6:W""))"),19.0)</f>
        <v>19</v>
      </c>
      <c r="L122" s="10">
        <f>IFERROR(__xludf.DUMMYFUNCTION("XLOOKUP($C122,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(AUTO)'!X6:X""))"),19.0)</f>
        <v>19</v>
      </c>
      <c r="M122" s="8"/>
      <c r="N122" s="8"/>
      <c r="O122" s="8"/>
      <c r="P122" s="8"/>
      <c r="Q122" s="8"/>
      <c r="R122" s="8"/>
      <c r="S122" s="8"/>
      <c r="T122" s="8"/>
      <c r="U122" s="8"/>
    </row>
    <row r="123">
      <c r="A123" s="10" t="s">
        <v>286</v>
      </c>
      <c r="B123" s="10" t="s">
        <v>287</v>
      </c>
      <c r="C123" s="12" t="s">
        <v>441</v>
      </c>
      <c r="D123" s="13" t="s">
        <v>442</v>
      </c>
      <c r="E123" s="16">
        <f t="array" ref="E123">XLOOKUP(C123,'DATA TK PANEN'!D:D,'DATA TK PANEN'!H:H)</f>
        <v>768.8</v>
      </c>
      <c r="F123" s="10">
        <f>IFERROR(__xludf.DUMMYFUNCTION("XLOOKUP(C123,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(AUTO)'!S6:S""))"),41.0)</f>
        <v>41</v>
      </c>
      <c r="G123" s="10">
        <f>IFERROR(__xludf.DUMMYFUNCTION("XLOOKUP($C123,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(AUTO)'!T6:T""))"),25.0)</f>
        <v>25</v>
      </c>
      <c r="H123" s="10">
        <f>IFERROR(__xludf.DUMMYFUNCTION("XLOOKUP($C123,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(AUTO)'!V6:V""))"),25.0)</f>
        <v>25</v>
      </c>
      <c r="I123" s="18"/>
      <c r="J123" s="18"/>
      <c r="K123" s="10">
        <f>IFERROR(__xludf.DUMMYFUNCTION("XLOOKUP($C123,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(AUTO)'!W6:W""))"),8.0)</f>
        <v>8</v>
      </c>
      <c r="L123" s="10">
        <f>IFERROR(__xludf.DUMMYFUNCTION("XLOOKUP($C123,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123" s="8"/>
      <c r="N123" s="8"/>
      <c r="O123" s="8"/>
      <c r="P123" s="8"/>
      <c r="Q123" s="8"/>
      <c r="R123" s="8"/>
      <c r="S123" s="8"/>
      <c r="T123" s="8"/>
      <c r="U123" s="8"/>
    </row>
    <row r="124">
      <c r="A124" s="10" t="s">
        <v>286</v>
      </c>
      <c r="B124" s="10" t="s">
        <v>287</v>
      </c>
      <c r="C124" s="12" t="s">
        <v>444</v>
      </c>
      <c r="D124" s="13" t="s">
        <v>445</v>
      </c>
      <c r="E124" s="16">
        <f t="array" ref="E124">XLOOKUP(C124,'DATA TK PANEN'!D:D,'DATA TK PANEN'!H:H)</f>
        <v>123.56</v>
      </c>
      <c r="F124" s="10">
        <f>IFERROR(__xludf.DUMMYFUNCTION("XLOOKUP(C124,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124" s="10">
        <f>IFERROR(__xludf.DUMMYFUNCTION("XLOOKUP($C124,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124" s="10">
        <f>IFERROR(__xludf.DUMMYFUNCTION("XLOOKUP($C124,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24" s="18"/>
      <c r="J124" s="18"/>
      <c r="K124" s="10">
        <f>IFERROR(__xludf.DUMMYFUNCTION("XLOOKUP($C124,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4" s="10">
        <f>IFERROR(__xludf.DUMMYFUNCTION("XLOOKUP($C124,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4" s="8"/>
      <c r="N124" s="8"/>
      <c r="O124" s="8"/>
      <c r="P124" s="8"/>
      <c r="Q124" s="8"/>
      <c r="R124" s="8"/>
      <c r="S124" s="8"/>
      <c r="T124" s="8"/>
      <c r="U124" s="8"/>
    </row>
    <row r="125">
      <c r="A125" s="10" t="s">
        <v>286</v>
      </c>
      <c r="B125" s="10" t="s">
        <v>287</v>
      </c>
      <c r="C125" s="12" t="s">
        <v>446</v>
      </c>
      <c r="D125" s="13" t="s">
        <v>448</v>
      </c>
      <c r="E125" s="16">
        <f t="array" ref="E125">XLOOKUP(C125,'DATA TK PANEN'!D:D,'DATA TK PANEN'!H:H)</f>
        <v>831.43</v>
      </c>
      <c r="F125" s="10">
        <f>IFERROR(__xludf.DUMMYFUNCTION("XLOOKUP(C125,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(AUTO)'!S6:S""))"),47.0)</f>
        <v>47</v>
      </c>
      <c r="G125" s="10">
        <f>IFERROR(__xludf.DUMMYFUNCTION("XLOOKUP($C125,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(AUTO)'!T6:T""))"),40.0)</f>
        <v>40</v>
      </c>
      <c r="H125" s="10">
        <f>IFERROR(__xludf.DUMMYFUNCTION("XLOOKUP($C125,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(AUTO)'!V6:V""))"),40.0)</f>
        <v>40</v>
      </c>
      <c r="I125" s="18"/>
      <c r="J125" s="18"/>
      <c r="K125" s="10">
        <f>IFERROR(__xludf.DUMMYFUNCTION("XLOOKUP($C125,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125" s="10">
        <f>IFERROR(__xludf.DUMMYFUNCTION("XLOOKUP($C125,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125" s="8"/>
      <c r="N125" s="8"/>
      <c r="O125" s="8"/>
      <c r="P125" s="8"/>
      <c r="Q125" s="8"/>
      <c r="R125" s="8"/>
      <c r="S125" s="8"/>
      <c r="T125" s="8"/>
      <c r="U125" s="8"/>
    </row>
    <row r="126">
      <c r="A126" s="10" t="s">
        <v>286</v>
      </c>
      <c r="B126" s="10" t="s">
        <v>287</v>
      </c>
      <c r="C126" s="12" t="s">
        <v>450</v>
      </c>
      <c r="D126" s="13" t="s">
        <v>451</v>
      </c>
      <c r="E126" s="16">
        <f t="array" ref="E126">XLOOKUP(C126,'DATA TK PANEN'!D:D,'DATA TK PANEN'!H:H)</f>
        <v>0</v>
      </c>
      <c r="F126" s="10" t="str">
        <f>IFERROR(__xludf.DUMMYFUNCTION("XLOOKUP(C126,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26" s="10" t="str">
        <f>IFERROR(__xludf.DUMMYFUNCTION("XLOOKUP($C126,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26" s="10" t="str">
        <f>IFERROR(__xludf.DUMMYFUNCTION("XLOOKUP($C126,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26" s="18"/>
      <c r="J126" s="18"/>
      <c r="K126" s="10">
        <f>IFERROR(__xludf.DUMMYFUNCTION("XLOOKUP($C126,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6" s="10">
        <f>IFERROR(__xludf.DUMMYFUNCTION("XLOOKUP($C126,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6" s="8"/>
      <c r="N126" s="8"/>
      <c r="O126" s="8"/>
      <c r="P126" s="8"/>
      <c r="Q126" s="8"/>
      <c r="R126" s="8"/>
      <c r="S126" s="8"/>
      <c r="T126" s="8"/>
      <c r="U126" s="8"/>
    </row>
    <row r="127">
      <c r="A127" s="10" t="s">
        <v>286</v>
      </c>
      <c r="B127" s="10" t="s">
        <v>287</v>
      </c>
      <c r="C127" s="12" t="s">
        <v>452</v>
      </c>
      <c r="D127" s="13" t="s">
        <v>454</v>
      </c>
      <c r="E127" s="16">
        <f t="array" ref="E127">XLOOKUP(C127,'DATA TK PANEN'!D:D,'DATA TK PANEN'!H:H)</f>
        <v>134.06</v>
      </c>
      <c r="F127" s="10">
        <f>IFERROR(__xludf.DUMMYFUNCTION("XLOOKUP(C127,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127" s="10">
        <f>IFERROR(__xludf.DUMMYFUNCTION("XLOOKUP($C127,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(AUTO)'!T6:T""))"),11.0)</f>
        <v>11</v>
      </c>
      <c r="H127" s="10">
        <f>IFERROR(__xludf.DUMMYFUNCTION("XLOOKUP($C127,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127" s="18"/>
      <c r="J127" s="18"/>
      <c r="K127" s="10">
        <f>IFERROR(__xludf.DUMMYFUNCTION("XLOOKUP($C127,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7" s="10">
        <f>IFERROR(__xludf.DUMMYFUNCTION("XLOOKUP($C127,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7" s="8"/>
      <c r="N127" s="8"/>
      <c r="O127" s="8"/>
      <c r="P127" s="8"/>
      <c r="Q127" s="8"/>
      <c r="R127" s="8"/>
      <c r="S127" s="8"/>
      <c r="T127" s="8"/>
      <c r="U127" s="8"/>
    </row>
    <row r="128">
      <c r="A128" s="10" t="s">
        <v>286</v>
      </c>
      <c r="B128" s="10" t="s">
        <v>287</v>
      </c>
      <c r="C128" s="12" t="s">
        <v>455</v>
      </c>
      <c r="D128" s="13" t="s">
        <v>457</v>
      </c>
      <c r="E128" s="16">
        <f t="array" ref="E128">XLOOKUP(C128,'DATA TK PANEN'!D:D,'DATA TK PANEN'!H:H)</f>
        <v>1242.3</v>
      </c>
      <c r="F128" s="10">
        <f>IFERROR(__xludf.DUMMYFUNCTION("XLOOKUP(C128,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(AUTO)'!S6:S""))"),41.0)</f>
        <v>41</v>
      </c>
      <c r="G128" s="10">
        <f>IFERROR(__xludf.DUMMYFUNCTION("XLOOKUP($C128,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(AUTO)'!T6:T""))"),25.0)</f>
        <v>25</v>
      </c>
      <c r="H128" s="10">
        <f>IFERROR(__xludf.DUMMYFUNCTION("XLOOKUP($C128,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(AUTO)'!V6:V""))"),39.0)</f>
        <v>39</v>
      </c>
      <c r="I128" s="18"/>
      <c r="J128" s="18"/>
      <c r="K128" s="10">
        <f>IFERROR(__xludf.DUMMYFUNCTION("XLOOKUP($C128,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128" s="10">
        <f>IFERROR(__xludf.DUMMYFUNCTION("XLOOKUP($C128,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128" s="8"/>
      <c r="N128" s="8"/>
      <c r="O128" s="8"/>
      <c r="P128" s="8"/>
      <c r="Q128" s="8"/>
      <c r="R128" s="8"/>
      <c r="S128" s="8"/>
      <c r="T128" s="8"/>
      <c r="U128" s="8"/>
    </row>
    <row r="129">
      <c r="A129" s="10" t="s">
        <v>286</v>
      </c>
      <c r="B129" s="10" t="s">
        <v>287</v>
      </c>
      <c r="C129" s="12" t="s">
        <v>458</v>
      </c>
      <c r="D129" s="13" t="s">
        <v>459</v>
      </c>
      <c r="E129" s="16">
        <f t="array" ref="E129">XLOOKUP(C129,'DATA TK PANEN'!D:D,'DATA TK PANEN'!H:H)</f>
        <v>7.21</v>
      </c>
      <c r="F129" s="10" t="str">
        <f>IFERROR(__xludf.DUMMYFUNCTION("XLOOKUP(C129,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29" s="10" t="str">
        <f>IFERROR(__xludf.DUMMYFUNCTION("XLOOKUP($C129,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29" s="10" t="str">
        <f>IFERROR(__xludf.DUMMYFUNCTION("XLOOKUP($C129,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29" s="18"/>
      <c r="J129" s="18"/>
      <c r="K129" s="10">
        <f>IFERROR(__xludf.DUMMYFUNCTION("XLOOKUP($C129,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29" s="10">
        <f>IFERROR(__xludf.DUMMYFUNCTION("XLOOKUP($C129,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29" s="8"/>
      <c r="N129" s="8"/>
      <c r="O129" s="8"/>
      <c r="P129" s="8"/>
      <c r="Q129" s="8"/>
      <c r="R129" s="8"/>
      <c r="S129" s="8"/>
      <c r="T129" s="8"/>
      <c r="U129" s="8"/>
    </row>
    <row r="130">
      <c r="A130" s="10" t="s">
        <v>286</v>
      </c>
      <c r="B130" s="10" t="s">
        <v>287</v>
      </c>
      <c r="C130" s="12" t="s">
        <v>461</v>
      </c>
      <c r="D130" s="13" t="s">
        <v>462</v>
      </c>
      <c r="E130" s="16">
        <f t="array" ref="E130">XLOOKUP(C130,'DATA TK PANEN'!D:D,'DATA TK PANEN'!H:H)</f>
        <v>15.1</v>
      </c>
      <c r="F130" s="10">
        <f>IFERROR(__xludf.DUMMYFUNCTION("XLOOKUP(C130,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130" s="10">
        <f>IFERROR(__xludf.DUMMYFUNCTION("XLOOKUP($C130,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30" s="10" t="str">
        <f>IFERROR(__xludf.DUMMYFUNCTION("XLOOKUP($C130,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0" s="18"/>
      <c r="J130" s="18"/>
      <c r="K130" s="10">
        <f>IFERROR(__xludf.DUMMYFUNCTION("XLOOKUP($C130,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130" s="10">
        <f>IFERROR(__xludf.DUMMYFUNCTION("XLOOKUP($C130,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0" s="8"/>
      <c r="N130" s="8"/>
      <c r="O130" s="8"/>
      <c r="P130" s="8"/>
      <c r="Q130" s="8"/>
      <c r="R130" s="8"/>
      <c r="S130" s="8"/>
      <c r="T130" s="8"/>
      <c r="U130" s="8"/>
    </row>
    <row r="131">
      <c r="A131" s="10" t="s">
        <v>286</v>
      </c>
      <c r="B131" s="10" t="s">
        <v>287</v>
      </c>
      <c r="C131" s="12" t="s">
        <v>464</v>
      </c>
      <c r="D131" s="13" t="s">
        <v>465</v>
      </c>
      <c r="E131" s="16">
        <f t="array" ref="E131">XLOOKUP(C131,'DATA TK PANEN'!D:D,'DATA TK PANEN'!H:H)</f>
        <v>13.68</v>
      </c>
      <c r="F131" s="10" t="str">
        <f>IFERROR(__xludf.DUMMYFUNCTION("XLOOKUP(C131,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31" s="10" t="str">
        <f>IFERROR(__xludf.DUMMYFUNCTION("XLOOKUP($C131,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31" s="10" t="str">
        <f>IFERROR(__xludf.DUMMYFUNCTION("XLOOKUP($C131,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1" s="18"/>
      <c r="J131" s="18"/>
      <c r="K131" s="10">
        <f>IFERROR(__xludf.DUMMYFUNCTION("XLOOKUP($C131,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31" s="10">
        <f>IFERROR(__xludf.DUMMYFUNCTION("XLOOKUP($C131,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10" t="s">
        <v>286</v>
      </c>
      <c r="B132" s="10" t="s">
        <v>287</v>
      </c>
      <c r="C132" s="12" t="s">
        <v>467</v>
      </c>
      <c r="D132" s="13" t="s">
        <v>468</v>
      </c>
      <c r="E132" s="16">
        <f t="array" ref="E132">XLOOKUP(C132,'DATA TK PANEN'!D:D,'DATA TK PANEN'!H:H)</f>
        <v>5.89</v>
      </c>
      <c r="F132" s="10">
        <f>IFERROR(__xludf.DUMMYFUNCTION("XLOOKUP(C132,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32" s="10" t="str">
        <f>IFERROR(__xludf.DUMMYFUNCTION("XLOOKUP($C132,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32" s="10" t="str">
        <f>IFERROR(__xludf.DUMMYFUNCTION("XLOOKUP($C132,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2" s="18"/>
      <c r="J132" s="18"/>
      <c r="K132" s="10">
        <f>IFERROR(__xludf.DUMMYFUNCTION("XLOOKUP($C132,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132" s="10">
        <f>IFERROR(__xludf.DUMMYFUNCTION("XLOOKUP($C132,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10" t="s">
        <v>286</v>
      </c>
      <c r="B133" s="10" t="s">
        <v>287</v>
      </c>
      <c r="C133" s="12" t="s">
        <v>470</v>
      </c>
      <c r="D133" s="13" t="s">
        <v>471</v>
      </c>
      <c r="E133" s="16">
        <f t="array" ref="E133">XLOOKUP(C133,'DATA TK PANEN'!D:D,'DATA TK PANEN'!H:H)</f>
        <v>270.3</v>
      </c>
      <c r="F133" s="10">
        <f>IFERROR(__xludf.DUMMYFUNCTION("XLOOKUP(C133,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(AUTO)'!S6:S""))"),29.0)</f>
        <v>29</v>
      </c>
      <c r="G133" s="10">
        <f>IFERROR(__xludf.DUMMYFUNCTION("XLOOKUP($C133,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(AUTO)'!T6:T""))"),24.0)</f>
        <v>24</v>
      </c>
      <c r="H133" s="10">
        <f>IFERROR(__xludf.DUMMYFUNCTION("XLOOKUP($C133,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(AUTO)'!V6:V""))"),33.0)</f>
        <v>33</v>
      </c>
      <c r="I133" s="18"/>
      <c r="J133" s="18"/>
      <c r="K133" s="10">
        <f>IFERROR(__xludf.DUMMYFUNCTION("XLOOKUP($C133,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33" s="10">
        <f>IFERROR(__xludf.DUMMYFUNCTION("XLOOKUP($C133,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3" s="8"/>
      <c r="N133" s="8"/>
      <c r="O133" s="8"/>
      <c r="P133" s="8"/>
      <c r="Q133" s="8"/>
      <c r="R133" s="8"/>
      <c r="S133" s="8"/>
      <c r="T133" s="8"/>
      <c r="U133" s="8"/>
    </row>
    <row r="134">
      <c r="A134" s="10" t="s">
        <v>286</v>
      </c>
      <c r="B134" s="10" t="s">
        <v>287</v>
      </c>
      <c r="C134" s="12" t="s">
        <v>473</v>
      </c>
      <c r="D134" s="13" t="s">
        <v>474</v>
      </c>
      <c r="E134" s="16">
        <f t="array" ref="E134">XLOOKUP(C134,'DATA TK PANEN'!D:D,'DATA TK PANEN'!H:H)</f>
        <v>3</v>
      </c>
      <c r="F134" s="10" t="str">
        <f>IFERROR(__xludf.DUMMYFUNCTION("XLOOKUP(C134,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34" s="10" t="str">
        <f>IFERROR(__xludf.DUMMYFUNCTION("XLOOKUP($C134,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34" s="10" t="str">
        <f>IFERROR(__xludf.DUMMYFUNCTION("XLOOKUP($C134,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4" s="18"/>
      <c r="J134" s="18"/>
      <c r="K134" s="10">
        <f>IFERROR(__xludf.DUMMYFUNCTION("XLOOKUP($C134,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34" s="10">
        <f>IFERROR(__xludf.DUMMYFUNCTION("XLOOKUP($C134,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4" s="8"/>
      <c r="N134" s="8"/>
      <c r="O134" s="8"/>
      <c r="P134" s="8"/>
      <c r="Q134" s="8"/>
      <c r="R134" s="8"/>
      <c r="S134" s="8"/>
      <c r="T134" s="8"/>
      <c r="U134" s="8"/>
    </row>
    <row r="135">
      <c r="A135" s="10" t="s">
        <v>286</v>
      </c>
      <c r="B135" s="10" t="s">
        <v>287</v>
      </c>
      <c r="C135" s="12" t="s">
        <v>477</v>
      </c>
      <c r="D135" s="13" t="s">
        <v>478</v>
      </c>
      <c r="E135" s="16">
        <f t="array" ref="E135">XLOOKUP(C135,'DATA TK PANEN'!D:D,'DATA TK PANEN'!H:H)</f>
        <v>6.59</v>
      </c>
      <c r="F135" s="10">
        <f>IFERROR(__xludf.DUMMYFUNCTION("XLOOKUP(C135,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35" s="10">
        <f>IFERROR(__xludf.DUMMYFUNCTION("XLOOKUP($C135,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35" s="10" t="str">
        <f>IFERROR(__xludf.DUMMYFUNCTION("XLOOKUP($C135,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5" s="18"/>
      <c r="J135" s="18"/>
      <c r="K135" s="10">
        <f>IFERROR(__xludf.DUMMYFUNCTION("XLOOKUP($C135,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135" s="10">
        <f>IFERROR(__xludf.DUMMYFUNCTION("XLOOKUP($C135,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5" s="8"/>
      <c r="N135" s="8"/>
      <c r="O135" s="8"/>
      <c r="P135" s="8"/>
      <c r="Q135" s="8"/>
      <c r="R135" s="8"/>
      <c r="S135" s="8"/>
      <c r="T135" s="8"/>
      <c r="U135" s="8"/>
    </row>
    <row r="136">
      <c r="A136" s="10" t="s">
        <v>286</v>
      </c>
      <c r="B136" s="10" t="s">
        <v>287</v>
      </c>
      <c r="C136" s="12" t="s">
        <v>480</v>
      </c>
      <c r="D136" s="13" t="s">
        <v>482</v>
      </c>
      <c r="E136" s="16">
        <f t="array" ref="E136">XLOOKUP(C136,'DATA TK PANEN'!D:D,'DATA TK PANEN'!H:H)</f>
        <v>417.87</v>
      </c>
      <c r="F136" s="10">
        <f>IFERROR(__xludf.DUMMYFUNCTION("XLOOKUP(C136,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136" s="10">
        <f>IFERROR(__xludf.DUMMYFUNCTION("XLOOKUP($C136,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136" s="10">
        <f>IFERROR(__xludf.DUMMYFUNCTION("XLOOKUP($C136,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136" s="18"/>
      <c r="J136" s="18"/>
      <c r="K136" s="10">
        <f>IFERROR(__xludf.DUMMYFUNCTION("XLOOKUP($C136,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136" s="10">
        <f>IFERROR(__xludf.DUMMYFUNCTION("XLOOKUP($C136,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36" s="8"/>
      <c r="N136" s="8"/>
      <c r="O136" s="8"/>
      <c r="P136" s="8"/>
      <c r="Q136" s="8"/>
      <c r="R136" s="8"/>
      <c r="S136" s="8"/>
      <c r="T136" s="8"/>
      <c r="U136" s="8"/>
    </row>
    <row r="137">
      <c r="A137" s="10" t="s">
        <v>286</v>
      </c>
      <c r="B137" s="10" t="s">
        <v>287</v>
      </c>
      <c r="C137" s="12" t="s">
        <v>483</v>
      </c>
      <c r="D137" s="13" t="s">
        <v>484</v>
      </c>
      <c r="E137" s="16">
        <f t="array" ref="E137">XLOOKUP(C137,'DATA TK PANEN'!D:D,'DATA TK PANEN'!H:H)</f>
        <v>348.88</v>
      </c>
      <c r="F137" s="10">
        <f>IFERROR(__xludf.DUMMYFUNCTION("XLOOKUP(C137,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(AUTO)'!S6:S""))"),18.0)</f>
        <v>18</v>
      </c>
      <c r="G137" s="10">
        <f>IFERROR(__xludf.DUMMYFUNCTION("XLOOKUP($C137,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(AUTO)'!T6:T""))"),13.0)</f>
        <v>13</v>
      </c>
      <c r="H137" s="10">
        <f>IFERROR(__xludf.DUMMYFUNCTION("XLOOKUP($C137,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(AUTO)'!V6:V""))"),13.0)</f>
        <v>13</v>
      </c>
      <c r="I137" s="18"/>
      <c r="J137" s="18"/>
      <c r="K137" s="10">
        <f>IFERROR(__xludf.DUMMYFUNCTION("XLOOKUP($C137,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137" s="10">
        <f>IFERROR(__xludf.DUMMYFUNCTION("XLOOKUP($C137,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37" s="8"/>
      <c r="N137" s="8"/>
      <c r="O137" s="8"/>
      <c r="P137" s="8"/>
      <c r="Q137" s="8"/>
      <c r="R137" s="8"/>
      <c r="S137" s="8"/>
      <c r="T137" s="8"/>
      <c r="U137" s="8"/>
    </row>
    <row r="138">
      <c r="A138" s="10" t="s">
        <v>286</v>
      </c>
      <c r="B138" s="10" t="s">
        <v>287</v>
      </c>
      <c r="C138" s="12" t="s">
        <v>487</v>
      </c>
      <c r="D138" s="13" t="s">
        <v>488</v>
      </c>
      <c r="E138" s="16">
        <f t="array" ref="E138">XLOOKUP(C138,'DATA TK PANEN'!D:D,'DATA TK PANEN'!H:H)</f>
        <v>7</v>
      </c>
      <c r="F138" s="10" t="str">
        <f>IFERROR(__xludf.DUMMYFUNCTION("XLOOKUP(C138,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38" s="10" t="str">
        <f>IFERROR(__xludf.DUMMYFUNCTION("XLOOKUP($C138,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38" s="10" t="str">
        <f>IFERROR(__xludf.DUMMYFUNCTION("XLOOKUP($C138,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38" s="18"/>
      <c r="J138" s="18"/>
      <c r="K138" s="10">
        <f>IFERROR(__xludf.DUMMYFUNCTION("XLOOKUP($C138,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38" s="10">
        <f>IFERROR(__xludf.DUMMYFUNCTION("XLOOKUP($C138,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8" s="8"/>
      <c r="N138" s="8"/>
      <c r="O138" s="8"/>
      <c r="P138" s="8"/>
      <c r="Q138" s="8"/>
      <c r="R138" s="8"/>
      <c r="S138" s="8"/>
      <c r="T138" s="8"/>
      <c r="U138" s="8"/>
    </row>
    <row r="139">
      <c r="A139" s="10" t="s">
        <v>286</v>
      </c>
      <c r="B139" s="10" t="s">
        <v>287</v>
      </c>
      <c r="C139" s="12" t="s">
        <v>490</v>
      </c>
      <c r="D139" s="13" t="s">
        <v>492</v>
      </c>
      <c r="E139" s="16">
        <f t="array" ref="E139">XLOOKUP(C139,'DATA TK PANEN'!D:D,'DATA TK PANEN'!H:H)</f>
        <v>362.94</v>
      </c>
      <c r="F139" s="10">
        <f>IFERROR(__xludf.DUMMYFUNCTION("XLOOKUP(C139,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139" s="10">
        <f>IFERROR(__xludf.DUMMYFUNCTION("XLOOKUP($C139,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(AUTO)'!T6:T""))"),23.0)</f>
        <v>23</v>
      </c>
      <c r="H139" s="10">
        <f>IFERROR(__xludf.DUMMYFUNCTION("XLOOKUP($C139,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139" s="18"/>
      <c r="J139" s="18"/>
      <c r="K139" s="10">
        <f>IFERROR(__xludf.DUMMYFUNCTION("XLOOKUP($C139,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39" s="10">
        <f>IFERROR(__xludf.DUMMYFUNCTION("XLOOKUP($C139,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10" t="s">
        <v>286</v>
      </c>
      <c r="B140" s="10" t="s">
        <v>287</v>
      </c>
      <c r="C140" s="12" t="s">
        <v>493</v>
      </c>
      <c r="D140" s="13" t="s">
        <v>494</v>
      </c>
      <c r="E140" s="16">
        <f t="array" ref="E140">XLOOKUP(C140,'DATA TK PANEN'!D:D,'DATA TK PANEN'!H:H)</f>
        <v>99.45</v>
      </c>
      <c r="F140" s="10" t="str">
        <f>IFERROR(__xludf.DUMMYFUNCTION("XLOOKUP(C140,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40" s="10" t="str">
        <f>IFERROR(__xludf.DUMMYFUNCTION("XLOOKUP($C140,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40" s="10" t="str">
        <f>IFERROR(__xludf.DUMMYFUNCTION("XLOOKUP($C140,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40" s="18"/>
      <c r="J140" s="18"/>
      <c r="K140" s="10">
        <f>IFERROR(__xludf.DUMMYFUNCTION("XLOOKUP($C140,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0" s="10">
        <f>IFERROR(__xludf.DUMMYFUNCTION("XLOOKUP($C140,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0" s="8"/>
      <c r="N140" s="8"/>
      <c r="O140" s="8"/>
      <c r="P140" s="8"/>
      <c r="Q140" s="8"/>
      <c r="R140" s="8"/>
      <c r="S140" s="8"/>
      <c r="T140" s="8"/>
      <c r="U140" s="8"/>
    </row>
    <row r="141">
      <c r="A141" s="10" t="s">
        <v>286</v>
      </c>
      <c r="B141" s="10" t="s">
        <v>287</v>
      </c>
      <c r="C141" s="12" t="s">
        <v>496</v>
      </c>
      <c r="D141" s="13" t="s">
        <v>497</v>
      </c>
      <c r="E141" s="16">
        <f t="array" ref="E141">XLOOKUP(C141,'DATA TK PANEN'!D:D,'DATA TK PANEN'!H:H)</f>
        <v>282.82</v>
      </c>
      <c r="F141" s="10">
        <f>IFERROR(__xludf.DUMMYFUNCTION("XLOOKUP(C141,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141" s="10">
        <f>IFERROR(__xludf.DUMMYFUNCTION("XLOOKUP($C141,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41" s="10">
        <f>IFERROR(__xludf.DUMMYFUNCTION("XLOOKUP($C141,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141" s="18"/>
      <c r="J141" s="18"/>
      <c r="K141" s="10">
        <f>IFERROR(__xludf.DUMMYFUNCTION("XLOOKUP($C141,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1" s="10">
        <f>IFERROR(__xludf.DUMMYFUNCTION("XLOOKUP($C141,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10" t="s">
        <v>286</v>
      </c>
      <c r="B142" s="10" t="s">
        <v>287</v>
      </c>
      <c r="C142" s="12" t="s">
        <v>500</v>
      </c>
      <c r="D142" s="13" t="s">
        <v>501</v>
      </c>
      <c r="E142" s="16">
        <f t="array" ref="E142">XLOOKUP(C142,'DATA TK PANEN'!D:D,'DATA TK PANEN'!H:H)</f>
        <v>91.72</v>
      </c>
      <c r="F142" s="10">
        <f>IFERROR(__xludf.DUMMYFUNCTION("XLOOKUP(C142,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142" s="10">
        <f>IFERROR(__xludf.DUMMYFUNCTION("XLOOKUP($C142,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142" s="10">
        <f>IFERROR(__xludf.DUMMYFUNCTION("XLOOKUP($C142,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42" s="18"/>
      <c r="J142" s="18"/>
      <c r="K142" s="10">
        <f>IFERROR(__xludf.DUMMYFUNCTION("XLOOKUP($C142,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2" s="10">
        <f>IFERROR(__xludf.DUMMYFUNCTION("XLOOKUP($C142,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2" s="8"/>
      <c r="N142" s="8"/>
      <c r="O142" s="8"/>
      <c r="P142" s="8"/>
      <c r="Q142" s="8"/>
      <c r="R142" s="8"/>
      <c r="S142" s="8"/>
      <c r="T142" s="8"/>
      <c r="U142" s="8"/>
    </row>
    <row r="143">
      <c r="A143" s="10" t="s">
        <v>286</v>
      </c>
      <c r="B143" s="10" t="s">
        <v>287</v>
      </c>
      <c r="C143" s="12" t="s">
        <v>503</v>
      </c>
      <c r="D143" s="13" t="s">
        <v>504</v>
      </c>
      <c r="E143" s="16">
        <f t="array" ref="E143">XLOOKUP(C143,'DATA TK PANEN'!D:D,'DATA TK PANEN'!H:H)</f>
        <v>54.37</v>
      </c>
      <c r="F143" s="10">
        <f>IFERROR(__xludf.DUMMYFUNCTION("XLOOKUP(C143,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43" s="10">
        <f>IFERROR(__xludf.DUMMYFUNCTION("XLOOKUP($C143,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43" s="10">
        <f>IFERROR(__xludf.DUMMYFUNCTION("XLOOKUP($C143,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143" s="18"/>
      <c r="J143" s="18"/>
      <c r="K143" s="10">
        <f>IFERROR(__xludf.DUMMYFUNCTION("XLOOKUP($C143,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3" s="10">
        <f>IFERROR(__xludf.DUMMYFUNCTION("XLOOKUP($C143,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143" s="8"/>
      <c r="N143" s="8"/>
      <c r="O143" s="8"/>
      <c r="P143" s="8"/>
      <c r="Q143" s="8"/>
      <c r="R143" s="8"/>
      <c r="S143" s="8"/>
      <c r="T143" s="8"/>
      <c r="U143" s="8"/>
    </row>
    <row r="144">
      <c r="A144" s="10" t="s">
        <v>286</v>
      </c>
      <c r="B144" s="10" t="s">
        <v>287</v>
      </c>
      <c r="C144" s="12" t="s">
        <v>506</v>
      </c>
      <c r="D144" s="13" t="s">
        <v>507</v>
      </c>
      <c r="E144" s="16">
        <f t="array" ref="E144">XLOOKUP(C144,'DATA TK PANEN'!D:D,'DATA TK PANEN'!H:H)</f>
        <v>504.45</v>
      </c>
      <c r="F144" s="10">
        <f>IFERROR(__xludf.DUMMYFUNCTION("XLOOKUP(C144,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(AUTO)'!S6:S""))"),28.0)</f>
        <v>28</v>
      </c>
      <c r="G144" s="10">
        <f>IFERROR(__xludf.DUMMYFUNCTION("XLOOKUP($C144,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144" s="10">
        <f>IFERROR(__xludf.DUMMYFUNCTION("XLOOKUP($C144,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(AUTO)'!V6:V""))"),26.0)</f>
        <v>26</v>
      </c>
      <c r="I144" s="18"/>
      <c r="J144" s="18"/>
      <c r="K144" s="10">
        <f>IFERROR(__xludf.DUMMYFUNCTION("XLOOKUP($C144,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4" s="10">
        <f>IFERROR(__xludf.DUMMYFUNCTION("XLOOKUP($C144,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44" s="8"/>
      <c r="N144" s="8"/>
      <c r="O144" s="8"/>
      <c r="P144" s="8"/>
      <c r="Q144" s="8"/>
      <c r="R144" s="8"/>
      <c r="S144" s="8"/>
      <c r="T144" s="8"/>
      <c r="U144" s="8"/>
    </row>
    <row r="145">
      <c r="A145" s="10" t="s">
        <v>286</v>
      </c>
      <c r="B145" s="10" t="s">
        <v>287</v>
      </c>
      <c r="C145" s="12" t="s">
        <v>509</v>
      </c>
      <c r="D145" s="13" t="s">
        <v>510</v>
      </c>
      <c r="E145" s="16">
        <f t="array" ref="E145">XLOOKUP(C145,'DATA TK PANEN'!D:D,'DATA TK PANEN'!H:H)</f>
        <v>180</v>
      </c>
      <c r="F145" s="10" t="str">
        <f>IFERROR(__xludf.DUMMYFUNCTION("XLOOKUP(C145,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45" s="10" t="str">
        <f>IFERROR(__xludf.DUMMYFUNCTION("XLOOKUP($C145,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45" s="10" t="str">
        <f>IFERROR(__xludf.DUMMYFUNCTION("XLOOKUP($C145,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45" s="18"/>
      <c r="J145" s="18"/>
      <c r="K145" s="10">
        <f>IFERROR(__xludf.DUMMYFUNCTION("XLOOKUP($C145,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5" s="10">
        <f>IFERROR(__xludf.DUMMYFUNCTION("XLOOKUP($C145,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5" s="8"/>
      <c r="N145" s="8"/>
      <c r="O145" s="8"/>
      <c r="P145" s="8"/>
      <c r="Q145" s="8"/>
      <c r="R145" s="8"/>
      <c r="S145" s="8"/>
      <c r="T145" s="8"/>
      <c r="U145" s="8"/>
    </row>
    <row r="146">
      <c r="A146" s="10" t="s">
        <v>286</v>
      </c>
      <c r="B146" s="10" t="s">
        <v>287</v>
      </c>
      <c r="C146" s="12" t="s">
        <v>513</v>
      </c>
      <c r="D146" s="13" t="s">
        <v>514</v>
      </c>
      <c r="E146" s="16">
        <f t="array" ref="E146">XLOOKUP(C146,'DATA TK PANEN'!D:D,'DATA TK PANEN'!H:H)</f>
        <v>13491.17</v>
      </c>
      <c r="F146" s="10" t="str">
        <f>IFERROR(__xludf.DUMMYFUNCTION("XLOOKUP(C146,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46" s="10" t="str">
        <f>IFERROR(__xludf.DUMMYFUNCTION("XLOOKUP($C146,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46" s="10" t="str">
        <f>IFERROR(__xludf.DUMMYFUNCTION("XLOOKUP($C146,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46" s="18"/>
      <c r="J146" s="18"/>
      <c r="K146" s="10">
        <f>IFERROR(__xludf.DUMMYFUNCTION("XLOOKUP($C146,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6" s="10">
        <f>IFERROR(__xludf.DUMMYFUNCTION("XLOOKUP($C146,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6" s="8"/>
      <c r="N146" s="8"/>
      <c r="O146" s="8"/>
      <c r="P146" s="8"/>
      <c r="Q146" s="8"/>
      <c r="R146" s="8"/>
      <c r="S146" s="8"/>
      <c r="T146" s="8"/>
      <c r="U146" s="8"/>
    </row>
    <row r="147">
      <c r="A147" s="10" t="s">
        <v>286</v>
      </c>
      <c r="B147" s="10" t="s">
        <v>287</v>
      </c>
      <c r="C147" s="12" t="s">
        <v>517</v>
      </c>
      <c r="D147" s="13" t="s">
        <v>518</v>
      </c>
      <c r="E147" s="16">
        <f t="array" ref="E147">XLOOKUP(C147,'DATA TK PANEN'!D:D,'DATA TK PANEN'!H:H)</f>
        <v>75.55</v>
      </c>
      <c r="F147" s="10">
        <f>IFERROR(__xludf.DUMMYFUNCTION("XLOOKUP(C147,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147" s="10">
        <f>IFERROR(__xludf.DUMMYFUNCTION("XLOOKUP($C147,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47" s="10" t="str">
        <f>IFERROR(__xludf.DUMMYFUNCTION("XLOOKUP($C147,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47" s="18"/>
      <c r="J147" s="18"/>
      <c r="K147" s="10">
        <f>IFERROR(__xludf.DUMMYFUNCTION("XLOOKUP($C147,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7" s="10">
        <f>IFERROR(__xludf.DUMMYFUNCTION("XLOOKUP($C147,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147" s="8"/>
      <c r="N147" s="8"/>
      <c r="O147" s="8"/>
      <c r="P147" s="8"/>
      <c r="Q147" s="8"/>
      <c r="R147" s="8"/>
      <c r="S147" s="8"/>
      <c r="T147" s="8"/>
      <c r="U147" s="8"/>
    </row>
    <row r="148">
      <c r="A148" s="10" t="s">
        <v>286</v>
      </c>
      <c r="B148" s="10" t="s">
        <v>287</v>
      </c>
      <c r="C148" s="12" t="s">
        <v>520</v>
      </c>
      <c r="D148" s="13" t="s">
        <v>521</v>
      </c>
      <c r="E148" s="16">
        <f t="array" ref="E148">XLOOKUP(C148,'DATA TK PANEN'!D:D,'DATA TK PANEN'!H:H)</f>
        <v>1564.54</v>
      </c>
      <c r="F148" s="10">
        <f>IFERROR(__xludf.DUMMYFUNCTION("XLOOKUP(C148,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(AUTO)'!S6:S""))"),88.0)</f>
        <v>88</v>
      </c>
      <c r="G148" s="10">
        <f>IFERROR(__xludf.DUMMYFUNCTION("XLOOKUP($C148,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(AUTO)'!T6:T""))"),56.0)</f>
        <v>56</v>
      </c>
      <c r="H148" s="10">
        <f>IFERROR(__xludf.DUMMYFUNCTION("XLOOKUP($C148,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(AUTO)'!V6:V""))"),70.0)</f>
        <v>70</v>
      </c>
      <c r="I148" s="18"/>
      <c r="J148" s="18"/>
      <c r="K148" s="10">
        <f>IFERROR(__xludf.DUMMYFUNCTION("XLOOKUP($C148,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(AUTO)'!W6:W""))"),9.0)</f>
        <v>9</v>
      </c>
      <c r="L148" s="10">
        <f>IFERROR(__xludf.DUMMYFUNCTION("XLOOKUP($C148,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148" s="8"/>
      <c r="N148" s="8"/>
      <c r="O148" s="8"/>
      <c r="P148" s="8"/>
      <c r="Q148" s="8"/>
      <c r="R148" s="8"/>
      <c r="S148" s="8"/>
      <c r="T148" s="8"/>
      <c r="U148" s="8"/>
    </row>
    <row r="149">
      <c r="A149" s="10" t="s">
        <v>286</v>
      </c>
      <c r="B149" s="10" t="s">
        <v>287</v>
      </c>
      <c r="C149" s="12" t="s">
        <v>523</v>
      </c>
      <c r="D149" s="13" t="s">
        <v>524</v>
      </c>
      <c r="E149" s="16">
        <f t="array" ref="E149">XLOOKUP(C149,'DATA TK PANEN'!D:D,'DATA TK PANEN'!H:H)</f>
        <v>420</v>
      </c>
      <c r="F149" s="10" t="str">
        <f>IFERROR(__xludf.DUMMYFUNCTION("XLOOKUP(C149,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49" s="10" t="str">
        <f>IFERROR(__xludf.DUMMYFUNCTION("XLOOKUP($C149,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49" s="10" t="str">
        <f>IFERROR(__xludf.DUMMYFUNCTION("XLOOKUP($C149,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49" s="18"/>
      <c r="J149" s="18"/>
      <c r="K149" s="10">
        <f>IFERROR(__xludf.DUMMYFUNCTION("XLOOKUP($C149,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49" s="10">
        <f>IFERROR(__xludf.DUMMYFUNCTION("XLOOKUP($C149,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49" s="8"/>
      <c r="N149" s="8"/>
      <c r="O149" s="8"/>
      <c r="P149" s="8"/>
      <c r="Q149" s="8"/>
      <c r="R149" s="8"/>
      <c r="S149" s="8"/>
      <c r="T149" s="8"/>
      <c r="U149" s="8"/>
    </row>
    <row r="150">
      <c r="A150" s="10" t="s">
        <v>286</v>
      </c>
      <c r="B150" s="10" t="s">
        <v>287</v>
      </c>
      <c r="C150" s="12" t="s">
        <v>527</v>
      </c>
      <c r="D150" s="13" t="s">
        <v>528</v>
      </c>
      <c r="E150" s="16">
        <f t="array" ref="E150">XLOOKUP(C150,'DATA TK PANEN'!D:D,'DATA TK PANEN'!H:H)</f>
        <v>602.31</v>
      </c>
      <c r="F150" s="10" t="str">
        <f>IFERROR(__xludf.DUMMYFUNCTION("XLOOKUP(C150,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0" s="10" t="str">
        <f>IFERROR(__xludf.DUMMYFUNCTION("XLOOKUP($C150,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0" s="10" t="str">
        <f>IFERROR(__xludf.DUMMYFUNCTION("XLOOKUP($C150,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0" s="18"/>
      <c r="J150" s="18"/>
      <c r="K150" s="10">
        <f>IFERROR(__xludf.DUMMYFUNCTION("XLOOKUP($C150,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0" s="10">
        <f>IFERROR(__xludf.DUMMYFUNCTION("XLOOKUP($C150,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0" s="8"/>
      <c r="N150" s="8"/>
      <c r="O150" s="8"/>
      <c r="P150" s="8"/>
      <c r="Q150" s="8"/>
      <c r="R150" s="8"/>
      <c r="S150" s="8"/>
      <c r="T150" s="8"/>
      <c r="U150" s="8"/>
    </row>
    <row r="151">
      <c r="A151" s="10" t="s">
        <v>286</v>
      </c>
      <c r="B151" s="10" t="s">
        <v>287</v>
      </c>
      <c r="C151" s="12" t="s">
        <v>529</v>
      </c>
      <c r="D151" s="13" t="s">
        <v>531</v>
      </c>
      <c r="E151" s="16">
        <f t="array" ref="E151">XLOOKUP(C151,'DATA TK PANEN'!D:D,'DATA TK PANEN'!H:H)</f>
        <v>736.06</v>
      </c>
      <c r="F151" s="10">
        <f>IFERROR(__xludf.DUMMYFUNCTION("XLOOKUP(C151,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(AUTO)'!S6:S""))"),44.0)</f>
        <v>44</v>
      </c>
      <c r="G151" s="10">
        <f>IFERROR(__xludf.DUMMYFUNCTION("XLOOKUP($C151,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(AUTO)'!T6:T""))"),33.0)</f>
        <v>33</v>
      </c>
      <c r="H151" s="10">
        <f>IFERROR(__xludf.DUMMYFUNCTION("XLOOKUP($C151,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151" s="18"/>
      <c r="J151" s="18"/>
      <c r="K151" s="10">
        <f>IFERROR(__xludf.DUMMYFUNCTION("XLOOKUP($C151,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(AUTO)'!W6:W""))"),14.0)</f>
        <v>14</v>
      </c>
      <c r="L151" s="10">
        <f>IFERROR(__xludf.DUMMYFUNCTION("XLOOKUP($C151,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(AUTO)'!X6:X""))"),14.0)</f>
        <v>14</v>
      </c>
      <c r="M151" s="8"/>
      <c r="N151" s="8"/>
      <c r="O151" s="8"/>
      <c r="P151" s="8"/>
      <c r="Q151" s="8"/>
      <c r="R151" s="8"/>
      <c r="S151" s="8"/>
      <c r="T151" s="8"/>
      <c r="U151" s="8"/>
    </row>
    <row r="152">
      <c r="A152" s="10" t="s">
        <v>286</v>
      </c>
      <c r="B152" s="10" t="s">
        <v>287</v>
      </c>
      <c r="C152" s="12" t="s">
        <v>532</v>
      </c>
      <c r="D152" s="13" t="s">
        <v>533</v>
      </c>
      <c r="E152" s="16">
        <f t="array" ref="E152">XLOOKUP(C152,'DATA TK PANEN'!D:D,'DATA TK PANEN'!H:H)</f>
        <v>1988</v>
      </c>
      <c r="F152" s="10" t="str">
        <f>IFERROR(__xludf.DUMMYFUNCTION("XLOOKUP(C152,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2" s="10" t="str">
        <f>IFERROR(__xludf.DUMMYFUNCTION("XLOOKUP($C152,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2" s="10" t="str">
        <f>IFERROR(__xludf.DUMMYFUNCTION("XLOOKUP($C152,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2" s="18"/>
      <c r="J152" s="18"/>
      <c r="K152" s="10">
        <f>IFERROR(__xludf.DUMMYFUNCTION("XLOOKUP($C152,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2" s="10">
        <f>IFERROR(__xludf.DUMMYFUNCTION("XLOOKUP($C152,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2" s="8"/>
      <c r="N152" s="8"/>
      <c r="O152" s="8"/>
      <c r="P152" s="8"/>
      <c r="Q152" s="8"/>
      <c r="R152" s="8"/>
      <c r="S152" s="8"/>
      <c r="T152" s="8"/>
      <c r="U152" s="8"/>
    </row>
    <row r="153">
      <c r="A153" s="10" t="s">
        <v>286</v>
      </c>
      <c r="B153" s="10" t="s">
        <v>287</v>
      </c>
      <c r="C153" s="12" t="s">
        <v>535</v>
      </c>
      <c r="D153" s="13" t="s">
        <v>537</v>
      </c>
      <c r="E153" s="16">
        <f t="array" ref="E153">XLOOKUP(C153,'DATA TK PANEN'!D:D,'DATA TK PANEN'!H:H)</f>
        <v>107.34</v>
      </c>
      <c r="F153" s="10">
        <f>IFERROR(__xludf.DUMMYFUNCTION("XLOOKUP(C153,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53" s="10">
        <f>IFERROR(__xludf.DUMMYFUNCTION("XLOOKUP($C153,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153" s="10">
        <f>IFERROR(__xludf.DUMMYFUNCTION("XLOOKUP($C153,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153" s="18"/>
      <c r="J153" s="18"/>
      <c r="K153" s="10">
        <f>IFERROR(__xludf.DUMMYFUNCTION("XLOOKUP($C153,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3" s="10">
        <f>IFERROR(__xludf.DUMMYFUNCTION("XLOOKUP($C153,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3" s="8"/>
      <c r="N153" s="8"/>
      <c r="O153" s="8"/>
      <c r="P153" s="8"/>
      <c r="Q153" s="8"/>
      <c r="R153" s="8"/>
      <c r="S153" s="8"/>
      <c r="T153" s="8"/>
      <c r="U153" s="8"/>
    </row>
    <row r="154">
      <c r="A154" s="10" t="s">
        <v>286</v>
      </c>
      <c r="B154" s="10" t="s">
        <v>287</v>
      </c>
      <c r="C154" s="12" t="s">
        <v>538</v>
      </c>
      <c r="D154" s="13" t="s">
        <v>539</v>
      </c>
      <c r="E154" s="16">
        <f t="array" ref="E154">XLOOKUP(C154,'DATA TK PANEN'!D:D,'DATA TK PANEN'!H:H)</f>
        <v>0</v>
      </c>
      <c r="F154" s="10" t="str">
        <f>IFERROR(__xludf.DUMMYFUNCTION("XLOOKUP(C154,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4" s="10" t="str">
        <f>IFERROR(__xludf.DUMMYFUNCTION("XLOOKUP($C154,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4" s="10" t="str">
        <f>IFERROR(__xludf.DUMMYFUNCTION("XLOOKUP($C154,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4" s="18"/>
      <c r="J154" s="18"/>
      <c r="K154" s="10">
        <f>IFERROR(__xludf.DUMMYFUNCTION("XLOOKUP($C154,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4" s="10">
        <f>IFERROR(__xludf.DUMMYFUNCTION("XLOOKUP($C154,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4" s="8"/>
      <c r="N154" s="8"/>
      <c r="O154" s="8"/>
      <c r="P154" s="8"/>
      <c r="Q154" s="8"/>
      <c r="R154" s="8"/>
      <c r="S154" s="8"/>
      <c r="T154" s="8"/>
      <c r="U154" s="8"/>
    </row>
    <row r="155">
      <c r="A155" s="10" t="s">
        <v>286</v>
      </c>
      <c r="B155" s="10" t="s">
        <v>287</v>
      </c>
      <c r="C155" s="12" t="s">
        <v>541</v>
      </c>
      <c r="D155" s="13" t="s">
        <v>542</v>
      </c>
      <c r="E155" s="16">
        <f t="array" ref="E155">XLOOKUP(C155,'DATA TK PANEN'!D:D,'DATA TK PANEN'!H:H)</f>
        <v>0</v>
      </c>
      <c r="F155" s="10" t="str">
        <f>IFERROR(__xludf.DUMMYFUNCTION("XLOOKUP(C155,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5" s="10" t="str">
        <f>IFERROR(__xludf.DUMMYFUNCTION("XLOOKUP($C155,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5" s="10" t="str">
        <f>IFERROR(__xludf.DUMMYFUNCTION("XLOOKUP($C155,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5" s="18"/>
      <c r="J155" s="18"/>
      <c r="K155" s="10">
        <f>IFERROR(__xludf.DUMMYFUNCTION("XLOOKUP($C155,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5" s="10">
        <f>IFERROR(__xludf.DUMMYFUNCTION("XLOOKUP($C155,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5" s="8"/>
      <c r="N155" s="8"/>
      <c r="O155" s="8"/>
      <c r="P155" s="8"/>
      <c r="Q155" s="8"/>
      <c r="R155" s="8"/>
      <c r="S155" s="8"/>
      <c r="T155" s="8"/>
      <c r="U155" s="8"/>
    </row>
    <row r="156">
      <c r="A156" s="10" t="s">
        <v>286</v>
      </c>
      <c r="B156" s="10" t="s">
        <v>287</v>
      </c>
      <c r="C156" s="12" t="s">
        <v>544</v>
      </c>
      <c r="D156" s="13" t="s">
        <v>545</v>
      </c>
      <c r="E156" s="16">
        <f t="array" ref="E156">XLOOKUP(C156,'DATA TK PANEN'!D:D,'DATA TK PANEN'!H:H)</f>
        <v>46.44</v>
      </c>
      <c r="F156" s="10">
        <f>IFERROR(__xludf.DUMMYFUNCTION("XLOOKUP(C156,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56" s="10">
        <f>IFERROR(__xludf.DUMMYFUNCTION("XLOOKUP($C156,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56" s="10">
        <f>IFERROR(__xludf.DUMMYFUNCTION("XLOOKUP($C156,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156" s="18"/>
      <c r="J156" s="18"/>
      <c r="K156" s="10">
        <f>IFERROR(__xludf.DUMMYFUNCTION("XLOOKUP($C156,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6" s="10">
        <f>IFERROR(__xludf.DUMMYFUNCTION("XLOOKUP($C156,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6" s="8"/>
      <c r="N156" s="8"/>
      <c r="O156" s="8"/>
      <c r="P156" s="8"/>
      <c r="Q156" s="8"/>
      <c r="R156" s="8"/>
      <c r="S156" s="8"/>
      <c r="T156" s="8"/>
      <c r="U156" s="8"/>
    </row>
    <row r="157">
      <c r="A157" s="10" t="s">
        <v>286</v>
      </c>
      <c r="B157" s="10" t="s">
        <v>287</v>
      </c>
      <c r="C157" s="12" t="s">
        <v>547</v>
      </c>
      <c r="D157" s="13" t="s">
        <v>548</v>
      </c>
      <c r="E157" s="16">
        <f t="array" ref="E157">XLOOKUP(C157,'DATA TK PANEN'!D:D,'DATA TK PANEN'!H:H)</f>
        <v>1008.4</v>
      </c>
      <c r="F157" s="10">
        <f>IFERROR(__xludf.DUMMYFUNCTION("XLOOKUP(C157,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(AUTO)'!S6:S""))"),48.0)</f>
        <v>48</v>
      </c>
      <c r="G157" s="10">
        <f>IFERROR(__xludf.DUMMYFUNCTION("XLOOKUP($C157,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(AUTO)'!T6:T""))"),34.0)</f>
        <v>34</v>
      </c>
      <c r="H157" s="10">
        <f>IFERROR(__xludf.DUMMYFUNCTION("XLOOKUP($C157,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(AUTO)'!V6:V""))"),50.0)</f>
        <v>50</v>
      </c>
      <c r="I157" s="18"/>
      <c r="J157" s="18"/>
      <c r="K157" s="10">
        <f>IFERROR(__xludf.DUMMYFUNCTION("XLOOKUP($C157,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7" s="10">
        <f>IFERROR(__xludf.DUMMYFUNCTION("XLOOKUP($C157,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7" s="8"/>
      <c r="N157" s="8"/>
      <c r="O157" s="8"/>
      <c r="P157" s="8"/>
      <c r="Q157" s="8"/>
      <c r="R157" s="8"/>
      <c r="S157" s="8"/>
      <c r="T157" s="8"/>
      <c r="U157" s="8"/>
    </row>
    <row r="158">
      <c r="A158" s="10" t="s">
        <v>286</v>
      </c>
      <c r="B158" s="10" t="s">
        <v>287</v>
      </c>
      <c r="C158" s="12" t="s">
        <v>550</v>
      </c>
      <c r="D158" s="13" t="s">
        <v>552</v>
      </c>
      <c r="E158" s="16">
        <f t="array" ref="E158">XLOOKUP(C158,'DATA TK PANEN'!D:D,'DATA TK PANEN'!H:H)</f>
        <v>166.98</v>
      </c>
      <c r="F158" s="10" t="str">
        <f>IFERROR(__xludf.DUMMYFUNCTION("XLOOKUP(C158,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8" s="10" t="str">
        <f>IFERROR(__xludf.DUMMYFUNCTION("XLOOKUP($C158,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8" s="10" t="str">
        <f>IFERROR(__xludf.DUMMYFUNCTION("XLOOKUP($C158,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8" s="18"/>
      <c r="J158" s="18"/>
      <c r="K158" s="10">
        <f>IFERROR(__xludf.DUMMYFUNCTION("XLOOKUP($C158,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8" s="10">
        <f>IFERROR(__xludf.DUMMYFUNCTION("XLOOKUP($C158,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8" s="8"/>
      <c r="N158" s="8"/>
      <c r="O158" s="8"/>
      <c r="P158" s="8"/>
      <c r="Q158" s="8"/>
      <c r="R158" s="8"/>
      <c r="S158" s="8"/>
      <c r="T158" s="8"/>
      <c r="U158" s="8"/>
    </row>
    <row r="159">
      <c r="A159" s="10" t="s">
        <v>286</v>
      </c>
      <c r="B159" s="10" t="s">
        <v>287</v>
      </c>
      <c r="C159" s="12" t="s">
        <v>556</v>
      </c>
      <c r="D159" s="13" t="s">
        <v>557</v>
      </c>
      <c r="E159" s="16">
        <f t="array" ref="E159">XLOOKUP(C159,'DATA TK PANEN'!D:D,'DATA TK PANEN'!H:H)</f>
        <v>0</v>
      </c>
      <c r="F159" s="10" t="str">
        <f>IFERROR(__xludf.DUMMYFUNCTION("XLOOKUP(C159,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59" s="10" t="str">
        <f>IFERROR(__xludf.DUMMYFUNCTION("XLOOKUP($C159,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59" s="10" t="str">
        <f>IFERROR(__xludf.DUMMYFUNCTION("XLOOKUP($C159,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59" s="18"/>
      <c r="J159" s="18"/>
      <c r="K159" s="10">
        <f>IFERROR(__xludf.DUMMYFUNCTION("XLOOKUP($C159,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59" s="10">
        <f>IFERROR(__xludf.DUMMYFUNCTION("XLOOKUP($C159,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59" s="8"/>
      <c r="N159" s="8"/>
      <c r="O159" s="8"/>
      <c r="P159" s="8"/>
      <c r="Q159" s="8"/>
      <c r="R159" s="8"/>
      <c r="S159" s="8"/>
      <c r="T159" s="8"/>
      <c r="U159" s="8"/>
    </row>
    <row r="160">
      <c r="A160" s="10" t="s">
        <v>286</v>
      </c>
      <c r="B160" s="10" t="s">
        <v>287</v>
      </c>
      <c r="C160" s="12" t="s">
        <v>559</v>
      </c>
      <c r="D160" s="13" t="s">
        <v>560</v>
      </c>
      <c r="E160" s="16">
        <f t="array" ref="E160">XLOOKUP(C160,'DATA TK PANEN'!D:D,'DATA TK PANEN'!H:H)</f>
        <v>30.3</v>
      </c>
      <c r="F160" s="10" t="str">
        <f>IFERROR(__xludf.DUMMYFUNCTION("XLOOKUP(C160,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60" s="10" t="str">
        <f>IFERROR(__xludf.DUMMYFUNCTION("XLOOKUP($C160,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60" s="10" t="str">
        <f>IFERROR(__xludf.DUMMYFUNCTION("XLOOKUP($C160,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60" s="18"/>
      <c r="J160" s="18"/>
      <c r="K160" s="10">
        <f>IFERROR(__xludf.DUMMYFUNCTION("XLOOKUP($C160,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0" s="10">
        <f>IFERROR(__xludf.DUMMYFUNCTION("XLOOKUP($C160,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0" s="8"/>
      <c r="N160" s="8"/>
      <c r="O160" s="8"/>
      <c r="P160" s="8"/>
      <c r="Q160" s="8"/>
      <c r="R160" s="8"/>
      <c r="S160" s="8"/>
      <c r="T160" s="8"/>
      <c r="U160" s="8"/>
    </row>
    <row r="161">
      <c r="A161" s="10" t="s">
        <v>286</v>
      </c>
      <c r="B161" s="10" t="s">
        <v>287</v>
      </c>
      <c r="C161" s="12" t="s">
        <v>562</v>
      </c>
      <c r="D161" s="13" t="s">
        <v>563</v>
      </c>
      <c r="E161" s="16">
        <f t="array" ref="E161">XLOOKUP(C161,'DATA TK PANEN'!D:D,'DATA TK PANEN'!H:H)</f>
        <v>4.21</v>
      </c>
      <c r="F161" s="10" t="str">
        <f>IFERROR(__xludf.DUMMYFUNCTION("XLOOKUP(C161,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61" s="10" t="str">
        <f>IFERROR(__xludf.DUMMYFUNCTION("XLOOKUP($C161,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61" s="10" t="str">
        <f>IFERROR(__xludf.DUMMYFUNCTION("XLOOKUP($C161,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61" s="18"/>
      <c r="J161" s="18"/>
      <c r="K161" s="10">
        <f>IFERROR(__xludf.DUMMYFUNCTION("XLOOKUP($C161,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1" s="10">
        <f>IFERROR(__xludf.DUMMYFUNCTION("XLOOKUP($C161,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1" s="8"/>
      <c r="N161" s="8"/>
      <c r="O161" s="8"/>
      <c r="P161" s="8"/>
      <c r="Q161" s="8"/>
      <c r="R161" s="8"/>
      <c r="S161" s="8"/>
      <c r="T161" s="8"/>
      <c r="U161" s="8"/>
    </row>
    <row r="162">
      <c r="A162" s="10" t="s">
        <v>286</v>
      </c>
      <c r="B162" s="10" t="s">
        <v>287</v>
      </c>
      <c r="C162" s="12" t="s">
        <v>565</v>
      </c>
      <c r="D162" s="13" t="s">
        <v>566</v>
      </c>
      <c r="E162" s="16">
        <f t="array" ref="E162">XLOOKUP(C162,'DATA TK PANEN'!D:D,'DATA TK PANEN'!H:H)</f>
        <v>150</v>
      </c>
      <c r="F162" s="10" t="str">
        <f>IFERROR(__xludf.DUMMYFUNCTION("XLOOKUP(C162,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62" s="10" t="str">
        <f>IFERROR(__xludf.DUMMYFUNCTION("XLOOKUP($C162,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62" s="10" t="str">
        <f>IFERROR(__xludf.DUMMYFUNCTION("XLOOKUP($C162,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62" s="18"/>
      <c r="J162" s="18"/>
      <c r="K162" s="10">
        <f>IFERROR(__xludf.DUMMYFUNCTION("XLOOKUP($C162,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2" s="10">
        <f>IFERROR(__xludf.DUMMYFUNCTION("XLOOKUP($C162,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2" s="8"/>
      <c r="N162" s="8"/>
      <c r="O162" s="8"/>
      <c r="P162" s="8"/>
      <c r="Q162" s="8"/>
      <c r="R162" s="8"/>
      <c r="S162" s="8"/>
      <c r="T162" s="8"/>
      <c r="U162" s="8"/>
    </row>
    <row r="163">
      <c r="A163" s="10" t="s">
        <v>286</v>
      </c>
      <c r="B163" s="10" t="s">
        <v>287</v>
      </c>
      <c r="C163" s="12" t="s">
        <v>568</v>
      </c>
      <c r="D163" s="13" t="s">
        <v>569</v>
      </c>
      <c r="E163" s="16">
        <f t="array" ref="E163">XLOOKUP(C163,'DATA TK PANEN'!D:D,'DATA TK PANEN'!H:H)</f>
        <v>148.53</v>
      </c>
      <c r="F163" s="10">
        <f>IFERROR(__xludf.DUMMYFUNCTION("XLOOKUP(C163,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163" s="10">
        <f>IFERROR(__xludf.DUMMYFUNCTION("XLOOKUP($C163,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(AUTO)'!T6:T""))"),14.0)</f>
        <v>14</v>
      </c>
      <c r="H163" s="10">
        <f>IFERROR(__xludf.DUMMYFUNCTION("XLOOKUP($C163,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163" s="18"/>
      <c r="J163" s="18"/>
      <c r="K163" s="10">
        <f>IFERROR(__xludf.DUMMYFUNCTION("XLOOKUP($C163,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3" s="10">
        <f>IFERROR(__xludf.DUMMYFUNCTION("XLOOKUP($C163,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3" s="8"/>
      <c r="N163" s="8"/>
      <c r="O163" s="8"/>
      <c r="P163" s="8"/>
      <c r="Q163" s="8"/>
      <c r="R163" s="8"/>
      <c r="S163" s="8"/>
      <c r="T163" s="8"/>
      <c r="U163" s="8"/>
    </row>
    <row r="164">
      <c r="A164" s="10" t="s">
        <v>286</v>
      </c>
      <c r="B164" s="10" t="s">
        <v>287</v>
      </c>
      <c r="C164" s="12" t="s">
        <v>571</v>
      </c>
      <c r="D164" s="13" t="s">
        <v>572</v>
      </c>
      <c r="E164" s="16">
        <f t="array" ref="E164">XLOOKUP(C164,'DATA TK PANEN'!D:D,'DATA TK PANEN'!H:H)</f>
        <v>104.65</v>
      </c>
      <c r="F164" s="10" t="str">
        <f>IFERROR(__xludf.DUMMYFUNCTION("XLOOKUP(C164,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64" s="10" t="str">
        <f>IFERROR(__xludf.DUMMYFUNCTION("XLOOKUP($C164,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64" s="10" t="str">
        <f>IFERROR(__xludf.DUMMYFUNCTION("XLOOKUP($C164,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64" s="18"/>
      <c r="J164" s="18"/>
      <c r="K164" s="10">
        <f>IFERROR(__xludf.DUMMYFUNCTION("XLOOKUP($C164,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4" s="10">
        <f>IFERROR(__xludf.DUMMYFUNCTION("XLOOKUP($C164,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4" s="8"/>
      <c r="N164" s="8"/>
      <c r="O164" s="8"/>
      <c r="P164" s="8"/>
      <c r="Q164" s="8"/>
      <c r="R164" s="8"/>
      <c r="S164" s="8"/>
      <c r="T164" s="8"/>
      <c r="U164" s="8"/>
    </row>
    <row r="165">
      <c r="A165" s="10" t="s">
        <v>286</v>
      </c>
      <c r="B165" s="10" t="s">
        <v>287</v>
      </c>
      <c r="C165" s="12" t="s">
        <v>574</v>
      </c>
      <c r="D165" s="13" t="s">
        <v>577</v>
      </c>
      <c r="E165" s="16">
        <f t="array" ref="E165">XLOOKUP(C165,'DATA TK PANEN'!D:D,'DATA TK PANEN'!H:H)</f>
        <v>734</v>
      </c>
      <c r="F165" s="10">
        <f>IFERROR(__xludf.DUMMYFUNCTION("XLOOKUP(C165,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(AUTO)'!S6:S""))"),44.0)</f>
        <v>44</v>
      </c>
      <c r="G165" s="10">
        <f>IFERROR(__xludf.DUMMYFUNCTION("XLOOKUP($C165,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165" s="10">
        <f>IFERROR(__xludf.DUMMYFUNCTION("XLOOKUP($C165,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65" s="18"/>
      <c r="J165" s="18"/>
      <c r="K165" s="10">
        <f>IFERROR(__xludf.DUMMYFUNCTION("XLOOKUP($C165,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(AUTO)'!W6:W""))"),17.0)</f>
        <v>17</v>
      </c>
      <c r="L165" s="10">
        <f>IFERROR(__xludf.DUMMYFUNCTION("XLOOKUP($C165,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(AUTO)'!X6:X""))"),17.0)</f>
        <v>17</v>
      </c>
      <c r="M165" s="8"/>
      <c r="N165" s="8"/>
      <c r="O165" s="8"/>
      <c r="P165" s="8"/>
      <c r="Q165" s="8"/>
      <c r="R165" s="8"/>
      <c r="S165" s="8"/>
      <c r="T165" s="8"/>
      <c r="U165" s="8"/>
    </row>
    <row r="166">
      <c r="A166" s="10" t="s">
        <v>286</v>
      </c>
      <c r="B166" s="10" t="s">
        <v>287</v>
      </c>
      <c r="C166" s="12" t="s">
        <v>578</v>
      </c>
      <c r="D166" s="13" t="s">
        <v>580</v>
      </c>
      <c r="E166" s="16">
        <f t="array" ref="E166">XLOOKUP(C166,'DATA TK PANEN'!D:D,'DATA TK PANEN'!H:H)</f>
        <v>1898.21</v>
      </c>
      <c r="F166" s="10">
        <f>IFERROR(__xludf.DUMMYFUNCTION("XLOOKUP(C166,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(AUTO)'!S6:S""))"),90.0)</f>
        <v>90</v>
      </c>
      <c r="G166" s="10">
        <f>IFERROR(__xludf.DUMMYFUNCTION("XLOOKUP($C166,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(AUTO)'!T6:T""))"),50.0)</f>
        <v>50</v>
      </c>
      <c r="H166" s="10">
        <f>IFERROR(__xludf.DUMMYFUNCTION("XLOOKUP($C166,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(AUTO)'!V6:V""))"),56.0)</f>
        <v>56</v>
      </c>
      <c r="I166" s="18"/>
      <c r="J166" s="18"/>
      <c r="K166" s="10">
        <f>IFERROR(__xludf.DUMMYFUNCTION("XLOOKUP($C166,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(AUTO)'!W6:W""))"),17.0)</f>
        <v>17</v>
      </c>
      <c r="L166" s="10">
        <f>IFERROR(__xludf.DUMMYFUNCTION("XLOOKUP($C166,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(AUTO)'!X6:X""))"),17.0)</f>
        <v>17</v>
      </c>
      <c r="M166" s="8"/>
      <c r="N166" s="8"/>
      <c r="O166" s="8"/>
      <c r="P166" s="8"/>
      <c r="Q166" s="8"/>
      <c r="R166" s="8"/>
      <c r="S166" s="8"/>
      <c r="T166" s="8"/>
      <c r="U166" s="8"/>
    </row>
    <row r="167">
      <c r="A167" s="10" t="s">
        <v>286</v>
      </c>
      <c r="B167" s="10" t="s">
        <v>287</v>
      </c>
      <c r="C167" s="12" t="s">
        <v>582</v>
      </c>
      <c r="D167" s="13" t="s">
        <v>584</v>
      </c>
      <c r="E167" s="16">
        <f t="array" ref="E167">XLOOKUP(C167,'DATA TK PANEN'!D:D,'DATA TK PANEN'!H:H)</f>
        <v>1627.55</v>
      </c>
      <c r="F167" s="10" t="str">
        <f>IFERROR(__xludf.DUMMYFUNCTION("XLOOKUP(C167,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67" s="10" t="str">
        <f>IFERROR(__xludf.DUMMYFUNCTION("XLOOKUP($C167,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67" s="10" t="str">
        <f>IFERROR(__xludf.DUMMYFUNCTION("XLOOKUP($C167,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67" s="18"/>
      <c r="J167" s="18"/>
      <c r="K167" s="10">
        <f>IFERROR(__xludf.DUMMYFUNCTION("XLOOKUP($C167,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7" s="10">
        <f>IFERROR(__xludf.DUMMYFUNCTION("XLOOKUP($C167,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7" s="8"/>
      <c r="N167" s="8"/>
      <c r="O167" s="8"/>
      <c r="P167" s="8"/>
      <c r="Q167" s="8"/>
      <c r="R167" s="8"/>
      <c r="S167" s="8"/>
      <c r="T167" s="8"/>
      <c r="U167" s="8"/>
    </row>
    <row r="168">
      <c r="A168" s="10" t="s">
        <v>286</v>
      </c>
      <c r="B168" s="10" t="s">
        <v>287</v>
      </c>
      <c r="C168" s="12" t="s">
        <v>585</v>
      </c>
      <c r="D168" s="13" t="s">
        <v>586</v>
      </c>
      <c r="E168" s="16">
        <f t="array" ref="E168">XLOOKUP(C168,'DATA TK PANEN'!D:D,'DATA TK PANEN'!H:H)</f>
        <v>57.09</v>
      </c>
      <c r="F168" s="10">
        <f>IFERROR(__xludf.DUMMYFUNCTION("XLOOKUP(C168,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68" s="10">
        <f>IFERROR(__xludf.DUMMYFUNCTION("XLOOKUP($C168,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168" s="10">
        <f>IFERROR(__xludf.DUMMYFUNCTION("XLOOKUP($C168,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168" s="18"/>
      <c r="J168" s="18"/>
      <c r="K168" s="10">
        <f>IFERROR(__xludf.DUMMYFUNCTION("XLOOKUP($C168,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8" s="10">
        <f>IFERROR(__xludf.DUMMYFUNCTION("XLOOKUP($C168,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8" s="8"/>
      <c r="N168" s="8"/>
      <c r="O168" s="8"/>
      <c r="P168" s="8"/>
      <c r="Q168" s="8"/>
      <c r="R168" s="8"/>
      <c r="S168" s="8"/>
      <c r="T168" s="8"/>
      <c r="U168" s="8"/>
    </row>
    <row r="169">
      <c r="A169" s="10" t="s">
        <v>286</v>
      </c>
      <c r="B169" s="10" t="s">
        <v>287</v>
      </c>
      <c r="C169" s="12" t="s">
        <v>588</v>
      </c>
      <c r="D169" s="13" t="s">
        <v>589</v>
      </c>
      <c r="E169" s="16">
        <f t="array" ref="E169">XLOOKUP(C169,'DATA TK PANEN'!D:D,'DATA TK PANEN'!H:H)</f>
        <v>25</v>
      </c>
      <c r="F169" s="10">
        <f>IFERROR(__xludf.DUMMYFUNCTION("XLOOKUP(C169,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169" s="10">
        <f>IFERROR(__xludf.DUMMYFUNCTION("XLOOKUP($C169,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169" s="10">
        <f>IFERROR(__xludf.DUMMYFUNCTION("XLOOKUP($C169,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169" s="18"/>
      <c r="J169" s="18"/>
      <c r="K169" s="10">
        <f>IFERROR(__xludf.DUMMYFUNCTION("XLOOKUP($C169,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69" s="10">
        <f>IFERROR(__xludf.DUMMYFUNCTION("XLOOKUP($C169,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10" t="s">
        <v>286</v>
      </c>
      <c r="B170" s="10" t="s">
        <v>287</v>
      </c>
      <c r="C170" s="12" t="s">
        <v>591</v>
      </c>
      <c r="D170" s="13" t="s">
        <v>592</v>
      </c>
      <c r="E170" s="16">
        <f t="array" ref="E170">XLOOKUP(C170,'DATA TK PANEN'!D:D,'DATA TK PANEN'!H:H)</f>
        <v>196.1</v>
      </c>
      <c r="F170" s="10">
        <f>IFERROR(__xludf.DUMMYFUNCTION("XLOOKUP(C170,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70" s="10">
        <f>IFERROR(__xludf.DUMMYFUNCTION("XLOOKUP($C170,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70" s="10">
        <f>IFERROR(__xludf.DUMMYFUNCTION("XLOOKUP($C170,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170" s="18"/>
      <c r="J170" s="18"/>
      <c r="K170" s="10">
        <f>IFERROR(__xludf.DUMMYFUNCTION("XLOOKUP($C170,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0" s="10">
        <f>IFERROR(__xludf.DUMMYFUNCTION("XLOOKUP($C170,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0" s="8"/>
      <c r="N170" s="8"/>
      <c r="O170" s="8"/>
      <c r="P170" s="8"/>
      <c r="Q170" s="8"/>
      <c r="R170" s="8"/>
      <c r="S170" s="8"/>
      <c r="T170" s="8"/>
      <c r="U170" s="8"/>
    </row>
    <row r="171">
      <c r="A171" s="10" t="s">
        <v>286</v>
      </c>
      <c r="B171" s="10" t="s">
        <v>287</v>
      </c>
      <c r="C171" s="12" t="s">
        <v>593</v>
      </c>
      <c r="D171" s="13" t="s">
        <v>595</v>
      </c>
      <c r="E171" s="16">
        <f t="array" ref="E171">XLOOKUP(C171,'DATA TK PANEN'!D:D,'DATA TK PANEN'!H:H)</f>
        <v>182</v>
      </c>
      <c r="F171" s="10">
        <f>IFERROR(__xludf.DUMMYFUNCTION("XLOOKUP(C171,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171" s="10">
        <f>IFERROR(__xludf.DUMMYFUNCTION("XLOOKUP($C171,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171" s="10">
        <f>IFERROR(__xludf.DUMMYFUNCTION("XLOOKUP($C171,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71" s="18"/>
      <c r="J171" s="18"/>
      <c r="K171" s="10">
        <f>IFERROR(__xludf.DUMMYFUNCTION("XLOOKUP($C171,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171" s="10">
        <f>IFERROR(__xludf.DUMMYFUNCTION("XLOOKUP($C171,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10" t="s">
        <v>286</v>
      </c>
      <c r="B172" s="10" t="s">
        <v>287</v>
      </c>
      <c r="C172" s="12" t="s">
        <v>596</v>
      </c>
      <c r="D172" s="13" t="s">
        <v>597</v>
      </c>
      <c r="E172" s="16">
        <f t="array" ref="E172">XLOOKUP(C172,'DATA TK PANEN'!D:D,'DATA TK PANEN'!H:H)</f>
        <v>765.6</v>
      </c>
      <c r="F172" s="10">
        <f>IFERROR(__xludf.DUMMYFUNCTION("XLOOKUP(C172,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(AUTO)'!S6:S""))"),46.0)</f>
        <v>46</v>
      </c>
      <c r="G172" s="10">
        <f>IFERROR(__xludf.DUMMYFUNCTION("XLOOKUP($C172,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(AUTO)'!T6:T""))"),27.0)</f>
        <v>27</v>
      </c>
      <c r="H172" s="10">
        <f>IFERROR(__xludf.DUMMYFUNCTION("XLOOKUP($C172,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(AUTO)'!V6:V""))"),31.0)</f>
        <v>31</v>
      </c>
      <c r="I172" s="18"/>
      <c r="J172" s="18"/>
      <c r="K172" s="10">
        <f>IFERROR(__xludf.DUMMYFUNCTION("XLOOKUP($C172,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(AUTO)'!W6:W""))"),8.0)</f>
        <v>8</v>
      </c>
      <c r="L172" s="10">
        <f>IFERROR(__xludf.DUMMYFUNCTION("XLOOKUP($C172,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(AUTO)'!X6:X""))"),7.0)</f>
        <v>7</v>
      </c>
      <c r="M172" s="8"/>
      <c r="N172" s="8"/>
      <c r="O172" s="8"/>
      <c r="P172" s="8"/>
      <c r="Q172" s="8"/>
      <c r="R172" s="8"/>
      <c r="S172" s="8"/>
      <c r="T172" s="8"/>
      <c r="U172" s="8"/>
    </row>
    <row r="173">
      <c r="A173" s="10" t="s">
        <v>286</v>
      </c>
      <c r="B173" s="10" t="s">
        <v>287</v>
      </c>
      <c r="C173" s="12" t="s">
        <v>599</v>
      </c>
      <c r="D173" s="13" t="s">
        <v>600</v>
      </c>
      <c r="E173" s="16">
        <f t="array" ref="E173">XLOOKUP(C173,'DATA TK PANEN'!D:D,'DATA TK PANEN'!H:H)</f>
        <v>1326.5</v>
      </c>
      <c r="F173" s="10">
        <f>IFERROR(__xludf.DUMMYFUNCTION("XLOOKUP(C173,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173" s="10">
        <f>IFERROR(__xludf.DUMMYFUNCTION("XLOOKUP($C173,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(AUTO)'!T6:T""))"),11.0)</f>
        <v>11</v>
      </c>
      <c r="H173" s="10">
        <f>IFERROR(__xludf.DUMMYFUNCTION("XLOOKUP($C173,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73" s="18"/>
      <c r="J173" s="18"/>
      <c r="K173" s="10">
        <f>IFERROR(__xludf.DUMMYFUNCTION("XLOOKUP($C173,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3" s="10">
        <f>IFERROR(__xludf.DUMMYFUNCTION("XLOOKUP($C173,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3" s="8"/>
      <c r="N173" s="8"/>
      <c r="O173" s="8"/>
      <c r="P173" s="8"/>
      <c r="Q173" s="8"/>
      <c r="R173" s="8"/>
      <c r="S173" s="8"/>
      <c r="T173" s="8"/>
      <c r="U173" s="8"/>
    </row>
    <row r="174">
      <c r="A174" s="10" t="s">
        <v>286</v>
      </c>
      <c r="B174" s="10" t="s">
        <v>287</v>
      </c>
      <c r="C174" s="12" t="s">
        <v>603</v>
      </c>
      <c r="D174" s="13" t="s">
        <v>604</v>
      </c>
      <c r="E174" s="16">
        <f t="array" ref="E174">XLOOKUP(C174,'DATA TK PANEN'!D:D,'DATA TK PANEN'!H:H)</f>
        <v>126.48</v>
      </c>
      <c r="F174" s="10">
        <f>IFERROR(__xludf.DUMMYFUNCTION("XLOOKUP(C174,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174" s="10">
        <f>IFERROR(__xludf.DUMMYFUNCTION("XLOOKUP($C174,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174" s="10">
        <f>IFERROR(__xludf.DUMMYFUNCTION("XLOOKUP($C174,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74" s="18"/>
      <c r="J174" s="18"/>
      <c r="K174" s="10">
        <f>IFERROR(__xludf.DUMMYFUNCTION("XLOOKUP($C174,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4" s="10">
        <f>IFERROR(__xludf.DUMMYFUNCTION("XLOOKUP($C174,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4" s="8"/>
      <c r="N174" s="8"/>
      <c r="O174" s="8"/>
      <c r="P174" s="8"/>
      <c r="Q174" s="8"/>
      <c r="R174" s="8"/>
      <c r="S174" s="8"/>
      <c r="T174" s="8"/>
      <c r="U174" s="8"/>
    </row>
    <row r="175">
      <c r="A175" s="10" t="s">
        <v>286</v>
      </c>
      <c r="B175" s="10" t="s">
        <v>287</v>
      </c>
      <c r="C175" s="12" t="s">
        <v>605</v>
      </c>
      <c r="D175" s="13" t="s">
        <v>607</v>
      </c>
      <c r="E175" s="16">
        <f t="array" ref="E175">XLOOKUP(C175,'DATA TK PANEN'!D:D,'DATA TK PANEN'!H:H)</f>
        <v>69.92</v>
      </c>
      <c r="F175" s="10">
        <f>IFERROR(__xludf.DUMMYFUNCTION("XLOOKUP(C175,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75" s="10">
        <f>IFERROR(__xludf.DUMMYFUNCTION("XLOOKUP($C175,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175" s="10">
        <f>IFERROR(__xludf.DUMMYFUNCTION("XLOOKUP($C175,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175" s="18"/>
      <c r="J175" s="18"/>
      <c r="K175" s="10">
        <f>IFERROR(__xludf.DUMMYFUNCTION("XLOOKUP($C175,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5" s="10">
        <f>IFERROR(__xludf.DUMMYFUNCTION("XLOOKUP($C175,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5" s="8"/>
      <c r="N175" s="8"/>
      <c r="O175" s="8"/>
      <c r="P175" s="8"/>
      <c r="Q175" s="8"/>
      <c r="R175" s="8"/>
      <c r="S175" s="8"/>
      <c r="T175" s="8"/>
      <c r="U175" s="8"/>
    </row>
    <row r="176">
      <c r="A176" s="10" t="s">
        <v>286</v>
      </c>
      <c r="B176" s="10" t="s">
        <v>287</v>
      </c>
      <c r="C176" s="12" t="s">
        <v>608</v>
      </c>
      <c r="D176" s="13" t="s">
        <v>610</v>
      </c>
      <c r="E176" s="16">
        <f t="array" ref="E176">XLOOKUP(C176,'DATA TK PANEN'!D:D,'DATA TK PANEN'!H:H)</f>
        <v>59</v>
      </c>
      <c r="F176" s="10" t="str">
        <f>IFERROR(__xludf.DUMMYFUNCTION("XLOOKUP(C176,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76" s="10" t="str">
        <f>IFERROR(__xludf.DUMMYFUNCTION("XLOOKUP($C176,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76" s="10">
        <f>IFERROR(__xludf.DUMMYFUNCTION("XLOOKUP($C176,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176" s="18"/>
      <c r="J176" s="18"/>
      <c r="K176" s="10">
        <f>IFERROR(__xludf.DUMMYFUNCTION("XLOOKUP($C176,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6" s="10">
        <f>IFERROR(__xludf.DUMMYFUNCTION("XLOOKUP($C176,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6" s="8"/>
      <c r="N176" s="8"/>
      <c r="O176" s="8"/>
      <c r="P176" s="8"/>
      <c r="Q176" s="8"/>
      <c r="R176" s="8"/>
      <c r="S176" s="8"/>
      <c r="T176" s="8"/>
      <c r="U176" s="8"/>
    </row>
    <row r="177">
      <c r="A177" s="10" t="s">
        <v>286</v>
      </c>
      <c r="B177" s="10" t="s">
        <v>287</v>
      </c>
      <c r="C177" s="12" t="s">
        <v>613</v>
      </c>
      <c r="D177" s="13" t="s">
        <v>614</v>
      </c>
      <c r="E177" s="16">
        <f t="array" ref="E177">XLOOKUP(C177,'DATA TK PANEN'!D:D,'DATA TK PANEN'!H:H)</f>
        <v>395.12</v>
      </c>
      <c r="F177" s="10">
        <f>IFERROR(__xludf.DUMMYFUNCTION("XLOOKUP(C177,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(AUTO)'!S6:S""))"),24.0)</f>
        <v>24</v>
      </c>
      <c r="G177" s="10" t="str">
        <f>IFERROR(__xludf.DUMMYFUNCTION("XLOOKUP($C177,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77" s="10" t="str">
        <f>IFERROR(__xludf.DUMMYFUNCTION("XLOOKUP($C177,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77" s="18"/>
      <c r="J177" s="18"/>
      <c r="K177" s="10">
        <f>IFERROR(__xludf.DUMMYFUNCTION("XLOOKUP($C177,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7" s="10">
        <f>IFERROR(__xludf.DUMMYFUNCTION("XLOOKUP($C177,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7" s="8"/>
      <c r="N177" s="8"/>
      <c r="O177" s="8"/>
      <c r="P177" s="8"/>
      <c r="Q177" s="8"/>
      <c r="R177" s="8"/>
      <c r="S177" s="8"/>
      <c r="T177" s="8"/>
      <c r="U177" s="8"/>
    </row>
    <row r="178">
      <c r="A178" s="10" t="s">
        <v>286</v>
      </c>
      <c r="B178" s="10" t="s">
        <v>287</v>
      </c>
      <c r="C178" s="12" t="s">
        <v>616</v>
      </c>
      <c r="D178" s="13" t="s">
        <v>617</v>
      </c>
      <c r="E178" s="16">
        <f t="array" ref="E178">XLOOKUP(C178,'DATA TK PANEN'!D:D,'DATA TK PANEN'!H:H)</f>
        <v>313.64</v>
      </c>
      <c r="F178" s="10">
        <f>IFERROR(__xludf.DUMMYFUNCTION("XLOOKUP(C178,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178" s="10">
        <f>IFERROR(__xludf.DUMMYFUNCTION("XLOOKUP($C178,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178" s="10">
        <f>IFERROR(__xludf.DUMMYFUNCTION("XLOOKUP($C178,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(AUTO)'!V6:V""))"),25.0)</f>
        <v>25</v>
      </c>
      <c r="I178" s="18"/>
      <c r="J178" s="18"/>
      <c r="K178" s="10">
        <f>IFERROR(__xludf.DUMMYFUNCTION("XLOOKUP($C178,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8" s="10">
        <f>IFERROR(__xludf.DUMMYFUNCTION("XLOOKUP($C178,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8" s="8"/>
      <c r="N178" s="8"/>
      <c r="O178" s="8"/>
      <c r="P178" s="8"/>
      <c r="Q178" s="8"/>
      <c r="R178" s="8"/>
      <c r="S178" s="8"/>
      <c r="T178" s="8"/>
      <c r="U178" s="8"/>
    </row>
    <row r="179">
      <c r="A179" s="10" t="s">
        <v>286</v>
      </c>
      <c r="B179" s="10" t="s">
        <v>287</v>
      </c>
      <c r="C179" s="12" t="s">
        <v>618</v>
      </c>
      <c r="D179" s="13" t="s">
        <v>620</v>
      </c>
      <c r="E179" s="16">
        <f t="array" ref="E179">XLOOKUP(C179,'DATA TK PANEN'!D:D,'DATA TK PANEN'!H:H)</f>
        <v>0.63</v>
      </c>
      <c r="F179" s="10" t="str">
        <f>IFERROR(__xludf.DUMMYFUNCTION("XLOOKUP(C179,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79" s="10" t="str">
        <f>IFERROR(__xludf.DUMMYFUNCTION("XLOOKUP($C179,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79" s="10" t="str">
        <f>IFERROR(__xludf.DUMMYFUNCTION("XLOOKUP($C179,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79" s="18"/>
      <c r="J179" s="18"/>
      <c r="K179" s="10">
        <f>IFERROR(__xludf.DUMMYFUNCTION("XLOOKUP($C179,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79" s="10">
        <f>IFERROR(__xludf.DUMMYFUNCTION("XLOOKUP($C179,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79" s="8"/>
      <c r="N179" s="8"/>
      <c r="O179" s="8"/>
      <c r="P179" s="8"/>
      <c r="Q179" s="8"/>
      <c r="R179" s="8"/>
      <c r="S179" s="8"/>
      <c r="T179" s="8"/>
      <c r="U179" s="8"/>
    </row>
    <row r="180">
      <c r="A180" s="10" t="s">
        <v>286</v>
      </c>
      <c r="B180" s="10" t="s">
        <v>287</v>
      </c>
      <c r="C180" s="12" t="s">
        <v>621</v>
      </c>
      <c r="D180" s="13" t="s">
        <v>622</v>
      </c>
      <c r="E180" s="16">
        <f t="array" ref="E180">XLOOKUP(C180,'DATA TK PANEN'!D:D,'DATA TK PANEN'!H:H)</f>
        <v>495.55</v>
      </c>
      <c r="F180" s="10" t="str">
        <f>IFERROR(__xludf.DUMMYFUNCTION("XLOOKUP(C180,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80" s="10" t="str">
        <f>IFERROR(__xludf.DUMMYFUNCTION("XLOOKUP($C180,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80" s="10" t="str">
        <f>IFERROR(__xludf.DUMMYFUNCTION("XLOOKUP($C180,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80" s="18"/>
      <c r="J180" s="18"/>
      <c r="K180" s="10">
        <f>IFERROR(__xludf.DUMMYFUNCTION("XLOOKUP($C180,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0" s="10">
        <f>IFERROR(__xludf.DUMMYFUNCTION("XLOOKUP($C180,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0" s="8"/>
      <c r="N180" s="8"/>
      <c r="O180" s="8"/>
      <c r="P180" s="8"/>
      <c r="Q180" s="8"/>
      <c r="R180" s="8"/>
      <c r="S180" s="8"/>
      <c r="T180" s="8"/>
      <c r="U180" s="8"/>
    </row>
    <row r="181">
      <c r="A181" s="10" t="s">
        <v>286</v>
      </c>
      <c r="B181" s="10" t="s">
        <v>287</v>
      </c>
      <c r="C181" s="12" t="s">
        <v>625</v>
      </c>
      <c r="D181" s="13" t="s">
        <v>626</v>
      </c>
      <c r="E181" s="16">
        <f t="array" ref="E181">XLOOKUP(C181,'DATA TK PANEN'!D:D,'DATA TK PANEN'!H:H)</f>
        <v>16.8</v>
      </c>
      <c r="F181" s="10" t="str">
        <f>IFERROR(__xludf.DUMMYFUNCTION("XLOOKUP(C181,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81" s="10" t="str">
        <f>IFERROR(__xludf.DUMMYFUNCTION("XLOOKUP($C181,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81" s="10" t="str">
        <f>IFERROR(__xludf.DUMMYFUNCTION("XLOOKUP($C181,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81" s="18"/>
      <c r="J181" s="18"/>
      <c r="K181" s="10">
        <f>IFERROR(__xludf.DUMMYFUNCTION("XLOOKUP($C181,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1" s="10">
        <f>IFERROR(__xludf.DUMMYFUNCTION("XLOOKUP($C181,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1" s="8"/>
      <c r="N181" s="8"/>
      <c r="O181" s="8"/>
      <c r="P181" s="8"/>
      <c r="Q181" s="8"/>
      <c r="R181" s="8"/>
      <c r="S181" s="8"/>
      <c r="T181" s="8"/>
      <c r="U181" s="8"/>
    </row>
    <row r="182">
      <c r="A182" s="10" t="s">
        <v>286</v>
      </c>
      <c r="B182" s="10" t="s">
        <v>287</v>
      </c>
      <c r="C182" s="12" t="s">
        <v>628</v>
      </c>
      <c r="D182" s="13" t="s">
        <v>629</v>
      </c>
      <c r="E182" s="16">
        <f t="array" ref="E182">XLOOKUP(C182,'DATA TK PANEN'!D:D,'DATA TK PANEN'!H:H)</f>
        <v>250</v>
      </c>
      <c r="F182" s="10" t="str">
        <f>IFERROR(__xludf.DUMMYFUNCTION("XLOOKUP(C182,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182" s="10" t="str">
        <f>IFERROR(__xludf.DUMMYFUNCTION("XLOOKUP($C182,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182" s="10" t="str">
        <f>IFERROR(__xludf.DUMMYFUNCTION("XLOOKUP($C182,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182" s="18"/>
      <c r="J182" s="18"/>
      <c r="K182" s="10">
        <f>IFERROR(__xludf.DUMMYFUNCTION("XLOOKUP($C182,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2" s="10">
        <f>IFERROR(__xludf.DUMMYFUNCTION("XLOOKUP($C182,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2" s="8"/>
      <c r="N182" s="8"/>
      <c r="O182" s="8"/>
      <c r="P182" s="8"/>
      <c r="Q182" s="8"/>
      <c r="R182" s="8"/>
      <c r="S182" s="8"/>
      <c r="T182" s="8"/>
      <c r="U182" s="8"/>
    </row>
    <row r="183">
      <c r="A183" s="10" t="s">
        <v>286</v>
      </c>
      <c r="B183" s="10" t="s">
        <v>287</v>
      </c>
      <c r="C183" s="12" t="s">
        <v>631</v>
      </c>
      <c r="D183" s="13" t="s">
        <v>633</v>
      </c>
      <c r="E183" s="16">
        <f t="array" ref="E183">XLOOKUP(C183,'DATA TK PANEN'!D:D,'DATA TK PANEN'!H:H)</f>
        <v>574</v>
      </c>
      <c r="F183" s="10">
        <f>IFERROR(__xludf.DUMMYFUNCTION("XLOOKUP(C183,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(AUTO)'!S6:S""))"),33.0)</f>
        <v>33</v>
      </c>
      <c r="G183" s="10">
        <f>IFERROR(__xludf.DUMMYFUNCTION("XLOOKUP($C183,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183" s="10">
        <f>IFERROR(__xludf.DUMMYFUNCTION("XLOOKUP($C183,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(AUTO)'!V6:V""))"),35.0)</f>
        <v>35</v>
      </c>
      <c r="I183" s="18"/>
      <c r="J183" s="18"/>
      <c r="K183" s="10">
        <f>IFERROR(__xludf.DUMMYFUNCTION("XLOOKUP($C183,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3" s="10">
        <f>IFERROR(__xludf.DUMMYFUNCTION("XLOOKUP($C183,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3" s="8"/>
      <c r="N183" s="8"/>
      <c r="O183" s="8"/>
      <c r="P183" s="8"/>
      <c r="Q183" s="8"/>
      <c r="R183" s="8"/>
      <c r="S183" s="8"/>
      <c r="T183" s="8"/>
      <c r="U183" s="8"/>
    </row>
    <row r="184">
      <c r="A184" s="10" t="s">
        <v>286</v>
      </c>
      <c r="B184" s="10" t="s">
        <v>287</v>
      </c>
      <c r="C184" s="12" t="s">
        <v>635</v>
      </c>
      <c r="D184" s="13" t="s">
        <v>636</v>
      </c>
      <c r="E184" s="16">
        <f t="array" ref="E184">XLOOKUP(C184,'DATA TK PANEN'!D:D,'DATA TK PANEN'!H:H)</f>
        <v>107</v>
      </c>
      <c r="F184" s="10">
        <f>IFERROR(__xludf.DUMMYFUNCTION("XLOOKUP(C184,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84" s="10">
        <f>IFERROR(__xludf.DUMMYFUNCTION("XLOOKUP($C184,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184" s="10">
        <f>IFERROR(__xludf.DUMMYFUNCTION("XLOOKUP($C184,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184" s="18"/>
      <c r="J184" s="18"/>
      <c r="K184" s="10">
        <f>IFERROR(__xludf.DUMMYFUNCTION("XLOOKUP($C184,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4" s="10">
        <f>IFERROR(__xludf.DUMMYFUNCTION("XLOOKUP($C184,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4" s="8"/>
      <c r="N184" s="8"/>
      <c r="O184" s="8"/>
      <c r="P184" s="8"/>
      <c r="Q184" s="8"/>
      <c r="R184" s="8"/>
      <c r="S184" s="8"/>
      <c r="T184" s="8"/>
      <c r="U184" s="8"/>
    </row>
    <row r="185">
      <c r="A185" s="10" t="s">
        <v>286</v>
      </c>
      <c r="B185" s="10" t="s">
        <v>287</v>
      </c>
      <c r="C185" s="12" t="s">
        <v>637</v>
      </c>
      <c r="D185" s="13" t="s">
        <v>639</v>
      </c>
      <c r="E185" s="16">
        <f t="array" ref="E185">XLOOKUP(C185,'DATA TK PANEN'!D:D,'DATA TK PANEN'!H:H)</f>
        <v>31.6</v>
      </c>
      <c r="F185" s="10">
        <f>IFERROR(__xludf.DUMMYFUNCTION("XLOOKUP(C185,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185" s="10">
        <f>IFERROR(__xludf.DUMMYFUNCTION("XLOOKUP($C185,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(AUTO)'!T6:T""))"),1.0)</f>
        <v>1</v>
      </c>
      <c r="H185" s="10">
        <f>IFERROR(__xludf.DUMMYFUNCTION("XLOOKUP($C185,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185" s="18"/>
      <c r="J185" s="18"/>
      <c r="K185" s="10">
        <f>IFERROR(__xludf.DUMMYFUNCTION("XLOOKUP($C185,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5" s="10">
        <f>IFERROR(__xludf.DUMMYFUNCTION("XLOOKUP($C185,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5" s="8"/>
      <c r="N185" s="8"/>
      <c r="O185" s="8"/>
      <c r="P185" s="8"/>
      <c r="Q185" s="8"/>
      <c r="R185" s="8"/>
      <c r="S185" s="8"/>
      <c r="T185" s="8"/>
      <c r="U185" s="8"/>
    </row>
    <row r="186">
      <c r="A186" s="10" t="s">
        <v>286</v>
      </c>
      <c r="B186" s="10" t="s">
        <v>641</v>
      </c>
      <c r="C186" s="12" t="s">
        <v>642</v>
      </c>
      <c r="D186" s="13" t="s">
        <v>643</v>
      </c>
      <c r="E186" s="16">
        <f t="array" ref="E186">XLOOKUP(C186,'DATA TK PANEN'!D:D,'DATA TK PANEN'!H:H)</f>
        <v>398.99</v>
      </c>
      <c r="F186" s="10">
        <f>IFERROR(__xludf.DUMMYFUNCTION("XLOOKUP(C186,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(AUTO)'!S6:S""))"),114.0)</f>
        <v>114</v>
      </c>
      <c r="G186" s="10">
        <f>IFERROR(__xludf.DUMMYFUNCTION("XLOOKUP($C186,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(AUTO)'!T6:T""))"),23.0)</f>
        <v>23</v>
      </c>
      <c r="H186" s="10">
        <f>IFERROR(__xludf.DUMMYFUNCTION("XLOOKUP($C186,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(AUTO)'!V6:V""))"),23.0)</f>
        <v>23</v>
      </c>
      <c r="I186" s="18"/>
      <c r="J186" s="18"/>
      <c r="K186" s="10">
        <f>IFERROR(__xludf.DUMMYFUNCTION("XLOOKUP($C186,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(AUTO)'!W6:W""))"),9.0)</f>
        <v>9</v>
      </c>
      <c r="L186" s="10">
        <f>IFERROR(__xludf.DUMMYFUNCTION("XLOOKUP($C186,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186" s="8"/>
      <c r="N186" s="8"/>
      <c r="O186" s="8"/>
      <c r="P186" s="8"/>
      <c r="Q186" s="8"/>
      <c r="R186" s="8"/>
      <c r="S186" s="8"/>
      <c r="T186" s="8"/>
      <c r="U186" s="8"/>
    </row>
    <row r="187">
      <c r="A187" s="10" t="s">
        <v>286</v>
      </c>
      <c r="B187" s="10" t="s">
        <v>641</v>
      </c>
      <c r="C187" s="12" t="s">
        <v>495</v>
      </c>
      <c r="D187" s="13" t="s">
        <v>645</v>
      </c>
      <c r="E187" s="16">
        <f t="array" ref="E187">XLOOKUP(C187,'DATA TK PANEN'!D:D,'DATA TK PANEN'!H:H)</f>
        <v>398.99</v>
      </c>
      <c r="F187" s="10">
        <f>IFERROR(__xludf.DUMMYFUNCTION("XLOOKUP(C187,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(AUTO)'!S6:S""))"),24.0)</f>
        <v>24</v>
      </c>
      <c r="G187" s="10">
        <f>IFERROR(__xludf.DUMMYFUNCTION("XLOOKUP($C187,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(AUTO)'!T6:T""))"),13.0)</f>
        <v>13</v>
      </c>
      <c r="H187" s="10">
        <f>IFERROR(__xludf.DUMMYFUNCTION("XLOOKUP($C187,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(AUTO)'!V6:V""))"),13.0)</f>
        <v>13</v>
      </c>
      <c r="I187" s="18"/>
      <c r="J187" s="18"/>
      <c r="K187" s="10">
        <f>IFERROR(__xludf.DUMMYFUNCTION("XLOOKUP($C187,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7" s="10">
        <f>IFERROR(__xludf.DUMMYFUNCTION("XLOOKUP($C187,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(AUTO)'!X6:X""))"),11.0)</f>
        <v>11</v>
      </c>
      <c r="M187" s="8"/>
      <c r="N187" s="8"/>
      <c r="O187" s="8"/>
      <c r="P187" s="8"/>
      <c r="Q187" s="8"/>
      <c r="R187" s="8"/>
      <c r="S187" s="8"/>
      <c r="T187" s="8"/>
      <c r="U187" s="8"/>
    </row>
    <row r="188">
      <c r="A188" s="10" t="s">
        <v>286</v>
      </c>
      <c r="B188" s="10" t="s">
        <v>641</v>
      </c>
      <c r="C188" s="12" t="s">
        <v>647</v>
      </c>
      <c r="D188" s="13" t="s">
        <v>648</v>
      </c>
      <c r="E188" s="16">
        <f t="array" ref="E188">XLOOKUP(C188,'DATA TK PANEN'!D:D,'DATA TK PANEN'!H:H)</f>
        <v>27.84</v>
      </c>
      <c r="F188" s="10">
        <f>IFERROR(__xludf.DUMMYFUNCTION("XLOOKUP(C188,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188" s="10">
        <f>IFERROR(__xludf.DUMMYFUNCTION("XLOOKUP($C188,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88" s="10">
        <f>IFERROR(__xludf.DUMMYFUNCTION("XLOOKUP($C188,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188" s="18"/>
      <c r="J188" s="18"/>
      <c r="K188" s="10">
        <f>IFERROR(__xludf.DUMMYFUNCTION("XLOOKUP($C188,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8" s="10">
        <f>IFERROR(__xludf.DUMMYFUNCTION("XLOOKUP($C188,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8" s="8"/>
      <c r="N188" s="8"/>
      <c r="O188" s="8"/>
      <c r="P188" s="8"/>
      <c r="Q188" s="8"/>
      <c r="R188" s="8"/>
      <c r="S188" s="8"/>
      <c r="T188" s="8"/>
      <c r="U188" s="8"/>
    </row>
    <row r="189">
      <c r="A189" s="10" t="s">
        <v>286</v>
      </c>
      <c r="B189" s="10" t="s">
        <v>641</v>
      </c>
      <c r="C189" s="12" t="s">
        <v>650</v>
      </c>
      <c r="D189" s="13" t="s">
        <v>651</v>
      </c>
      <c r="E189" s="16">
        <f t="array" ref="E189">XLOOKUP(C189,'DATA TK PANEN'!D:D,'DATA TK PANEN'!H:H)</f>
        <v>67.01</v>
      </c>
      <c r="F189" s="10">
        <f>IFERROR(__xludf.DUMMYFUNCTION("XLOOKUP(C189,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89" s="10">
        <f>IFERROR(__xludf.DUMMYFUNCTION("XLOOKUP($C189,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189" s="10">
        <f>IFERROR(__xludf.DUMMYFUNCTION("XLOOKUP($C189,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189" s="18"/>
      <c r="J189" s="18"/>
      <c r="K189" s="10">
        <f>IFERROR(__xludf.DUMMYFUNCTION("XLOOKUP($C189,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89" s="10">
        <f>IFERROR(__xludf.DUMMYFUNCTION("XLOOKUP($C189,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89" s="8"/>
      <c r="N189" s="8"/>
      <c r="O189" s="8"/>
      <c r="P189" s="8"/>
      <c r="Q189" s="8"/>
      <c r="R189" s="8"/>
      <c r="S189" s="8"/>
      <c r="T189" s="8"/>
      <c r="U189" s="8"/>
    </row>
    <row r="190">
      <c r="A190" s="10" t="s">
        <v>286</v>
      </c>
      <c r="B190" s="10" t="s">
        <v>641</v>
      </c>
      <c r="C190" s="12" t="s">
        <v>653</v>
      </c>
      <c r="D190" s="13" t="s">
        <v>655</v>
      </c>
      <c r="E190" s="16">
        <f t="array" ref="E190">XLOOKUP(C190,'DATA TK PANEN'!D:D,'DATA TK PANEN'!H:H)</f>
        <v>48.44</v>
      </c>
      <c r="F190" s="10">
        <f>IFERROR(__xludf.DUMMYFUNCTION("XLOOKUP(C190,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90" s="10">
        <f>IFERROR(__xludf.DUMMYFUNCTION("XLOOKUP($C190,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190" s="10">
        <f>IFERROR(__xludf.DUMMYFUNCTION("XLOOKUP($C190,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190" s="18"/>
      <c r="J190" s="18"/>
      <c r="K190" s="10">
        <f>IFERROR(__xludf.DUMMYFUNCTION("XLOOKUP($C190,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0" s="10">
        <f>IFERROR(__xludf.DUMMYFUNCTION("XLOOKUP($C190,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0" s="8"/>
      <c r="N190" s="8"/>
      <c r="O190" s="8"/>
      <c r="P190" s="8"/>
      <c r="Q190" s="8"/>
      <c r="R190" s="8"/>
      <c r="S190" s="8"/>
      <c r="T190" s="8"/>
      <c r="U190" s="8"/>
    </row>
    <row r="191">
      <c r="A191" s="10" t="s">
        <v>286</v>
      </c>
      <c r="B191" s="10" t="s">
        <v>641</v>
      </c>
      <c r="C191" s="12" t="s">
        <v>658</v>
      </c>
      <c r="D191" s="13" t="s">
        <v>659</v>
      </c>
      <c r="E191" s="16">
        <f t="array" ref="E191">XLOOKUP(C191,'DATA TK PANEN'!D:D,'DATA TK PANEN'!H:H)</f>
        <v>153.9</v>
      </c>
      <c r="F191" s="10">
        <f>IFERROR(__xludf.DUMMYFUNCTION("XLOOKUP(C191,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91" s="10">
        <f>IFERROR(__xludf.DUMMYFUNCTION("XLOOKUP($C191,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191" s="10">
        <f>IFERROR(__xludf.DUMMYFUNCTION("XLOOKUP($C191,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91" s="18"/>
      <c r="J191" s="18"/>
      <c r="K191" s="10">
        <f>IFERROR(__xludf.DUMMYFUNCTION("XLOOKUP($C191,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1" s="10">
        <f>IFERROR(__xludf.DUMMYFUNCTION("XLOOKUP($C191,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1" s="8"/>
      <c r="N191" s="8"/>
      <c r="O191" s="8"/>
      <c r="P191" s="8"/>
      <c r="Q191" s="8"/>
      <c r="R191" s="8"/>
      <c r="S191" s="8"/>
      <c r="T191" s="8"/>
      <c r="U191" s="8"/>
    </row>
    <row r="192">
      <c r="A192" s="10" t="s">
        <v>286</v>
      </c>
      <c r="B192" s="10" t="s">
        <v>641</v>
      </c>
      <c r="C192" s="12" t="s">
        <v>661</v>
      </c>
      <c r="D192" s="13" t="s">
        <v>662</v>
      </c>
      <c r="E192" s="16">
        <f t="array" ref="E192">XLOOKUP(C192,'DATA TK PANEN'!D:D,'DATA TK PANEN'!H:H)</f>
        <v>61.2</v>
      </c>
      <c r="F192" s="10">
        <f>IFERROR(__xludf.DUMMYFUNCTION("XLOOKUP(C192,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192" s="10">
        <f>IFERROR(__xludf.DUMMYFUNCTION("XLOOKUP($C192,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192" s="10">
        <f>IFERROR(__xludf.DUMMYFUNCTION("XLOOKUP($C192,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192" s="18"/>
      <c r="J192" s="18"/>
      <c r="K192" s="10">
        <f>IFERROR(__xludf.DUMMYFUNCTION("XLOOKUP($C192,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2" s="10">
        <f>IFERROR(__xludf.DUMMYFUNCTION("XLOOKUP($C192,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2" s="8"/>
      <c r="N192" s="8"/>
      <c r="O192" s="8"/>
      <c r="P192" s="8"/>
      <c r="Q192" s="8"/>
      <c r="R192" s="8"/>
      <c r="S192" s="8"/>
      <c r="T192" s="8"/>
      <c r="U192" s="8"/>
    </row>
    <row r="193">
      <c r="A193" s="10" t="s">
        <v>286</v>
      </c>
      <c r="B193" s="10" t="s">
        <v>641</v>
      </c>
      <c r="C193" s="12" t="s">
        <v>665</v>
      </c>
      <c r="D193" s="13" t="s">
        <v>666</v>
      </c>
      <c r="E193" s="16">
        <f t="array" ref="E193">XLOOKUP(C193,'DATA TK PANEN'!D:D,'DATA TK PANEN'!H:H)</f>
        <v>162.08</v>
      </c>
      <c r="F193" s="10">
        <f>IFERROR(__xludf.DUMMYFUNCTION("XLOOKUP(C193,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193" s="10">
        <f>IFERROR(__xludf.DUMMYFUNCTION("XLOOKUP($C193,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3" s="10">
        <f>IFERROR(__xludf.DUMMYFUNCTION("XLOOKUP($C193,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193" s="18"/>
      <c r="J193" s="18"/>
      <c r="K193" s="10">
        <f>IFERROR(__xludf.DUMMYFUNCTION("XLOOKUP($C193,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3" s="10">
        <f>IFERROR(__xludf.DUMMYFUNCTION("XLOOKUP($C193,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3" s="8"/>
      <c r="N193" s="8"/>
      <c r="O193" s="8"/>
      <c r="P193" s="8"/>
      <c r="Q193" s="8"/>
      <c r="R193" s="8"/>
      <c r="S193" s="8"/>
      <c r="T193" s="8"/>
      <c r="U193" s="8"/>
    </row>
    <row r="194">
      <c r="A194" s="10" t="s">
        <v>286</v>
      </c>
      <c r="B194" s="10" t="s">
        <v>641</v>
      </c>
      <c r="C194" s="12" t="s">
        <v>670</v>
      </c>
      <c r="D194" s="13" t="s">
        <v>671</v>
      </c>
      <c r="E194" s="16">
        <f t="array" ref="E194">XLOOKUP(C194,'DATA TK PANEN'!D:D,'DATA TK PANEN'!H:H)</f>
        <v>53.25</v>
      </c>
      <c r="F194" s="10">
        <f>IFERROR(__xludf.DUMMYFUNCTION("XLOOKUP(C194,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(AUTO)'!S6:S""))"),10.0)</f>
        <v>10</v>
      </c>
      <c r="G194" s="10">
        <f>IFERROR(__xludf.DUMMYFUNCTION("XLOOKUP($C194,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194" s="10">
        <f>IFERROR(__xludf.DUMMYFUNCTION("XLOOKUP($C194,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194" s="18"/>
      <c r="J194" s="18"/>
      <c r="K194" s="10">
        <f>IFERROR(__xludf.DUMMYFUNCTION("XLOOKUP($C194,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4" s="10">
        <f>IFERROR(__xludf.DUMMYFUNCTION("XLOOKUP($C194,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194" s="8"/>
      <c r="N194" s="8"/>
      <c r="O194" s="8"/>
      <c r="P194" s="8"/>
      <c r="Q194" s="8"/>
      <c r="R194" s="8"/>
      <c r="S194" s="8"/>
      <c r="T194" s="8"/>
      <c r="U194" s="8"/>
    </row>
    <row r="195">
      <c r="A195" s="10" t="s">
        <v>286</v>
      </c>
      <c r="B195" s="10" t="s">
        <v>641</v>
      </c>
      <c r="C195" s="12" t="s">
        <v>674</v>
      </c>
      <c r="D195" s="13" t="s">
        <v>675</v>
      </c>
      <c r="E195" s="16">
        <f t="array" ref="E195">XLOOKUP(C195,'DATA TK PANEN'!D:D,'DATA TK PANEN'!H:H)</f>
        <v>54</v>
      </c>
      <c r="F195" s="10">
        <f>IFERROR(__xludf.DUMMYFUNCTION("XLOOKUP(C195,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195" s="10">
        <f>IFERROR(__xludf.DUMMYFUNCTION("XLOOKUP($C195,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5" s="10">
        <f>IFERROR(__xludf.DUMMYFUNCTION("XLOOKUP($C195,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195" s="18"/>
      <c r="J195" s="18"/>
      <c r="K195" s="10">
        <f>IFERROR(__xludf.DUMMYFUNCTION("XLOOKUP($C195,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5" s="10">
        <f>IFERROR(__xludf.DUMMYFUNCTION("XLOOKUP($C195,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5" s="8"/>
      <c r="N195" s="8"/>
      <c r="O195" s="8"/>
      <c r="P195" s="8"/>
      <c r="Q195" s="8"/>
      <c r="R195" s="8"/>
      <c r="S195" s="8"/>
      <c r="T195" s="8"/>
      <c r="U195" s="8"/>
    </row>
    <row r="196">
      <c r="A196" s="10" t="s">
        <v>286</v>
      </c>
      <c r="B196" s="10" t="s">
        <v>641</v>
      </c>
      <c r="C196" s="12" t="s">
        <v>678</v>
      </c>
      <c r="D196" s="13" t="s">
        <v>679</v>
      </c>
      <c r="E196" s="16">
        <f t="array" ref="E196">XLOOKUP(C196,'DATA TK PANEN'!D:D,'DATA TK PANEN'!H:H)</f>
        <v>0</v>
      </c>
      <c r="F196" s="10">
        <f>IFERROR(__xludf.DUMMYFUNCTION("XLOOKUP(C196,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196" s="10">
        <f>IFERROR(__xludf.DUMMYFUNCTION("XLOOKUP($C196,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6" s="10">
        <f>IFERROR(__xludf.DUMMYFUNCTION("XLOOKUP($C196,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196" s="18"/>
      <c r="J196" s="18"/>
      <c r="K196" s="10">
        <f>IFERROR(__xludf.DUMMYFUNCTION("XLOOKUP($C196,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6" s="10">
        <f>IFERROR(__xludf.DUMMYFUNCTION("XLOOKUP($C196,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6" s="8"/>
      <c r="N196" s="8"/>
      <c r="O196" s="8"/>
      <c r="P196" s="8"/>
      <c r="Q196" s="8"/>
      <c r="R196" s="8"/>
      <c r="S196" s="8"/>
      <c r="T196" s="8"/>
      <c r="U196" s="8"/>
    </row>
    <row r="197">
      <c r="A197" s="10" t="s">
        <v>286</v>
      </c>
      <c r="B197" s="10" t="s">
        <v>641</v>
      </c>
      <c r="C197" s="12" t="s">
        <v>682</v>
      </c>
      <c r="D197" s="13" t="s">
        <v>683</v>
      </c>
      <c r="E197" s="16">
        <f t="array" ref="E197">XLOOKUP(C197,'DATA TK PANEN'!D:D,'DATA TK PANEN'!H:H)</f>
        <v>33.39</v>
      </c>
      <c r="F197" s="10">
        <f>IFERROR(__xludf.DUMMYFUNCTION("XLOOKUP(C197,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197" s="10">
        <f>IFERROR(__xludf.DUMMYFUNCTION("XLOOKUP($C197,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7" s="10">
        <f>IFERROR(__xludf.DUMMYFUNCTION("XLOOKUP($C197,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197" s="18"/>
      <c r="J197" s="18"/>
      <c r="K197" s="10">
        <f>IFERROR(__xludf.DUMMYFUNCTION("XLOOKUP($C197,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7" s="10">
        <f>IFERROR(__xludf.DUMMYFUNCTION("XLOOKUP($C197,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7" s="8"/>
      <c r="N197" s="8"/>
      <c r="O197" s="8"/>
      <c r="P197" s="8"/>
      <c r="Q197" s="8"/>
      <c r="R197" s="8"/>
      <c r="S197" s="8"/>
      <c r="T197" s="8"/>
      <c r="U197" s="8"/>
    </row>
    <row r="198">
      <c r="A198" s="10" t="s">
        <v>286</v>
      </c>
      <c r="B198" s="10" t="s">
        <v>641</v>
      </c>
      <c r="C198" s="12" t="s">
        <v>687</v>
      </c>
      <c r="D198" s="13" t="s">
        <v>688</v>
      </c>
      <c r="E198" s="16">
        <f t="array" ref="E198">XLOOKUP(C198,'DATA TK PANEN'!D:D,'DATA TK PANEN'!H:H)</f>
        <v>33.39</v>
      </c>
      <c r="F198" s="10">
        <f>IFERROR(__xludf.DUMMYFUNCTION("XLOOKUP(C198,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198" s="10">
        <f>IFERROR(__xludf.DUMMYFUNCTION("XLOOKUP($C198,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8" s="10">
        <f>IFERROR(__xludf.DUMMYFUNCTION("XLOOKUP($C198,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198" s="18"/>
      <c r="J198" s="18"/>
      <c r="K198" s="10">
        <f>IFERROR(__xludf.DUMMYFUNCTION("XLOOKUP($C198,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8" s="10">
        <f>IFERROR(__xludf.DUMMYFUNCTION("XLOOKUP($C198,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8" s="8"/>
      <c r="N198" s="8"/>
      <c r="O198" s="8"/>
      <c r="P198" s="8"/>
      <c r="Q198" s="8"/>
      <c r="R198" s="8"/>
      <c r="S198" s="8"/>
      <c r="T198" s="8"/>
      <c r="U198" s="8"/>
    </row>
    <row r="199">
      <c r="A199" s="10" t="s">
        <v>286</v>
      </c>
      <c r="B199" s="10" t="s">
        <v>641</v>
      </c>
      <c r="C199" s="12" t="s">
        <v>691</v>
      </c>
      <c r="D199" s="13" t="s">
        <v>692</v>
      </c>
      <c r="E199" s="16">
        <f t="array" ref="E199">XLOOKUP(C199,'DATA TK PANEN'!D:D,'DATA TK PANEN'!H:H)</f>
        <v>0</v>
      </c>
      <c r="F199" s="10">
        <f>IFERROR(__xludf.DUMMYFUNCTION("XLOOKUP(C199,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199" s="10">
        <f>IFERROR(__xludf.DUMMYFUNCTION("XLOOKUP($C199,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199" s="10">
        <f>IFERROR(__xludf.DUMMYFUNCTION("XLOOKUP($C199,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199" s="18"/>
      <c r="J199" s="18"/>
      <c r="K199" s="10">
        <f>IFERROR(__xludf.DUMMYFUNCTION("XLOOKUP($C199,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199" s="10">
        <f>IFERROR(__xludf.DUMMYFUNCTION("XLOOKUP($C199,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10" t="s">
        <v>286</v>
      </c>
      <c r="B200" s="10" t="s">
        <v>641</v>
      </c>
      <c r="C200" s="12" t="s">
        <v>694</v>
      </c>
      <c r="D200" s="13" t="s">
        <v>696</v>
      </c>
      <c r="E200" s="16">
        <f t="array" ref="E200">XLOOKUP(C200,'DATA TK PANEN'!D:D,'DATA TK PANEN'!H:H)</f>
        <v>1583.69</v>
      </c>
      <c r="F200" s="10">
        <f>IFERROR(__xludf.DUMMYFUNCTION("XLOOKUP(C200,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00" s="10">
        <f>IFERROR(__xludf.DUMMYFUNCTION("XLOOKUP($C200,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0" s="10">
        <f>IFERROR(__xludf.DUMMYFUNCTION("XLOOKUP($C200,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00" s="18"/>
      <c r="J200" s="18"/>
      <c r="K200" s="10">
        <f>IFERROR(__xludf.DUMMYFUNCTION("XLOOKUP($C200,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0" s="10">
        <f>IFERROR(__xludf.DUMMYFUNCTION("XLOOKUP($C200,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0" s="8"/>
      <c r="N200" s="8"/>
      <c r="O200" s="8"/>
      <c r="P200" s="8"/>
      <c r="Q200" s="8"/>
      <c r="R200" s="8"/>
      <c r="S200" s="8"/>
      <c r="T200" s="8"/>
      <c r="U200" s="8"/>
    </row>
    <row r="201">
      <c r="A201" s="10" t="s">
        <v>286</v>
      </c>
      <c r="B201" s="10" t="s">
        <v>641</v>
      </c>
      <c r="C201" s="12" t="s">
        <v>698</v>
      </c>
      <c r="D201" s="13" t="s">
        <v>700</v>
      </c>
      <c r="E201" s="16">
        <f t="array" ref="E201">XLOOKUP(C201,'DATA TK PANEN'!D:D,'DATA TK PANEN'!H:H)</f>
        <v>386.49</v>
      </c>
      <c r="F201" s="10">
        <f>IFERROR(__xludf.DUMMYFUNCTION("XLOOKUP(C201,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201" s="10">
        <f>IFERROR(__xludf.DUMMYFUNCTION("XLOOKUP($C201,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(AUTO)'!T6:T""))"),40.0)</f>
        <v>40</v>
      </c>
      <c r="H201" s="10">
        <f>IFERROR(__xludf.DUMMYFUNCTION("XLOOKUP($C201,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(AUTO)'!V6:V""))"),13.0)</f>
        <v>13</v>
      </c>
      <c r="I201" s="18"/>
      <c r="J201" s="18"/>
      <c r="K201" s="10">
        <f>IFERROR(__xludf.DUMMYFUNCTION("XLOOKUP($C201,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1" s="10">
        <f>IFERROR(__xludf.DUMMYFUNCTION("XLOOKUP($C201,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(AUTO)'!X6:X""))"),7.0)</f>
        <v>7</v>
      </c>
      <c r="M201" s="8"/>
      <c r="N201" s="8"/>
      <c r="O201" s="8"/>
      <c r="P201" s="8"/>
      <c r="Q201" s="8"/>
      <c r="R201" s="8"/>
      <c r="S201" s="8"/>
      <c r="T201" s="8"/>
      <c r="U201" s="8"/>
    </row>
    <row r="202">
      <c r="A202" s="10" t="s">
        <v>286</v>
      </c>
      <c r="B202" s="10" t="s">
        <v>641</v>
      </c>
      <c r="C202" s="12" t="s">
        <v>702</v>
      </c>
      <c r="D202" s="13" t="s">
        <v>704</v>
      </c>
      <c r="E202" s="16">
        <f t="array" ref="E202">XLOOKUP(C202,'DATA TK PANEN'!D:D,'DATA TK PANEN'!H:H)</f>
        <v>83</v>
      </c>
      <c r="F202" s="10">
        <f>IFERROR(__xludf.DUMMYFUNCTION("XLOOKUP(C202,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202" s="10">
        <f>IFERROR(__xludf.DUMMYFUNCTION("XLOOKUP($C202,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2" s="10">
        <f>IFERROR(__xludf.DUMMYFUNCTION("XLOOKUP($C202,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202" s="18"/>
      <c r="J202" s="18"/>
      <c r="K202" s="10">
        <f>IFERROR(__xludf.DUMMYFUNCTION("XLOOKUP($C202,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2" s="10">
        <f>IFERROR(__xludf.DUMMYFUNCTION("XLOOKUP($C202,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2" s="8"/>
      <c r="N202" s="8"/>
      <c r="O202" s="8"/>
      <c r="P202" s="8"/>
      <c r="Q202" s="8"/>
      <c r="R202" s="8"/>
      <c r="S202" s="8"/>
      <c r="T202" s="8"/>
      <c r="U202" s="8"/>
    </row>
    <row r="203">
      <c r="A203" s="10" t="s">
        <v>286</v>
      </c>
      <c r="B203" s="10" t="s">
        <v>641</v>
      </c>
      <c r="C203" s="12" t="s">
        <v>706</v>
      </c>
      <c r="D203" s="13" t="s">
        <v>707</v>
      </c>
      <c r="E203" s="16">
        <f t="array" ref="E203">XLOOKUP(C203,'DATA TK PANEN'!D:D,'DATA TK PANEN'!H:H)</f>
        <v>44.5</v>
      </c>
      <c r="F203" s="10">
        <f>IFERROR(__xludf.DUMMYFUNCTION("XLOOKUP(C203,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203" s="10">
        <f>IFERROR(__xludf.DUMMYFUNCTION("XLOOKUP($C203,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203" s="10">
        <f>IFERROR(__xludf.DUMMYFUNCTION("XLOOKUP($C203,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203" s="18"/>
      <c r="J203" s="18"/>
      <c r="K203" s="10">
        <f>IFERROR(__xludf.DUMMYFUNCTION("XLOOKUP($C203,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3" s="10">
        <f>IFERROR(__xludf.DUMMYFUNCTION("XLOOKUP($C203,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3" s="8"/>
      <c r="N203" s="8"/>
      <c r="O203" s="8"/>
      <c r="P203" s="8"/>
      <c r="Q203" s="8"/>
      <c r="R203" s="8"/>
      <c r="S203" s="8"/>
      <c r="T203" s="8"/>
      <c r="U203" s="8"/>
    </row>
    <row r="204">
      <c r="A204" s="10" t="s">
        <v>286</v>
      </c>
      <c r="B204" s="10" t="s">
        <v>641</v>
      </c>
      <c r="C204" s="12" t="s">
        <v>709</v>
      </c>
      <c r="D204" s="13" t="s">
        <v>710</v>
      </c>
      <c r="E204" s="16">
        <f t="array" ref="E204">XLOOKUP(C204,'DATA TK PANEN'!D:D,'DATA TK PANEN'!H:H)</f>
        <v>0</v>
      </c>
      <c r="F204" s="10">
        <f>IFERROR(__xludf.DUMMYFUNCTION("XLOOKUP(C204,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04" s="10">
        <f>IFERROR(__xludf.DUMMYFUNCTION("XLOOKUP($C204,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4" s="10">
        <f>IFERROR(__xludf.DUMMYFUNCTION("XLOOKUP($C204,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04" s="18"/>
      <c r="J204" s="18"/>
      <c r="K204" s="10">
        <f>IFERROR(__xludf.DUMMYFUNCTION("XLOOKUP($C204,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4" s="10">
        <f>IFERROR(__xludf.DUMMYFUNCTION("XLOOKUP($C204,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4" s="8"/>
      <c r="N204" s="8"/>
      <c r="O204" s="8"/>
      <c r="P204" s="8"/>
      <c r="Q204" s="8"/>
      <c r="R204" s="8"/>
      <c r="S204" s="8"/>
      <c r="T204" s="8"/>
      <c r="U204" s="8"/>
    </row>
    <row r="205">
      <c r="A205" s="10" t="s">
        <v>286</v>
      </c>
      <c r="B205" s="10" t="s">
        <v>641</v>
      </c>
      <c r="C205" s="12" t="s">
        <v>712</v>
      </c>
      <c r="D205" s="13" t="s">
        <v>713</v>
      </c>
      <c r="E205" s="16">
        <f t="array" ref="E205">XLOOKUP(C205,'DATA TK PANEN'!D:D,'DATA TK PANEN'!H:H)</f>
        <v>0</v>
      </c>
      <c r="F205" s="10">
        <f>IFERROR(__xludf.DUMMYFUNCTION("XLOOKUP(C205,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05" s="10">
        <f>IFERROR(__xludf.DUMMYFUNCTION("XLOOKUP($C205,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5" s="10">
        <f>IFERROR(__xludf.DUMMYFUNCTION("XLOOKUP($C205,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05" s="18"/>
      <c r="J205" s="18"/>
      <c r="K205" s="10">
        <f>IFERROR(__xludf.DUMMYFUNCTION("XLOOKUP($C205,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5" s="10">
        <f>IFERROR(__xludf.DUMMYFUNCTION("XLOOKUP($C205,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5" s="8"/>
      <c r="N205" s="8"/>
      <c r="O205" s="8"/>
      <c r="P205" s="8"/>
      <c r="Q205" s="8"/>
      <c r="R205" s="8"/>
      <c r="S205" s="8"/>
      <c r="T205" s="8"/>
      <c r="U205" s="8"/>
    </row>
    <row r="206">
      <c r="A206" s="10" t="s">
        <v>286</v>
      </c>
      <c r="B206" s="10" t="s">
        <v>641</v>
      </c>
      <c r="C206" s="12" t="s">
        <v>715</v>
      </c>
      <c r="D206" s="13" t="s">
        <v>716</v>
      </c>
      <c r="E206" s="16">
        <f t="array" ref="E206">XLOOKUP(C206,'DATA TK PANEN'!D:D,'DATA TK PANEN'!H:H)</f>
        <v>89.51</v>
      </c>
      <c r="F206" s="10">
        <f>IFERROR(__xludf.DUMMYFUNCTION("XLOOKUP(C206,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206" s="10">
        <f>IFERROR(__xludf.DUMMYFUNCTION("XLOOKUP($C206,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206" s="10">
        <f>IFERROR(__xludf.DUMMYFUNCTION("XLOOKUP($C206,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206" s="18"/>
      <c r="J206" s="18"/>
      <c r="K206" s="10">
        <f>IFERROR(__xludf.DUMMYFUNCTION("XLOOKUP($C206,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6" s="10">
        <f>IFERROR(__xludf.DUMMYFUNCTION("XLOOKUP($C206,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6" s="8"/>
      <c r="N206" s="8"/>
      <c r="O206" s="8"/>
      <c r="P206" s="8"/>
      <c r="Q206" s="8"/>
      <c r="R206" s="8"/>
      <c r="S206" s="8"/>
      <c r="T206" s="8"/>
      <c r="U206" s="8"/>
    </row>
    <row r="207">
      <c r="A207" s="10" t="s">
        <v>286</v>
      </c>
      <c r="B207" s="10" t="s">
        <v>641</v>
      </c>
      <c r="C207" s="12" t="s">
        <v>719</v>
      </c>
      <c r="D207" s="13" t="s">
        <v>720</v>
      </c>
      <c r="E207" s="16">
        <f t="array" ref="E207">XLOOKUP(C207,'DATA TK PANEN'!D:D,'DATA TK PANEN'!H:H)</f>
        <v>632.2</v>
      </c>
      <c r="F207" s="10">
        <f>IFERROR(__xludf.DUMMYFUNCTION("XLOOKUP(C207,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(AUTO)'!S6:S""))"),33.0)</f>
        <v>33</v>
      </c>
      <c r="G207" s="10">
        <f>IFERROR(__xludf.DUMMYFUNCTION("XLOOKUP($C207,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207" s="10">
        <f>IFERROR(__xludf.DUMMYFUNCTION("XLOOKUP($C207,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207" s="18"/>
      <c r="J207" s="18"/>
      <c r="K207" s="10">
        <f>IFERROR(__xludf.DUMMYFUNCTION("XLOOKUP($C207,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7" s="10">
        <f>IFERROR(__xludf.DUMMYFUNCTION("XLOOKUP($C207,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(AUTO)'!X6:X""))"),17.0)</f>
        <v>17</v>
      </c>
      <c r="M207" s="8"/>
      <c r="N207" s="8"/>
      <c r="O207" s="8"/>
      <c r="P207" s="8"/>
      <c r="Q207" s="8"/>
      <c r="R207" s="8"/>
      <c r="S207" s="8"/>
      <c r="T207" s="8"/>
      <c r="U207" s="8"/>
    </row>
    <row r="208">
      <c r="A208" s="10" t="s">
        <v>286</v>
      </c>
      <c r="B208" s="10" t="s">
        <v>641</v>
      </c>
      <c r="C208" s="12" t="s">
        <v>723</v>
      </c>
      <c r="D208" s="13" t="s">
        <v>724</v>
      </c>
      <c r="E208" s="16">
        <f t="array" ref="E208">XLOOKUP(C208,'DATA TK PANEN'!D:D,'DATA TK PANEN'!H:H)</f>
        <v>251.88</v>
      </c>
      <c r="F208" s="10">
        <f>IFERROR(__xludf.DUMMYFUNCTION("XLOOKUP(C208,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(AUTO)'!S6:S""))"),18.0)</f>
        <v>18</v>
      </c>
      <c r="G208" s="10">
        <f>IFERROR(__xludf.DUMMYFUNCTION("XLOOKUP($C208,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8" s="10">
        <f>IFERROR(__xludf.DUMMYFUNCTION("XLOOKUP($C208,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208" s="18"/>
      <c r="J208" s="18"/>
      <c r="K208" s="10">
        <f>IFERROR(__xludf.DUMMYFUNCTION("XLOOKUP($C208,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8" s="10">
        <f>IFERROR(__xludf.DUMMYFUNCTION("XLOOKUP($C208,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208" s="8"/>
      <c r="N208" s="8"/>
      <c r="O208" s="8"/>
      <c r="P208" s="8"/>
      <c r="Q208" s="8"/>
      <c r="R208" s="8"/>
      <c r="S208" s="8"/>
      <c r="T208" s="8"/>
      <c r="U208" s="8"/>
    </row>
    <row r="209">
      <c r="A209" s="10" t="s">
        <v>286</v>
      </c>
      <c r="B209" s="10" t="s">
        <v>641</v>
      </c>
      <c r="C209" s="12" t="s">
        <v>726</v>
      </c>
      <c r="D209" s="13" t="s">
        <v>727</v>
      </c>
      <c r="E209" s="16">
        <f t="array" ref="E209">XLOOKUP(C209,'DATA TK PANEN'!D:D,'DATA TK PANEN'!H:H)</f>
        <v>0</v>
      </c>
      <c r="F209" s="10">
        <f>IFERROR(__xludf.DUMMYFUNCTION("XLOOKUP(C209,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09" s="10">
        <f>IFERROR(__xludf.DUMMYFUNCTION("XLOOKUP($C209,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09" s="10">
        <f>IFERROR(__xludf.DUMMYFUNCTION("XLOOKUP($C209,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09" s="18"/>
      <c r="J209" s="18"/>
      <c r="K209" s="10">
        <f>IFERROR(__xludf.DUMMYFUNCTION("XLOOKUP($C209,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09" s="10">
        <f>IFERROR(__xludf.DUMMYFUNCTION("XLOOKUP($C209,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09" s="8"/>
      <c r="N209" s="8"/>
      <c r="O209" s="8"/>
      <c r="P209" s="8"/>
      <c r="Q209" s="8"/>
      <c r="R209" s="8"/>
      <c r="S209" s="8"/>
      <c r="T209" s="8"/>
      <c r="U209" s="8"/>
    </row>
    <row r="210">
      <c r="A210" s="10" t="s">
        <v>286</v>
      </c>
      <c r="B210" s="10" t="s">
        <v>641</v>
      </c>
      <c r="C210" s="12" t="s">
        <v>729</v>
      </c>
      <c r="D210" s="13" t="s">
        <v>730</v>
      </c>
      <c r="E210" s="16">
        <f t="array" ref="E210">XLOOKUP(C210,'DATA TK PANEN'!D:D,'DATA TK PANEN'!H:H)</f>
        <v>0</v>
      </c>
      <c r="F210" s="10">
        <f>IFERROR(__xludf.DUMMYFUNCTION("XLOOKUP(C210,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10" s="10">
        <f>IFERROR(__xludf.DUMMYFUNCTION("XLOOKUP($C210,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10" s="10">
        <f>IFERROR(__xludf.DUMMYFUNCTION("XLOOKUP($C210,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10" s="18"/>
      <c r="J210" s="18"/>
      <c r="K210" s="10">
        <f>IFERROR(__xludf.DUMMYFUNCTION("XLOOKUP($C210,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10" s="10">
        <f>IFERROR(__xludf.DUMMYFUNCTION("XLOOKUP($C210,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10" s="8"/>
      <c r="N210" s="8"/>
      <c r="O210" s="8"/>
      <c r="P210" s="8"/>
      <c r="Q210" s="8"/>
      <c r="R210" s="8"/>
      <c r="S210" s="8"/>
      <c r="T210" s="8"/>
      <c r="U210" s="8"/>
    </row>
    <row r="211">
      <c r="A211" s="10" t="s">
        <v>286</v>
      </c>
      <c r="B211" s="10" t="s">
        <v>641</v>
      </c>
      <c r="C211" s="12" t="s">
        <v>732</v>
      </c>
      <c r="D211" s="13" t="s">
        <v>733</v>
      </c>
      <c r="E211" s="16">
        <f t="array" ref="E211">XLOOKUP(C211,'DATA TK PANEN'!D:D,'DATA TK PANEN'!H:H)</f>
        <v>0</v>
      </c>
      <c r="F211" s="10">
        <f>IFERROR(__xludf.DUMMYFUNCTION("XLOOKUP(C211,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211" s="10">
        <f>IFERROR(__xludf.DUMMYFUNCTION("XLOOKUP($C211,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211" s="10">
        <f>IFERROR(__xludf.DUMMYFUNCTION("XLOOKUP($C211,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11" s="18"/>
      <c r="J211" s="18"/>
      <c r="K211" s="10">
        <f>IFERROR(__xludf.DUMMYFUNCTION("XLOOKUP($C211,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11" s="10">
        <f>IFERROR(__xludf.DUMMYFUNCTION("XLOOKUP($C211,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11" s="8"/>
      <c r="N211" s="8"/>
      <c r="O211" s="8"/>
      <c r="P211" s="8"/>
      <c r="Q211" s="8"/>
      <c r="R211" s="8"/>
      <c r="S211" s="8"/>
      <c r="T211" s="8"/>
      <c r="U211" s="8"/>
    </row>
    <row r="212">
      <c r="A212" s="10" t="s">
        <v>286</v>
      </c>
      <c r="B212" s="10" t="s">
        <v>641</v>
      </c>
      <c r="C212" s="12" t="s">
        <v>735</v>
      </c>
      <c r="D212" s="13" t="s">
        <v>736</v>
      </c>
      <c r="E212" s="16">
        <f t="array" ref="E212">XLOOKUP(C212,'DATA TK PANEN'!D:D,'DATA TK PANEN'!H:H)</f>
        <v>32.38</v>
      </c>
      <c r="F212" s="10">
        <f>IFERROR(__xludf.DUMMYFUNCTION("XLOOKUP(C212,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212" s="10">
        <f>IFERROR(__xludf.DUMMYFUNCTION("XLOOKUP($C212,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212" s="10">
        <f>IFERROR(__xludf.DUMMYFUNCTION("XLOOKUP($C212,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212" s="18"/>
      <c r="J212" s="18"/>
      <c r="K212" s="10">
        <f>IFERROR(__xludf.DUMMYFUNCTION("XLOOKUP($C212,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12" s="10">
        <f>IFERROR(__xludf.DUMMYFUNCTION("XLOOKUP($C212,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212" s="8"/>
      <c r="N212" s="8"/>
      <c r="O212" s="8"/>
      <c r="P212" s="8"/>
      <c r="Q212" s="8"/>
      <c r="R212" s="8"/>
      <c r="S212" s="8"/>
      <c r="T212" s="8"/>
      <c r="U212" s="8"/>
    </row>
    <row r="213">
      <c r="A213" s="10" t="s">
        <v>738</v>
      </c>
      <c r="B213" s="10" t="s">
        <v>739</v>
      </c>
      <c r="C213" s="12" t="s">
        <v>742</v>
      </c>
      <c r="D213" s="13" t="s">
        <v>743</v>
      </c>
      <c r="E213" s="16">
        <f t="array" ref="E213">XLOOKUP(C213,'DATA TK PANEN'!D:D,'DATA TK PANEN'!H:H)</f>
        <v>1084.39</v>
      </c>
      <c r="F213" s="10">
        <f>IFERROR(__xludf.DUMMYFUNCTION("XLOOKUP(C213,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(AUTO)'!S6:S""))"),94.0)</f>
        <v>94</v>
      </c>
      <c r="G213" s="10">
        <f>IFERROR(__xludf.DUMMYFUNCTION("XLOOKUP($C213,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(AUTO)'!T6:T""))"),29.0)</f>
        <v>29</v>
      </c>
      <c r="H213" s="10">
        <f>IFERROR(__xludf.DUMMYFUNCTION("XLOOKUP($C213,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(AUTO)'!V6:V""))"),44.0)</f>
        <v>44</v>
      </c>
      <c r="I213" s="18"/>
      <c r="J213" s="18"/>
      <c r="K213" s="10" t="str">
        <f>IFERROR(__xludf.DUMMYFUNCTION("XLOOKUP($C213,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3" s="10">
        <f>IFERROR(__xludf.DUMMYFUNCTION("XLOOKUP($C213,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(AUTO)'!X6:X""))"),11.0)</f>
        <v>11</v>
      </c>
      <c r="M213" s="8"/>
      <c r="N213" s="8"/>
      <c r="O213" s="8"/>
      <c r="P213" s="8"/>
      <c r="Q213" s="8"/>
      <c r="R213" s="8"/>
      <c r="S213" s="8"/>
      <c r="T213" s="8"/>
      <c r="U213" s="8"/>
    </row>
    <row r="214">
      <c r="A214" s="10" t="s">
        <v>738</v>
      </c>
      <c r="B214" s="10" t="s">
        <v>739</v>
      </c>
      <c r="C214" s="12" t="s">
        <v>746</v>
      </c>
      <c r="D214" s="13" t="s">
        <v>747</v>
      </c>
      <c r="E214" s="16">
        <f t="array" ref="E214">XLOOKUP(C214,'DATA TK PANEN'!D:D,'DATA TK PANEN'!H:H)</f>
        <v>3227.79</v>
      </c>
      <c r="F214" s="10">
        <f>IFERROR(__xludf.DUMMYFUNCTION("XLOOKUP(C214,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(AUTO)'!S6:S""))"),410.0)</f>
        <v>410</v>
      </c>
      <c r="G214" s="10">
        <f>IFERROR(__xludf.DUMMYFUNCTION("XLOOKUP($C214,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(AUTO)'!T6:T""))"),97.0)</f>
        <v>97</v>
      </c>
      <c r="H214" s="10">
        <f>IFERROR(__xludf.DUMMYFUNCTION("XLOOKUP($C214,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(AUTO)'!V6:V""))"),115.0)</f>
        <v>115</v>
      </c>
      <c r="I214" s="18"/>
      <c r="J214" s="18"/>
      <c r="K214" s="10" t="str">
        <f>IFERROR(__xludf.DUMMYFUNCTION("XLOOKUP($C214,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4" s="10">
        <f>IFERROR(__xludf.DUMMYFUNCTION("XLOOKUP($C214,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(AUTO)'!X6:X""))"),51.0)</f>
        <v>51</v>
      </c>
      <c r="M214" s="8"/>
      <c r="N214" s="8"/>
      <c r="O214" s="8"/>
      <c r="P214" s="8"/>
      <c r="Q214" s="8"/>
      <c r="R214" s="8"/>
      <c r="S214" s="8"/>
      <c r="T214" s="8"/>
      <c r="U214" s="8"/>
    </row>
    <row r="215">
      <c r="A215" s="10" t="s">
        <v>738</v>
      </c>
      <c r="B215" s="10" t="s">
        <v>739</v>
      </c>
      <c r="C215" s="12" t="s">
        <v>751</v>
      </c>
      <c r="D215" s="13" t="s">
        <v>752</v>
      </c>
      <c r="E215" s="16">
        <f t="array" ref="E215">XLOOKUP(C215,'DATA TK PANEN'!D:D,'DATA TK PANEN'!H:H)</f>
        <v>5436.81</v>
      </c>
      <c r="F215" s="10">
        <f>IFERROR(__xludf.DUMMYFUNCTION("XLOOKUP(C215,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(AUTO)'!S6:S""))"),452.0)</f>
        <v>452</v>
      </c>
      <c r="G215" s="10">
        <f>IFERROR(__xludf.DUMMYFUNCTION("XLOOKUP($C215,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(AUTO)'!T6:T""))"),102.0)</f>
        <v>102</v>
      </c>
      <c r="H215" s="10">
        <f>IFERROR(__xludf.DUMMYFUNCTION("XLOOKUP($C215,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(AUTO)'!V6:V""))"),117.0)</f>
        <v>117</v>
      </c>
      <c r="I215" s="18"/>
      <c r="J215" s="18"/>
      <c r="K215" s="10" t="str">
        <f>IFERROR(__xludf.DUMMYFUNCTION("XLOOKUP($C215,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5" s="10">
        <f>IFERROR(__xludf.DUMMYFUNCTION("XLOOKUP($C215,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(AUTO)'!X6:X""))"),154.0)</f>
        <v>154</v>
      </c>
      <c r="M215" s="8"/>
      <c r="N215" s="8"/>
      <c r="O215" s="8"/>
      <c r="P215" s="8"/>
      <c r="Q215" s="8"/>
      <c r="R215" s="8"/>
      <c r="S215" s="8"/>
      <c r="T215" s="8"/>
      <c r="U215" s="8"/>
    </row>
    <row r="216">
      <c r="A216" s="10" t="s">
        <v>738</v>
      </c>
      <c r="B216" s="10" t="s">
        <v>739</v>
      </c>
      <c r="C216" s="12" t="s">
        <v>756</v>
      </c>
      <c r="D216" s="13" t="s">
        <v>757</v>
      </c>
      <c r="E216" s="16">
        <f t="array" ref="E216">XLOOKUP(C216,'DATA TK PANEN'!D:D,'DATA TK PANEN'!H:H)</f>
        <v>110.51</v>
      </c>
      <c r="F216" s="10">
        <f>IFERROR(__xludf.DUMMYFUNCTION("XLOOKUP(C216,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(AUTO)'!S6:S""))"),83.0)</f>
        <v>83</v>
      </c>
      <c r="G216" s="10" t="str">
        <f>IFERROR(__xludf.DUMMYFUNCTION("XLOOKUP($C216,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16" s="10">
        <f>IFERROR(__xludf.DUMMYFUNCTION("XLOOKUP($C216,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16" s="18"/>
      <c r="J216" s="18"/>
      <c r="K216" s="10" t="str">
        <f>IFERROR(__xludf.DUMMYFUNCTION("XLOOKUP($C216,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6" s="10" t="str">
        <f>IFERROR(__xludf.DUMMYFUNCTION("XLOOKUP($C216,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16" s="8"/>
      <c r="N216" s="8"/>
      <c r="O216" s="8"/>
      <c r="P216" s="8"/>
      <c r="Q216" s="8"/>
      <c r="R216" s="8"/>
      <c r="S216" s="8"/>
      <c r="T216" s="8"/>
      <c r="U216" s="8"/>
    </row>
    <row r="217">
      <c r="A217" s="10" t="s">
        <v>738</v>
      </c>
      <c r="B217" s="10" t="s">
        <v>739</v>
      </c>
      <c r="C217" s="12" t="s">
        <v>760</v>
      </c>
      <c r="D217" s="13" t="s">
        <v>762</v>
      </c>
      <c r="E217" s="16">
        <f t="array" ref="E217">XLOOKUP(C217,'DATA TK PANEN'!D:D,'DATA TK PANEN'!H:H)</f>
        <v>6631.12</v>
      </c>
      <c r="F217" s="10">
        <f>IFERROR(__xludf.DUMMYFUNCTION("XLOOKUP(C217,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(AUTO)'!S6:S""))"),518.0)</f>
        <v>518</v>
      </c>
      <c r="G217" s="10">
        <f>IFERROR(__xludf.DUMMYFUNCTION("XLOOKUP($C217,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(AUTO)'!T6:T""))"),117.0)</f>
        <v>117</v>
      </c>
      <c r="H217" s="10">
        <f>IFERROR(__xludf.DUMMYFUNCTION("XLOOKUP($C217,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(AUTO)'!V6:V""))"),186.0)</f>
        <v>186</v>
      </c>
      <c r="I217" s="18"/>
      <c r="J217" s="18"/>
      <c r="K217" s="10" t="str">
        <f>IFERROR(__xludf.DUMMYFUNCTION("XLOOKUP($C217,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7" s="10">
        <f>IFERROR(__xludf.DUMMYFUNCTION("XLOOKUP($C217,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(AUTO)'!X6:X""))"),146.0)</f>
        <v>146</v>
      </c>
      <c r="M217" s="8"/>
      <c r="N217" s="8"/>
      <c r="O217" s="8"/>
      <c r="P217" s="8"/>
      <c r="Q217" s="8"/>
      <c r="R217" s="8"/>
      <c r="S217" s="8"/>
      <c r="T217" s="8"/>
      <c r="U217" s="8"/>
    </row>
    <row r="218">
      <c r="A218" s="10" t="s">
        <v>738</v>
      </c>
      <c r="B218" s="10" t="s">
        <v>739</v>
      </c>
      <c r="C218" s="12" t="s">
        <v>765</v>
      </c>
      <c r="D218" s="13" t="s">
        <v>766</v>
      </c>
      <c r="E218" s="16">
        <f t="array" ref="E218">XLOOKUP(C218,'DATA TK PANEN'!D:D,'DATA TK PANEN'!H:H)</f>
        <v>9578.49</v>
      </c>
      <c r="F218" s="10">
        <f>IFERROR(__xludf.DUMMYFUNCTION("XLOOKUP(C218,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(AUTO)'!S6:S""))"),729.0)</f>
        <v>729</v>
      </c>
      <c r="G218" s="10">
        <f>IFERROR(__xludf.DUMMYFUNCTION("XLOOKUP($C218,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(AUTO)'!T6:T""))"),178.0)</f>
        <v>178</v>
      </c>
      <c r="H218" s="10">
        <f>IFERROR(__xludf.DUMMYFUNCTION("XLOOKUP($C218,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(AUTO)'!V6:V""))"),234.0)</f>
        <v>234</v>
      </c>
      <c r="I218" s="18"/>
      <c r="J218" s="18"/>
      <c r="K218" s="10" t="str">
        <f>IFERROR(__xludf.DUMMYFUNCTION("XLOOKUP($C218,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8" s="10">
        <f>IFERROR(__xludf.DUMMYFUNCTION("XLOOKUP($C218,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(AUTO)'!X6:X""))"),214.0)</f>
        <v>214</v>
      </c>
      <c r="M218" s="8"/>
      <c r="N218" s="8"/>
      <c r="O218" s="8"/>
      <c r="P218" s="8"/>
      <c r="Q218" s="8"/>
      <c r="R218" s="8"/>
      <c r="S218" s="8"/>
      <c r="T218" s="8"/>
      <c r="U218" s="8"/>
    </row>
    <row r="219">
      <c r="A219" s="10" t="s">
        <v>768</v>
      </c>
      <c r="B219" s="10" t="s">
        <v>769</v>
      </c>
      <c r="C219" s="12" t="s">
        <v>770</v>
      </c>
      <c r="D219" s="19" t="s">
        <v>771</v>
      </c>
      <c r="E219" s="16">
        <f t="array" ref="E219">XLOOKUP(C219,'DATA TK PANEN'!D:D,'DATA TK PANEN'!H:H)</f>
        <v>34.78</v>
      </c>
      <c r="F219" s="10">
        <f>IFERROR(__xludf.DUMMYFUNCTION("XLOOKUP(C219,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219" s="10">
        <f>IFERROR(__xludf.DUMMYFUNCTION("XLOOKUP($C219,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219" s="10">
        <f>IFERROR(__xludf.DUMMYFUNCTION("XLOOKUP($C219,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219" s="18"/>
      <c r="J219" s="18"/>
      <c r="K219" s="10" t="str">
        <f>IFERROR(__xludf.DUMMYFUNCTION("XLOOKUP($C219,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19" s="10" t="str">
        <f>IFERROR(__xludf.DUMMYFUNCTION("XLOOKUP($C219,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19" s="8"/>
      <c r="N219" s="8"/>
      <c r="O219" s="8"/>
      <c r="P219" s="8"/>
      <c r="Q219" s="8"/>
      <c r="R219" s="8"/>
      <c r="S219" s="8"/>
      <c r="T219" s="8"/>
      <c r="U219" s="8"/>
    </row>
    <row r="220">
      <c r="A220" s="10" t="s">
        <v>768</v>
      </c>
      <c r="B220" s="10" t="s">
        <v>769</v>
      </c>
      <c r="C220" s="12" t="s">
        <v>774</v>
      </c>
      <c r="D220" s="19" t="s">
        <v>775</v>
      </c>
      <c r="E220" s="16">
        <f t="array" ref="E220">XLOOKUP(C220,'DATA TK PANEN'!D:D,'DATA TK PANEN'!H:H)</f>
        <v>41.5</v>
      </c>
      <c r="F220" s="10">
        <f>IFERROR(__xludf.DUMMYFUNCTION("XLOOKUP(C220,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220" s="10">
        <f>IFERROR(__xludf.DUMMYFUNCTION("XLOOKUP($C220,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220" s="10">
        <f>IFERROR(__xludf.DUMMYFUNCTION("XLOOKUP($C220,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220" s="18"/>
      <c r="J220" s="18"/>
      <c r="K220" s="10" t="str">
        <f>IFERROR(__xludf.DUMMYFUNCTION("XLOOKUP($C220,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0" s="10" t="str">
        <f>IFERROR(__xludf.DUMMYFUNCTION("XLOOKUP($C220,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0" s="8"/>
      <c r="N220" s="8"/>
      <c r="O220" s="8"/>
      <c r="P220" s="8"/>
      <c r="Q220" s="8"/>
      <c r="R220" s="8"/>
      <c r="S220" s="8"/>
      <c r="T220" s="8"/>
      <c r="U220" s="8"/>
    </row>
    <row r="221">
      <c r="A221" s="10" t="s">
        <v>768</v>
      </c>
      <c r="B221" s="10" t="s">
        <v>769</v>
      </c>
      <c r="C221" s="12" t="s">
        <v>777</v>
      </c>
      <c r="D221" s="13" t="s">
        <v>778</v>
      </c>
      <c r="E221" s="16">
        <f t="array" ref="E221">XLOOKUP(C221,'DATA TK PANEN'!D:D,'DATA TK PANEN'!H:H)</f>
        <v>0</v>
      </c>
      <c r="F221" s="10" t="str">
        <f>IFERROR(__xludf.DUMMYFUNCTION("XLOOKUP(C221,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21" s="10" t="str">
        <f>IFERROR(__xludf.DUMMYFUNCTION("XLOOKUP($C221,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21" s="10">
        <f>IFERROR(__xludf.DUMMYFUNCTION("XLOOKUP($C221,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21" s="18"/>
      <c r="J221" s="18"/>
      <c r="K221" s="10" t="str">
        <f>IFERROR(__xludf.DUMMYFUNCTION("XLOOKUP($C221,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1" s="10" t="str">
        <f>IFERROR(__xludf.DUMMYFUNCTION("XLOOKUP($C221,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1" s="8"/>
      <c r="N221" s="8"/>
      <c r="O221" s="8"/>
      <c r="P221" s="8"/>
      <c r="Q221" s="8"/>
      <c r="R221" s="8"/>
      <c r="S221" s="8"/>
      <c r="T221" s="8"/>
      <c r="U221" s="8"/>
    </row>
    <row r="222">
      <c r="A222" s="10" t="s">
        <v>768</v>
      </c>
      <c r="B222" s="10" t="s">
        <v>769</v>
      </c>
      <c r="C222" s="12" t="s">
        <v>780</v>
      </c>
      <c r="D222" s="13" t="s">
        <v>781</v>
      </c>
      <c r="E222" s="16" t="str">
        <f t="array" ref="E222">XLOOKUP(C222,'DATA TK PANEN'!D:D,'DATA TK PANEN'!H:H)</f>
        <v>Tidak Ditemukan</v>
      </c>
      <c r="F222" s="10" t="str">
        <f>IFERROR(__xludf.DUMMYFUNCTION("XLOOKUP(C222,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22" s="10" t="str">
        <f>IFERROR(__xludf.DUMMYFUNCTION("XLOOKUP($C222,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22" s="10">
        <f>IFERROR(__xludf.DUMMYFUNCTION("XLOOKUP($C222,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22" s="18"/>
      <c r="J222" s="18"/>
      <c r="K222" s="10" t="str">
        <f>IFERROR(__xludf.DUMMYFUNCTION("XLOOKUP($C222,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2" s="10" t="str">
        <f>IFERROR(__xludf.DUMMYFUNCTION("XLOOKUP($C222,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2" s="8"/>
      <c r="N222" s="8"/>
      <c r="O222" s="8"/>
      <c r="P222" s="8"/>
      <c r="Q222" s="8"/>
      <c r="R222" s="8"/>
      <c r="S222" s="8"/>
      <c r="T222" s="8"/>
      <c r="U222" s="8"/>
    </row>
    <row r="223">
      <c r="A223" s="10" t="s">
        <v>768</v>
      </c>
      <c r="B223" s="10" t="s">
        <v>769</v>
      </c>
      <c r="C223" s="12" t="s">
        <v>782</v>
      </c>
      <c r="D223" s="19" t="s">
        <v>783</v>
      </c>
      <c r="E223" s="16">
        <f t="array" ref="E223">XLOOKUP(C223,'DATA TK PANEN'!D:D,'DATA TK PANEN'!H:H)</f>
        <v>26.5</v>
      </c>
      <c r="F223" s="10">
        <f>IFERROR(__xludf.DUMMYFUNCTION("XLOOKUP(C223,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223" s="10">
        <f>IFERROR(__xludf.DUMMYFUNCTION("XLOOKUP($C223,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(AUTO)'!T6:T""))"),1.0)</f>
        <v>1</v>
      </c>
      <c r="H223" s="10">
        <f>IFERROR(__xludf.DUMMYFUNCTION("XLOOKUP($C223,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223" s="18"/>
      <c r="J223" s="18"/>
      <c r="K223" s="10" t="str">
        <f>IFERROR(__xludf.DUMMYFUNCTION("XLOOKUP($C223,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3" s="10" t="str">
        <f>IFERROR(__xludf.DUMMYFUNCTION("XLOOKUP($C223,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3" s="8"/>
      <c r="N223" s="8"/>
      <c r="O223" s="8"/>
      <c r="P223" s="8"/>
      <c r="Q223" s="8"/>
      <c r="R223" s="8"/>
      <c r="S223" s="8"/>
      <c r="T223" s="8"/>
      <c r="U223" s="8"/>
    </row>
    <row r="224">
      <c r="A224" s="10" t="s">
        <v>768</v>
      </c>
      <c r="B224" s="10" t="s">
        <v>769</v>
      </c>
      <c r="C224" s="12" t="s">
        <v>785</v>
      </c>
      <c r="D224" s="13" t="s">
        <v>786</v>
      </c>
      <c r="E224" s="16">
        <f t="array" ref="E224">XLOOKUP(C224,'DATA TK PANEN'!D:D,'DATA TK PANEN'!H:H)</f>
        <v>76.77</v>
      </c>
      <c r="F224" s="10">
        <f>IFERROR(__xludf.DUMMYFUNCTION("XLOOKUP(C224,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224" s="10">
        <f>IFERROR(__xludf.DUMMYFUNCTION("XLOOKUP($C224,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224" s="10">
        <f>IFERROR(__xludf.DUMMYFUNCTION("XLOOKUP($C224,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224" s="18"/>
      <c r="J224" s="18"/>
      <c r="K224" s="10" t="str">
        <f>IFERROR(__xludf.DUMMYFUNCTION("XLOOKUP($C224,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4" s="10" t="str">
        <f>IFERROR(__xludf.DUMMYFUNCTION("XLOOKUP($C224,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4" s="8"/>
      <c r="N224" s="8"/>
      <c r="O224" s="8"/>
      <c r="P224" s="8"/>
      <c r="Q224" s="8"/>
      <c r="R224" s="8"/>
      <c r="S224" s="8"/>
      <c r="T224" s="8"/>
      <c r="U224" s="8"/>
    </row>
    <row r="225">
      <c r="A225" s="10" t="s">
        <v>768</v>
      </c>
      <c r="B225" s="10" t="s">
        <v>769</v>
      </c>
      <c r="C225" s="12" t="s">
        <v>788</v>
      </c>
      <c r="D225" s="13" t="s">
        <v>790</v>
      </c>
      <c r="E225" s="16">
        <f t="array" ref="E225">XLOOKUP(C225,'DATA TK PANEN'!D:D,'DATA TK PANEN'!H:H)</f>
        <v>22</v>
      </c>
      <c r="F225" s="10">
        <f>IFERROR(__xludf.DUMMYFUNCTION("XLOOKUP(C225,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225" s="10">
        <f>IFERROR(__xludf.DUMMYFUNCTION("XLOOKUP($C225,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225" s="10">
        <f>IFERROR(__xludf.DUMMYFUNCTION("XLOOKUP($C225,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225" s="18"/>
      <c r="J225" s="18"/>
      <c r="K225" s="10" t="str">
        <f>IFERROR(__xludf.DUMMYFUNCTION("XLOOKUP($C225,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5" s="10" t="str">
        <f>IFERROR(__xludf.DUMMYFUNCTION("XLOOKUP($C225,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5" s="8"/>
      <c r="N225" s="8"/>
      <c r="O225" s="8"/>
      <c r="P225" s="8"/>
      <c r="Q225" s="8"/>
      <c r="R225" s="8"/>
      <c r="S225" s="8"/>
      <c r="T225" s="8"/>
      <c r="U225" s="8"/>
    </row>
    <row r="226">
      <c r="A226" s="10" t="s">
        <v>768</v>
      </c>
      <c r="B226" s="10" t="s">
        <v>769</v>
      </c>
      <c r="C226" s="12" t="s">
        <v>791</v>
      </c>
      <c r="D226" s="13" t="s">
        <v>793</v>
      </c>
      <c r="E226" s="16">
        <f t="array" ref="E226">XLOOKUP(C226,'DATA TK PANEN'!D:D,'DATA TK PANEN'!H:H)</f>
        <v>29</v>
      </c>
      <c r="F226" s="10">
        <f>IFERROR(__xludf.DUMMYFUNCTION("XLOOKUP(C226,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226" s="10" t="str">
        <f>IFERROR(__xludf.DUMMYFUNCTION("XLOOKUP($C226,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26" s="10">
        <f>IFERROR(__xludf.DUMMYFUNCTION("XLOOKUP($C226,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26" s="18"/>
      <c r="J226" s="18"/>
      <c r="K226" s="10" t="str">
        <f>IFERROR(__xludf.DUMMYFUNCTION("XLOOKUP($C226,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6" s="10">
        <f>IFERROR(__xludf.DUMMYFUNCTION("XLOOKUP($C226,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226" s="8"/>
      <c r="N226" s="8"/>
      <c r="O226" s="8"/>
      <c r="P226" s="8"/>
      <c r="Q226" s="8"/>
      <c r="R226" s="8"/>
      <c r="S226" s="8"/>
      <c r="T226" s="8"/>
      <c r="U226" s="8"/>
    </row>
    <row r="227">
      <c r="A227" s="10" t="s">
        <v>768</v>
      </c>
      <c r="B227" s="10" t="s">
        <v>769</v>
      </c>
      <c r="C227" s="12" t="s">
        <v>795</v>
      </c>
      <c r="D227" s="19" t="s">
        <v>796</v>
      </c>
      <c r="E227" s="16">
        <f t="array" ref="E227">XLOOKUP(C227,'DATA TK PANEN'!D:D,'DATA TK PANEN'!H:H)</f>
        <v>236.92</v>
      </c>
      <c r="F227" s="10">
        <f>IFERROR(__xludf.DUMMYFUNCTION("XLOOKUP(C227,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(AUTO)'!S6:S""))"),14.0)</f>
        <v>14</v>
      </c>
      <c r="G227" s="10">
        <f>IFERROR(__xludf.DUMMYFUNCTION("XLOOKUP($C227,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(AUTO)'!T6:T""))"),14.0)</f>
        <v>14</v>
      </c>
      <c r="H227" s="10">
        <f>IFERROR(__xludf.DUMMYFUNCTION("XLOOKUP($C227,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(AUTO)'!V6:V""))"),21.0)</f>
        <v>21</v>
      </c>
      <c r="I227" s="18"/>
      <c r="J227" s="18"/>
      <c r="K227" s="10" t="str">
        <f>IFERROR(__xludf.DUMMYFUNCTION("XLOOKUP($C227,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7" s="10" t="str">
        <f>IFERROR(__xludf.DUMMYFUNCTION("XLOOKUP($C227,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7" s="8"/>
      <c r="N227" s="8"/>
      <c r="O227" s="8"/>
      <c r="P227" s="8"/>
      <c r="Q227" s="8"/>
      <c r="R227" s="8"/>
      <c r="S227" s="8"/>
      <c r="T227" s="8"/>
      <c r="U227" s="8"/>
    </row>
    <row r="228">
      <c r="A228" s="10" t="s">
        <v>768</v>
      </c>
      <c r="B228" s="10" t="s">
        <v>769</v>
      </c>
      <c r="C228" s="12" t="s">
        <v>798</v>
      </c>
      <c r="D228" s="19" t="s">
        <v>799</v>
      </c>
      <c r="E228" s="16">
        <f t="array" ref="E228">XLOOKUP(C228,'DATA TK PANEN'!D:D,'DATA TK PANEN'!H:H)</f>
        <v>86</v>
      </c>
      <c r="F228" s="10">
        <f>IFERROR(__xludf.DUMMYFUNCTION("XLOOKUP(C228,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228" s="10" t="str">
        <f>IFERROR(__xludf.DUMMYFUNCTION("XLOOKUP($C228,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28" s="10">
        <f>IFERROR(__xludf.DUMMYFUNCTION("XLOOKUP($C228,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28" s="18"/>
      <c r="J228" s="18"/>
      <c r="K228" s="10" t="str">
        <f>IFERROR(__xludf.DUMMYFUNCTION("XLOOKUP($C228,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8" s="10">
        <f>IFERROR(__xludf.DUMMYFUNCTION("XLOOKUP($C228,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(AUTO)'!X6:X""))"),6.0)</f>
        <v>6</v>
      </c>
      <c r="M228" s="8"/>
      <c r="N228" s="8"/>
      <c r="O228" s="8"/>
      <c r="P228" s="8"/>
      <c r="Q228" s="8"/>
      <c r="R228" s="8"/>
      <c r="S228" s="8"/>
      <c r="T228" s="8"/>
      <c r="U228" s="8"/>
    </row>
    <row r="229">
      <c r="A229" s="10" t="s">
        <v>768</v>
      </c>
      <c r="B229" s="10" t="s">
        <v>769</v>
      </c>
      <c r="C229" s="12" t="s">
        <v>800</v>
      </c>
      <c r="D229" s="19" t="s">
        <v>801</v>
      </c>
      <c r="E229" s="16">
        <f t="array" ref="E229">XLOOKUP(C229,'DATA TK PANEN'!D:D,'DATA TK PANEN'!H:H)</f>
        <v>0</v>
      </c>
      <c r="F229" s="10" t="str">
        <f>IFERROR(__xludf.DUMMYFUNCTION("XLOOKUP(C229,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29" s="10" t="str">
        <f>IFERROR(__xludf.DUMMYFUNCTION("XLOOKUP($C229,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29" s="10">
        <f>IFERROR(__xludf.DUMMYFUNCTION("XLOOKUP($C229,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29" s="18"/>
      <c r="J229" s="18"/>
      <c r="K229" s="10" t="str">
        <f>IFERROR(__xludf.DUMMYFUNCTION("XLOOKUP($C229,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29" s="10" t="str">
        <f>IFERROR(__xludf.DUMMYFUNCTION("XLOOKUP($C229,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29" s="8"/>
      <c r="N229" s="8"/>
      <c r="O229" s="8"/>
      <c r="P229" s="8"/>
      <c r="Q229" s="8"/>
      <c r="R229" s="8"/>
      <c r="S229" s="8"/>
      <c r="T229" s="8"/>
      <c r="U229" s="8"/>
    </row>
    <row r="230">
      <c r="A230" s="10" t="s">
        <v>768</v>
      </c>
      <c r="B230" s="10" t="s">
        <v>803</v>
      </c>
      <c r="C230" s="12" t="s">
        <v>804</v>
      </c>
      <c r="D230" s="13" t="s">
        <v>805</v>
      </c>
      <c r="E230" s="16">
        <f t="array" ref="E230">XLOOKUP(C230,'DATA TK PANEN'!D:D,'DATA TK PANEN'!H:H)</f>
        <v>0</v>
      </c>
      <c r="F230" s="10" t="str">
        <f>IFERROR(__xludf.DUMMYFUNCTION("XLOOKUP(C230,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0" s="10" t="str">
        <f>IFERROR(__xludf.DUMMYFUNCTION("XLOOKUP($C230,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0" s="10">
        <f>IFERROR(__xludf.DUMMYFUNCTION("XLOOKUP($C230,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0" s="18"/>
      <c r="J230" s="18"/>
      <c r="K230" s="10">
        <f>IFERROR(__xludf.DUMMYFUNCTION("XLOOKUP($C230,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0" s="10">
        <f>IFERROR(__xludf.DUMMYFUNCTION("XLOOKUP($C230,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0" s="8"/>
      <c r="N230" s="8"/>
      <c r="O230" s="8"/>
      <c r="P230" s="8"/>
      <c r="Q230" s="8"/>
      <c r="R230" s="8"/>
      <c r="S230" s="8"/>
      <c r="T230" s="8"/>
      <c r="U230" s="8"/>
    </row>
    <row r="231">
      <c r="A231" s="10" t="s">
        <v>768</v>
      </c>
      <c r="B231" s="10" t="s">
        <v>803</v>
      </c>
      <c r="C231" s="12" t="s">
        <v>807</v>
      </c>
      <c r="D231" s="13" t="s">
        <v>808</v>
      </c>
      <c r="E231" s="16">
        <f t="array" ref="E231">XLOOKUP(C231,'DATA TK PANEN'!D:D,'DATA TK PANEN'!H:H)</f>
        <v>0</v>
      </c>
      <c r="F231" s="10" t="str">
        <f>IFERROR(__xludf.DUMMYFUNCTION("XLOOKUP(C231,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1" s="10" t="str">
        <f>IFERROR(__xludf.DUMMYFUNCTION("XLOOKUP($C231,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1" s="10">
        <f>IFERROR(__xludf.DUMMYFUNCTION("XLOOKUP($C231,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1" s="18"/>
      <c r="J231" s="18"/>
      <c r="K231" s="10">
        <f>IFERROR(__xludf.DUMMYFUNCTION("XLOOKUP($C231,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1" s="10">
        <f>IFERROR(__xludf.DUMMYFUNCTION("XLOOKUP($C231,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1" s="8"/>
      <c r="N231" s="8"/>
      <c r="O231" s="8"/>
      <c r="P231" s="8"/>
      <c r="Q231" s="8"/>
      <c r="R231" s="8"/>
      <c r="S231" s="8"/>
      <c r="T231" s="8"/>
      <c r="U231" s="8"/>
    </row>
    <row r="232">
      <c r="A232" s="10" t="s">
        <v>768</v>
      </c>
      <c r="B232" s="10" t="s">
        <v>803</v>
      </c>
      <c r="C232" s="12" t="s">
        <v>809</v>
      </c>
      <c r="D232" s="13" t="s">
        <v>811</v>
      </c>
      <c r="E232" s="16">
        <f t="array" ref="E232">XLOOKUP(C232,'DATA TK PANEN'!D:D,'DATA TK PANEN'!H:H)</f>
        <v>0</v>
      </c>
      <c r="F232" s="10" t="str">
        <f>IFERROR(__xludf.DUMMYFUNCTION("XLOOKUP(C232,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2" s="10" t="str">
        <f>IFERROR(__xludf.DUMMYFUNCTION("XLOOKUP($C232,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2" s="10">
        <f>IFERROR(__xludf.DUMMYFUNCTION("XLOOKUP($C232,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2" s="18"/>
      <c r="J232" s="18"/>
      <c r="K232" s="10">
        <f>IFERROR(__xludf.DUMMYFUNCTION("XLOOKUP($C232,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2" s="10">
        <f>IFERROR(__xludf.DUMMYFUNCTION("XLOOKUP($C232,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2" s="8"/>
      <c r="N232" s="8"/>
      <c r="O232" s="8"/>
      <c r="P232" s="8"/>
      <c r="Q232" s="8"/>
      <c r="R232" s="8"/>
      <c r="S232" s="8"/>
      <c r="T232" s="8"/>
      <c r="U232" s="8"/>
    </row>
    <row r="233">
      <c r="A233" s="10" t="s">
        <v>768</v>
      </c>
      <c r="B233" s="10" t="s">
        <v>803</v>
      </c>
      <c r="C233" s="12" t="s">
        <v>812</v>
      </c>
      <c r="D233" s="13" t="s">
        <v>813</v>
      </c>
      <c r="E233" s="16">
        <f t="array" ref="E233">XLOOKUP(C233,'DATA TK PANEN'!D:D,'DATA TK PANEN'!H:H)</f>
        <v>0</v>
      </c>
      <c r="F233" s="10" t="str">
        <f>IFERROR(__xludf.DUMMYFUNCTION("XLOOKUP(C233,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3" s="10" t="str">
        <f>IFERROR(__xludf.DUMMYFUNCTION("XLOOKUP($C233,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3" s="10">
        <f>IFERROR(__xludf.DUMMYFUNCTION("XLOOKUP($C233,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3" s="18"/>
      <c r="J233" s="18"/>
      <c r="K233" s="10">
        <f>IFERROR(__xludf.DUMMYFUNCTION("XLOOKUP($C233,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3" s="10">
        <f>IFERROR(__xludf.DUMMYFUNCTION("XLOOKUP($C233,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3" s="8"/>
      <c r="N233" s="8"/>
      <c r="O233" s="8"/>
      <c r="P233" s="8"/>
      <c r="Q233" s="8"/>
      <c r="R233" s="8"/>
      <c r="S233" s="8"/>
      <c r="T233" s="8"/>
      <c r="U233" s="8"/>
    </row>
    <row r="234">
      <c r="A234" s="10" t="s">
        <v>768</v>
      </c>
      <c r="B234" s="10" t="s">
        <v>803</v>
      </c>
      <c r="C234" s="12" t="s">
        <v>815</v>
      </c>
      <c r="D234" s="13" t="s">
        <v>817</v>
      </c>
      <c r="E234" s="16">
        <f t="array" ref="E234">XLOOKUP(C234,'DATA TK PANEN'!D:D,'DATA TK PANEN'!H:H)</f>
        <v>0</v>
      </c>
      <c r="F234" s="10" t="str">
        <f>IFERROR(__xludf.DUMMYFUNCTION("XLOOKUP(C234,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4" s="10" t="str">
        <f>IFERROR(__xludf.DUMMYFUNCTION("XLOOKUP($C234,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4" s="10">
        <f>IFERROR(__xludf.DUMMYFUNCTION("XLOOKUP($C234,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4" s="18"/>
      <c r="J234" s="18"/>
      <c r="K234" s="10">
        <f>IFERROR(__xludf.DUMMYFUNCTION("XLOOKUP($C234,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4" s="10">
        <f>IFERROR(__xludf.DUMMYFUNCTION("XLOOKUP($C234,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4" s="8"/>
      <c r="N234" s="8"/>
      <c r="O234" s="8"/>
      <c r="P234" s="8"/>
      <c r="Q234" s="8"/>
      <c r="R234" s="8"/>
      <c r="S234" s="8"/>
      <c r="T234" s="8"/>
      <c r="U234" s="8"/>
    </row>
    <row r="235">
      <c r="A235" s="10" t="s">
        <v>768</v>
      </c>
      <c r="B235" s="10" t="s">
        <v>803</v>
      </c>
      <c r="C235" s="12" t="s">
        <v>820</v>
      </c>
      <c r="D235" s="13" t="s">
        <v>821</v>
      </c>
      <c r="E235" s="16">
        <f t="array" ref="E235">XLOOKUP(C235,'DATA TK PANEN'!D:D,'DATA TK PANEN'!H:H)</f>
        <v>188.94</v>
      </c>
      <c r="F235" s="10">
        <f>IFERROR(__xludf.DUMMYFUNCTION("XLOOKUP(C235,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235" s="10">
        <f>IFERROR(__xludf.DUMMYFUNCTION("XLOOKUP($C235,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235" s="10">
        <f>IFERROR(__xludf.DUMMYFUNCTION("XLOOKUP($C235,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235" s="18"/>
      <c r="J235" s="18"/>
      <c r="K235" s="10">
        <f>IFERROR(__xludf.DUMMYFUNCTION("XLOOKUP($C235,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5" s="10">
        <f>IFERROR(__xludf.DUMMYFUNCTION("XLOOKUP($C235,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5" s="8"/>
      <c r="N235" s="8"/>
      <c r="O235" s="8"/>
      <c r="P235" s="8"/>
      <c r="Q235" s="8"/>
      <c r="R235" s="8"/>
      <c r="S235" s="8"/>
      <c r="T235" s="8"/>
      <c r="U235" s="8"/>
    </row>
    <row r="236">
      <c r="A236" s="10" t="s">
        <v>768</v>
      </c>
      <c r="B236" s="10" t="s">
        <v>803</v>
      </c>
      <c r="C236" s="12" t="s">
        <v>824</v>
      </c>
      <c r="D236" s="13" t="s">
        <v>825</v>
      </c>
      <c r="E236" s="16">
        <f t="array" ref="E236">XLOOKUP(C236,'DATA TK PANEN'!D:D,'DATA TK PANEN'!H:H)</f>
        <v>376.65</v>
      </c>
      <c r="F236" s="10">
        <f>IFERROR(__xludf.DUMMYFUNCTION("XLOOKUP(C236,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(AUTO)'!S6:S""))"),23.0)</f>
        <v>23</v>
      </c>
      <c r="G236" s="10">
        <f>IFERROR(__xludf.DUMMYFUNCTION("XLOOKUP($C236,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(AUTO)'!T6:T""))"),15.0)</f>
        <v>15</v>
      </c>
      <c r="H236" s="10">
        <f>IFERROR(__xludf.DUMMYFUNCTION("XLOOKUP($C236,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236" s="18"/>
      <c r="J236" s="18"/>
      <c r="K236" s="10">
        <f>IFERROR(__xludf.DUMMYFUNCTION("XLOOKUP($C236,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6" s="10">
        <f>IFERROR(__xludf.DUMMYFUNCTION("XLOOKUP($C236,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6" s="8"/>
      <c r="N236" s="8"/>
      <c r="O236" s="8"/>
      <c r="P236" s="8"/>
      <c r="Q236" s="8"/>
      <c r="R236" s="8"/>
      <c r="S236" s="8"/>
      <c r="T236" s="8"/>
      <c r="U236" s="8"/>
    </row>
    <row r="237">
      <c r="A237" s="10" t="s">
        <v>768</v>
      </c>
      <c r="B237" s="10" t="s">
        <v>803</v>
      </c>
      <c r="C237" s="12" t="s">
        <v>827</v>
      </c>
      <c r="D237" s="13" t="s">
        <v>828</v>
      </c>
      <c r="E237" s="16">
        <f t="array" ref="E237">XLOOKUP(C237,'DATA TK PANEN'!D:D,'DATA TK PANEN'!H:H)</f>
        <v>12.86</v>
      </c>
      <c r="F237" s="10">
        <f>IFERROR(__xludf.DUMMYFUNCTION("XLOOKUP(C237,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237" s="10">
        <f>IFERROR(__xludf.DUMMYFUNCTION("XLOOKUP($C237,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237" s="10">
        <f>IFERROR(__xludf.DUMMYFUNCTION("XLOOKUP($C237,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7" s="18"/>
      <c r="J237" s="18"/>
      <c r="K237" s="10">
        <f>IFERROR(__xludf.DUMMYFUNCTION("XLOOKUP($C237,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7" s="10">
        <f>IFERROR(__xludf.DUMMYFUNCTION("XLOOKUP($C237,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7" s="8"/>
      <c r="N237" s="8"/>
      <c r="O237" s="8"/>
      <c r="P237" s="8"/>
      <c r="Q237" s="8"/>
      <c r="R237" s="8"/>
      <c r="S237" s="8"/>
      <c r="T237" s="8"/>
      <c r="U237" s="8"/>
    </row>
    <row r="238">
      <c r="A238" s="10" t="s">
        <v>768</v>
      </c>
      <c r="B238" s="10" t="s">
        <v>803</v>
      </c>
      <c r="C238" s="12" t="s">
        <v>830</v>
      </c>
      <c r="D238" s="13" t="s">
        <v>831</v>
      </c>
      <c r="E238" s="16">
        <f t="array" ref="E238">XLOOKUP(C238,'DATA TK PANEN'!D:D,'DATA TK PANEN'!H:H)</f>
        <v>0</v>
      </c>
      <c r="F238" s="10" t="str">
        <f>IFERROR(__xludf.DUMMYFUNCTION("XLOOKUP(C238,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8" s="10" t="str">
        <f>IFERROR(__xludf.DUMMYFUNCTION("XLOOKUP($C238,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8" s="10">
        <f>IFERROR(__xludf.DUMMYFUNCTION("XLOOKUP($C238,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8" s="18"/>
      <c r="J238" s="18"/>
      <c r="K238" s="10">
        <f>IFERROR(__xludf.DUMMYFUNCTION("XLOOKUP($C238,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8" s="10">
        <f>IFERROR(__xludf.DUMMYFUNCTION("XLOOKUP($C238,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8" s="8"/>
      <c r="N238" s="8"/>
      <c r="O238" s="8"/>
      <c r="P238" s="8"/>
      <c r="Q238" s="8"/>
      <c r="R238" s="8"/>
      <c r="S238" s="8"/>
      <c r="T238" s="8"/>
      <c r="U238" s="8"/>
    </row>
    <row r="239">
      <c r="A239" s="10" t="s">
        <v>768</v>
      </c>
      <c r="B239" s="10" t="s">
        <v>803</v>
      </c>
      <c r="C239" s="12" t="s">
        <v>832</v>
      </c>
      <c r="D239" s="13" t="s">
        <v>834</v>
      </c>
      <c r="E239" s="16">
        <f t="array" ref="E239">XLOOKUP(C239,'DATA TK PANEN'!D:D,'DATA TK PANEN'!H:H)</f>
        <v>0</v>
      </c>
      <c r="F239" s="10" t="str">
        <f>IFERROR(__xludf.DUMMYFUNCTION("XLOOKUP(C239,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39" s="10" t="str">
        <f>IFERROR(__xludf.DUMMYFUNCTION("XLOOKUP($C239,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39" s="10">
        <f>IFERROR(__xludf.DUMMYFUNCTION("XLOOKUP($C239,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39" s="18"/>
      <c r="J239" s="18"/>
      <c r="K239" s="10">
        <f>IFERROR(__xludf.DUMMYFUNCTION("XLOOKUP($C239,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39" s="10">
        <f>IFERROR(__xludf.DUMMYFUNCTION("XLOOKUP($C239,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39" s="8"/>
      <c r="N239" s="8"/>
      <c r="O239" s="8"/>
      <c r="P239" s="8"/>
      <c r="Q239" s="8"/>
      <c r="R239" s="8"/>
      <c r="S239" s="8"/>
      <c r="T239" s="8"/>
      <c r="U239" s="8"/>
    </row>
    <row r="240">
      <c r="A240" s="10" t="s">
        <v>768</v>
      </c>
      <c r="B240" s="10" t="s">
        <v>803</v>
      </c>
      <c r="C240" s="12" t="s">
        <v>835</v>
      </c>
      <c r="D240" s="13" t="s">
        <v>836</v>
      </c>
      <c r="E240" s="16">
        <f t="array" ref="E240">XLOOKUP(C240,'DATA TK PANEN'!D:D,'DATA TK PANEN'!H:H)</f>
        <v>0</v>
      </c>
      <c r="F240" s="10" t="str">
        <f>IFERROR(__xludf.DUMMYFUNCTION("XLOOKUP(C240,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0" s="10" t="str">
        <f>IFERROR(__xludf.DUMMYFUNCTION("XLOOKUP($C240,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0" s="10">
        <f>IFERROR(__xludf.DUMMYFUNCTION("XLOOKUP($C240,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0" s="18"/>
      <c r="J240" s="18"/>
      <c r="K240" s="10">
        <f>IFERROR(__xludf.DUMMYFUNCTION("XLOOKUP($C240,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0" s="10">
        <f>IFERROR(__xludf.DUMMYFUNCTION("XLOOKUP($C240,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0" s="8"/>
      <c r="N240" s="8"/>
      <c r="O240" s="8"/>
      <c r="P240" s="8"/>
      <c r="Q240" s="8"/>
      <c r="R240" s="8"/>
      <c r="S240" s="8"/>
      <c r="T240" s="8"/>
      <c r="U240" s="8"/>
    </row>
    <row r="241">
      <c r="A241" s="10" t="s">
        <v>768</v>
      </c>
      <c r="B241" s="10" t="s">
        <v>803</v>
      </c>
      <c r="C241" s="12" t="s">
        <v>838</v>
      </c>
      <c r="D241" s="13" t="s">
        <v>839</v>
      </c>
      <c r="E241" s="16">
        <f t="array" ref="E241">XLOOKUP(C241,'DATA TK PANEN'!D:D,'DATA TK PANEN'!H:H)</f>
        <v>0</v>
      </c>
      <c r="F241" s="10" t="str">
        <f>IFERROR(__xludf.DUMMYFUNCTION("XLOOKUP(C241,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1" s="10" t="str">
        <f>IFERROR(__xludf.DUMMYFUNCTION("XLOOKUP($C241,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1" s="10">
        <f>IFERROR(__xludf.DUMMYFUNCTION("XLOOKUP($C241,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1" s="18"/>
      <c r="J241" s="18"/>
      <c r="K241" s="10">
        <f>IFERROR(__xludf.DUMMYFUNCTION("XLOOKUP($C241,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1" s="10">
        <f>IFERROR(__xludf.DUMMYFUNCTION("XLOOKUP($C241,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1" s="8"/>
      <c r="N241" s="8"/>
      <c r="O241" s="8"/>
      <c r="P241" s="8"/>
      <c r="Q241" s="8"/>
      <c r="R241" s="8"/>
      <c r="S241" s="8"/>
      <c r="T241" s="8"/>
      <c r="U241" s="8"/>
    </row>
    <row r="242">
      <c r="A242" s="10" t="s">
        <v>768</v>
      </c>
      <c r="B242" s="10" t="s">
        <v>803</v>
      </c>
      <c r="C242" s="12" t="s">
        <v>841</v>
      </c>
      <c r="D242" s="13" t="s">
        <v>843</v>
      </c>
      <c r="E242" s="16">
        <f t="array" ref="E242">XLOOKUP(C242,'DATA TK PANEN'!D:D,'DATA TK PANEN'!H:H)</f>
        <v>0</v>
      </c>
      <c r="F242" s="10" t="str">
        <f>IFERROR(__xludf.DUMMYFUNCTION("XLOOKUP(C242,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2" s="10" t="str">
        <f>IFERROR(__xludf.DUMMYFUNCTION("XLOOKUP($C242,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2" s="10">
        <f>IFERROR(__xludf.DUMMYFUNCTION("XLOOKUP($C242,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2" s="18"/>
      <c r="J242" s="18"/>
      <c r="K242" s="10">
        <f>IFERROR(__xludf.DUMMYFUNCTION("XLOOKUP($C242,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2" s="10">
        <f>IFERROR(__xludf.DUMMYFUNCTION("XLOOKUP($C242,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2" s="8"/>
      <c r="N242" s="8"/>
      <c r="O242" s="8"/>
      <c r="P242" s="8"/>
      <c r="Q242" s="8"/>
      <c r="R242" s="8"/>
      <c r="S242" s="8"/>
      <c r="T242" s="8"/>
      <c r="U242" s="8"/>
    </row>
    <row r="243">
      <c r="A243" s="10" t="s">
        <v>768</v>
      </c>
      <c r="B243" s="10" t="s">
        <v>803</v>
      </c>
      <c r="C243" s="12" t="s">
        <v>845</v>
      </c>
      <c r="D243" s="13" t="s">
        <v>846</v>
      </c>
      <c r="E243" s="16" t="str">
        <f t="array" ref="E243">XLOOKUP(C243,'DATA TK PANEN'!D:D,'DATA TK PANEN'!H:H)</f>
        <v>Tidak Ditemukan</v>
      </c>
      <c r="F243" s="10" t="str">
        <f>IFERROR(__xludf.DUMMYFUNCTION("XLOOKUP(C243,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3" s="10" t="str">
        <f>IFERROR(__xludf.DUMMYFUNCTION("XLOOKUP($C243,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3" s="10">
        <f>IFERROR(__xludf.DUMMYFUNCTION("XLOOKUP($C243,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3" s="18"/>
      <c r="J243" s="18"/>
      <c r="K243" s="10">
        <f>IFERROR(__xludf.DUMMYFUNCTION("XLOOKUP($C243,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3" s="10">
        <f>IFERROR(__xludf.DUMMYFUNCTION("XLOOKUP($C243,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3" s="8"/>
      <c r="N243" s="8"/>
      <c r="O243" s="8"/>
      <c r="P243" s="8"/>
      <c r="Q243" s="8"/>
      <c r="R243" s="8"/>
      <c r="S243" s="8"/>
      <c r="T243" s="8"/>
      <c r="U243" s="8"/>
    </row>
    <row r="244">
      <c r="A244" s="10" t="s">
        <v>768</v>
      </c>
      <c r="B244" s="10" t="s">
        <v>803</v>
      </c>
      <c r="C244" s="12" t="s">
        <v>848</v>
      </c>
      <c r="D244" s="13" t="s">
        <v>849</v>
      </c>
      <c r="E244" s="16">
        <f t="array" ref="E244">XLOOKUP(C244,'DATA TK PANEN'!D:D,'DATA TK PANEN'!H:H)</f>
        <v>91.21</v>
      </c>
      <c r="F244" s="10">
        <f>IFERROR(__xludf.DUMMYFUNCTION("XLOOKUP(C244,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(AUTO)'!S6:S""))"),5.472599999999999)</f>
        <v>5.4726</v>
      </c>
      <c r="G244" s="10">
        <f>IFERROR(__xludf.DUMMYFUNCTION("XLOOKUP($C244,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244" s="10">
        <f>IFERROR(__xludf.DUMMYFUNCTION("XLOOKUP($C244,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4" s="18"/>
      <c r="J244" s="18"/>
      <c r="K244" s="10">
        <f>IFERROR(__xludf.DUMMYFUNCTION("XLOOKUP($C244,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4" s="10">
        <f>IFERROR(__xludf.DUMMYFUNCTION("XLOOKUP($C244,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4" s="8"/>
      <c r="N244" s="8"/>
      <c r="O244" s="8"/>
      <c r="P244" s="8"/>
      <c r="Q244" s="8"/>
      <c r="R244" s="8"/>
      <c r="S244" s="8"/>
      <c r="T244" s="8"/>
      <c r="U244" s="8"/>
    </row>
    <row r="245">
      <c r="A245" s="10" t="s">
        <v>768</v>
      </c>
      <c r="B245" s="10" t="s">
        <v>803</v>
      </c>
      <c r="C245" s="12" t="s">
        <v>852</v>
      </c>
      <c r="D245" s="13" t="s">
        <v>853</v>
      </c>
      <c r="E245" s="16" t="str">
        <f t="array" ref="E245">XLOOKUP(C245,'DATA TK PANEN'!D:D,'DATA TK PANEN'!H:H)</f>
        <v>Tidak Ditemukan</v>
      </c>
      <c r="F245" s="10" t="str">
        <f>IFERROR(__xludf.DUMMYFUNCTION("XLOOKUP(C245,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5" s="10" t="str">
        <f>IFERROR(__xludf.DUMMYFUNCTION("XLOOKUP($C245,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5" s="10">
        <f>IFERROR(__xludf.DUMMYFUNCTION("XLOOKUP($C245,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245" s="18"/>
      <c r="J245" s="18"/>
      <c r="K245" s="10">
        <f>IFERROR(__xludf.DUMMYFUNCTION("XLOOKUP($C245,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245" s="10">
        <f>IFERROR(__xludf.DUMMYFUNCTION("XLOOKUP($C245,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245" s="8"/>
      <c r="N245" s="8"/>
      <c r="O245" s="8"/>
      <c r="P245" s="8"/>
      <c r="Q245" s="8"/>
      <c r="R245" s="8"/>
      <c r="S245" s="8"/>
      <c r="T245" s="8"/>
      <c r="U245" s="8"/>
    </row>
    <row r="246">
      <c r="A246" s="10" t="s">
        <v>768</v>
      </c>
      <c r="B246" s="10" t="s">
        <v>855</v>
      </c>
      <c r="C246" s="12" t="s">
        <v>857</v>
      </c>
      <c r="D246" s="13" t="s">
        <v>859</v>
      </c>
      <c r="E246" s="16">
        <f t="array" ref="E246">XLOOKUP(C246,'DATA TK PANEN'!D:D,'DATA TK PANEN'!H:H)</f>
        <v>1183.33</v>
      </c>
      <c r="F246" s="10">
        <f>IFERROR(__xludf.DUMMYFUNCTION("XLOOKUP(C246,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(AUTO)'!S6:S""))"),59.1665)</f>
        <v>59.1665</v>
      </c>
      <c r="G246" s="10">
        <f>IFERROR(__xludf.DUMMYFUNCTION("XLOOKUP($C246,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(AUTO)'!T6:T""))"),38.0)</f>
        <v>38</v>
      </c>
      <c r="H246" s="10">
        <f>IFERROR(__xludf.DUMMYFUNCTION("XLOOKUP($C246,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(AUTO)'!V6:V""))"),42.0)</f>
        <v>42</v>
      </c>
      <c r="I246" s="18"/>
      <c r="J246" s="18"/>
      <c r="K246" s="10" t="str">
        <f>IFERROR(__xludf.DUMMYFUNCTION("XLOOKUP($C246,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46" s="10" t="str">
        <f>IFERROR(__xludf.DUMMYFUNCTION("XLOOKUP($C246,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46" s="8"/>
      <c r="N246" s="8"/>
      <c r="O246" s="8"/>
      <c r="P246" s="8"/>
      <c r="Q246" s="8"/>
      <c r="R246" s="8"/>
      <c r="S246" s="8"/>
      <c r="T246" s="8"/>
      <c r="U246" s="8"/>
    </row>
    <row r="247">
      <c r="A247" s="10" t="s">
        <v>768</v>
      </c>
      <c r="B247" s="10" t="s">
        <v>855</v>
      </c>
      <c r="C247" s="12" t="s">
        <v>861</v>
      </c>
      <c r="D247" s="13" t="s">
        <v>862</v>
      </c>
      <c r="E247" s="16">
        <f t="array" ref="E247">XLOOKUP(C247,'DATA TK PANEN'!D:D,'DATA TK PANEN'!H:H)</f>
        <v>0</v>
      </c>
      <c r="F247" s="10" t="str">
        <f>IFERROR(__xludf.DUMMYFUNCTION("XLOOKUP(C247,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47" s="10" t="str">
        <f>IFERROR(__xludf.DUMMYFUNCTION("XLOOKUP($C247,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7" s="10" t="str">
        <f>IFERROR(__xludf.DUMMYFUNCTION("XLOOKUP($C247,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47" s="18"/>
      <c r="J247" s="18"/>
      <c r="K247" s="10" t="str">
        <f>IFERROR(__xludf.DUMMYFUNCTION("XLOOKUP($C247,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47" s="10" t="str">
        <f>IFERROR(__xludf.DUMMYFUNCTION("XLOOKUP($C247,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47" s="8"/>
      <c r="N247" s="8"/>
      <c r="O247" s="8"/>
      <c r="P247" s="8"/>
      <c r="Q247" s="8"/>
      <c r="R247" s="8"/>
      <c r="S247" s="8"/>
      <c r="T247" s="8"/>
      <c r="U247" s="8"/>
    </row>
    <row r="248">
      <c r="A248" s="10" t="s">
        <v>768</v>
      </c>
      <c r="B248" s="10" t="s">
        <v>855</v>
      </c>
      <c r="C248" s="12" t="s">
        <v>865</v>
      </c>
      <c r="D248" s="13" t="s">
        <v>866</v>
      </c>
      <c r="E248" s="16">
        <f t="array" ref="E248">XLOOKUP(C248,'DATA TK PANEN'!D:D,'DATA TK PANEN'!H:H)</f>
        <v>106.17</v>
      </c>
      <c r="F248" s="10">
        <f>IFERROR(__xludf.DUMMYFUNCTION("XLOOKUP(C248,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(AUTO)'!S6:S""))"),5.3085)</f>
        <v>5.3085</v>
      </c>
      <c r="G248" s="10">
        <f>IFERROR(__xludf.DUMMYFUNCTION("XLOOKUP($C248,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248" s="10">
        <f>IFERROR(__xludf.DUMMYFUNCTION("XLOOKUP($C248,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248" s="18"/>
      <c r="J248" s="18"/>
      <c r="K248" s="10" t="str">
        <f>IFERROR(__xludf.DUMMYFUNCTION("XLOOKUP($C248,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48" s="10" t="str">
        <f>IFERROR(__xludf.DUMMYFUNCTION("XLOOKUP($C248,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48" s="8"/>
      <c r="N248" s="8"/>
      <c r="O248" s="8"/>
      <c r="P248" s="8"/>
      <c r="Q248" s="8"/>
      <c r="R248" s="8"/>
      <c r="S248" s="8"/>
      <c r="T248" s="8"/>
      <c r="U248" s="8"/>
    </row>
    <row r="249">
      <c r="A249" s="10" t="s">
        <v>768</v>
      </c>
      <c r="B249" s="10" t="s">
        <v>855</v>
      </c>
      <c r="C249" s="12" t="s">
        <v>868</v>
      </c>
      <c r="D249" s="13" t="s">
        <v>869</v>
      </c>
      <c r="E249" s="16">
        <f t="array" ref="E249">XLOOKUP(C249,'DATA TK PANEN'!D:D,'DATA TK PANEN'!H:H)</f>
        <v>566.8</v>
      </c>
      <c r="F249" s="10">
        <f>IFERROR(__xludf.DUMMYFUNCTION("XLOOKUP(C249,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(AUTO)'!S6:S""))"),28.34)</f>
        <v>28.34</v>
      </c>
      <c r="G249" s="10" t="str">
        <f>IFERROR(__xludf.DUMMYFUNCTION("XLOOKUP($C249,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49" s="10">
        <f>IFERROR(__xludf.DUMMYFUNCTION("XLOOKUP($C249,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(AUTO)'!V6:V""))"),20.0)</f>
        <v>20</v>
      </c>
      <c r="I249" s="18"/>
      <c r="J249" s="18"/>
      <c r="K249" s="10" t="str">
        <f>IFERROR(__xludf.DUMMYFUNCTION("XLOOKUP($C249,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49" s="10" t="str">
        <f>IFERROR(__xludf.DUMMYFUNCTION("XLOOKUP($C249,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49" s="8"/>
      <c r="N249" s="8"/>
      <c r="O249" s="8"/>
      <c r="P249" s="8"/>
      <c r="Q249" s="8"/>
      <c r="R249" s="8"/>
      <c r="S249" s="8"/>
      <c r="T249" s="8"/>
      <c r="U249" s="8"/>
    </row>
    <row r="250">
      <c r="A250" s="10" t="s">
        <v>768</v>
      </c>
      <c r="B250" s="10" t="s">
        <v>855</v>
      </c>
      <c r="C250" s="12" t="s">
        <v>872</v>
      </c>
      <c r="D250" s="13" t="s">
        <v>873</v>
      </c>
      <c r="E250" s="16">
        <f t="array" ref="E250">XLOOKUP(C250,'DATA TK PANEN'!D:D,'DATA TK PANEN'!H:H)</f>
        <v>807.92</v>
      </c>
      <c r="F250" s="10">
        <f>IFERROR(__xludf.DUMMYFUNCTION("XLOOKUP(C250,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(AUTO)'!S6:S""))"),48.0)</f>
        <v>48</v>
      </c>
      <c r="G250" s="10">
        <f>IFERROR(__xludf.DUMMYFUNCTION("XLOOKUP($C250,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(AUTO)'!T6:T""))"),38.0)</f>
        <v>38</v>
      </c>
      <c r="H250" s="10">
        <f>IFERROR(__xludf.DUMMYFUNCTION("XLOOKUP($C250,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(AUTO)'!V6:V""))"),39.0)</f>
        <v>39</v>
      </c>
      <c r="I250" s="18"/>
      <c r="J250" s="18"/>
      <c r="K250" s="10" t="str">
        <f>IFERROR(__xludf.DUMMYFUNCTION("XLOOKUP($C250,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0" s="10" t="str">
        <f>IFERROR(__xludf.DUMMYFUNCTION("XLOOKUP($C250,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0" s="8"/>
      <c r="N250" s="8"/>
      <c r="O250" s="8"/>
      <c r="P250" s="8"/>
      <c r="Q250" s="8"/>
      <c r="R250" s="8"/>
      <c r="S250" s="8"/>
      <c r="T250" s="8"/>
      <c r="U250" s="8"/>
    </row>
    <row r="251">
      <c r="A251" s="10" t="s">
        <v>768</v>
      </c>
      <c r="B251" s="10" t="s">
        <v>875</v>
      </c>
      <c r="C251" s="12" t="s">
        <v>877</v>
      </c>
      <c r="D251" s="13" t="s">
        <v>878</v>
      </c>
      <c r="E251" s="16">
        <f t="array" ref="E251">XLOOKUP(C251,'DATA TK PANEN'!D:D,'DATA TK PANEN'!H:H)</f>
        <v>0</v>
      </c>
      <c r="F251" s="10" t="str">
        <f>IFERROR(__xludf.DUMMYFUNCTION("XLOOKUP(C251,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1" s="10" t="str">
        <f>IFERROR(__xludf.DUMMYFUNCTION("XLOOKUP($C251,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1" s="10" t="str">
        <f>IFERROR(__xludf.DUMMYFUNCTION("XLOOKUP($C251,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1" s="18"/>
      <c r="J251" s="18"/>
      <c r="K251" s="10" t="str">
        <f>IFERROR(__xludf.DUMMYFUNCTION("XLOOKUP($C251,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1" s="10" t="str">
        <f>IFERROR(__xludf.DUMMYFUNCTION("XLOOKUP($C251,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1" s="8"/>
      <c r="N251" s="8"/>
      <c r="O251" s="8"/>
      <c r="P251" s="8"/>
      <c r="Q251" s="8"/>
      <c r="R251" s="8"/>
      <c r="S251" s="8"/>
      <c r="T251" s="8"/>
      <c r="U251" s="8"/>
    </row>
    <row r="252">
      <c r="A252" s="10" t="s">
        <v>768</v>
      </c>
      <c r="B252" s="10" t="s">
        <v>875</v>
      </c>
      <c r="C252" s="12" t="s">
        <v>880</v>
      </c>
      <c r="D252" s="13" t="s">
        <v>881</v>
      </c>
      <c r="E252" s="16">
        <f t="array" ref="E252">XLOOKUP(C252,'DATA TK PANEN'!D:D,'DATA TK PANEN'!H:H)</f>
        <v>0</v>
      </c>
      <c r="F252" s="10" t="str">
        <f>IFERROR(__xludf.DUMMYFUNCTION("XLOOKUP(C252,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2" s="10" t="str">
        <f>IFERROR(__xludf.DUMMYFUNCTION("XLOOKUP($C252,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2" s="10" t="str">
        <f>IFERROR(__xludf.DUMMYFUNCTION("XLOOKUP($C252,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2" s="18"/>
      <c r="J252" s="18"/>
      <c r="K252" s="10" t="str">
        <f>IFERROR(__xludf.DUMMYFUNCTION("XLOOKUP($C252,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2" s="10" t="str">
        <f>IFERROR(__xludf.DUMMYFUNCTION("XLOOKUP($C252,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2" s="8"/>
      <c r="N252" s="8"/>
      <c r="O252" s="8"/>
      <c r="P252" s="8"/>
      <c r="Q252" s="8"/>
      <c r="R252" s="8"/>
      <c r="S252" s="8"/>
      <c r="T252" s="8"/>
      <c r="U252" s="8"/>
    </row>
    <row r="253">
      <c r="A253" s="10" t="s">
        <v>768</v>
      </c>
      <c r="B253" s="10" t="s">
        <v>875</v>
      </c>
      <c r="C253" s="12" t="s">
        <v>883</v>
      </c>
      <c r="D253" s="13" t="s">
        <v>885</v>
      </c>
      <c r="E253" s="16">
        <f t="array" ref="E253">XLOOKUP(C253,'DATA TK PANEN'!D:D,'DATA TK PANEN'!H:H)</f>
        <v>86.49</v>
      </c>
      <c r="F253" s="10" t="str">
        <f>IFERROR(__xludf.DUMMYFUNCTION("XLOOKUP(C253,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3" s="10" t="str">
        <f>IFERROR(__xludf.DUMMYFUNCTION("XLOOKUP($C253,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3" s="10" t="str">
        <f>IFERROR(__xludf.DUMMYFUNCTION("XLOOKUP($C253,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3" s="18"/>
      <c r="J253" s="18"/>
      <c r="K253" s="10" t="str">
        <f>IFERROR(__xludf.DUMMYFUNCTION("XLOOKUP($C253,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3" s="10" t="str">
        <f>IFERROR(__xludf.DUMMYFUNCTION("XLOOKUP($C253,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3" s="8"/>
      <c r="N253" s="8"/>
      <c r="O253" s="8"/>
      <c r="P253" s="8"/>
      <c r="Q253" s="8"/>
      <c r="R253" s="8"/>
      <c r="S253" s="8"/>
      <c r="T253" s="8"/>
      <c r="U253" s="8"/>
    </row>
    <row r="254">
      <c r="A254" s="10" t="s">
        <v>768</v>
      </c>
      <c r="B254" s="10" t="s">
        <v>875</v>
      </c>
      <c r="C254" s="12" t="s">
        <v>886</v>
      </c>
      <c r="D254" s="13" t="s">
        <v>887</v>
      </c>
      <c r="E254" s="16">
        <f t="array" ref="E254">XLOOKUP(C254,'DATA TK PANEN'!D:D,'DATA TK PANEN'!H:H)</f>
        <v>0</v>
      </c>
      <c r="F254" s="10" t="str">
        <f>IFERROR(__xludf.DUMMYFUNCTION("XLOOKUP(C254,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4" s="10" t="str">
        <f>IFERROR(__xludf.DUMMYFUNCTION("XLOOKUP($C254,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4" s="10" t="str">
        <f>IFERROR(__xludf.DUMMYFUNCTION("XLOOKUP($C254,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4" s="18"/>
      <c r="J254" s="18"/>
      <c r="K254" s="10" t="str">
        <f>IFERROR(__xludf.DUMMYFUNCTION("XLOOKUP($C254,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4" s="10" t="str">
        <f>IFERROR(__xludf.DUMMYFUNCTION("XLOOKUP($C254,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4" s="8"/>
      <c r="N254" s="8"/>
      <c r="O254" s="8"/>
      <c r="P254" s="8"/>
      <c r="Q254" s="8"/>
      <c r="R254" s="8"/>
      <c r="S254" s="8"/>
      <c r="T254" s="8"/>
      <c r="U254" s="8"/>
    </row>
    <row r="255">
      <c r="A255" s="10" t="s">
        <v>768</v>
      </c>
      <c r="B255" s="10" t="s">
        <v>875</v>
      </c>
      <c r="C255" s="12" t="s">
        <v>889</v>
      </c>
      <c r="D255" s="13" t="s">
        <v>891</v>
      </c>
      <c r="E255" s="16">
        <f t="array" ref="E255">XLOOKUP(C255,'DATA TK PANEN'!D:D,'DATA TK PANEN'!H:H)</f>
        <v>62.13</v>
      </c>
      <c r="F255" s="10" t="str">
        <f>IFERROR(__xludf.DUMMYFUNCTION("XLOOKUP(C255,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5" s="10" t="str">
        <f>IFERROR(__xludf.DUMMYFUNCTION("XLOOKUP($C255,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5" s="10" t="str">
        <f>IFERROR(__xludf.DUMMYFUNCTION("XLOOKUP($C255,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5" s="18"/>
      <c r="J255" s="18"/>
      <c r="K255" s="10" t="str">
        <f>IFERROR(__xludf.DUMMYFUNCTION("XLOOKUP($C255,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5" s="10" t="str">
        <f>IFERROR(__xludf.DUMMYFUNCTION("XLOOKUP($C255,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5" s="8"/>
      <c r="N255" s="8"/>
      <c r="O255" s="8"/>
      <c r="P255" s="8"/>
      <c r="Q255" s="8"/>
      <c r="R255" s="8"/>
      <c r="S255" s="8"/>
      <c r="T255" s="8"/>
      <c r="U255" s="8"/>
    </row>
    <row r="256">
      <c r="A256" s="10" t="s">
        <v>768</v>
      </c>
      <c r="B256" s="10" t="s">
        <v>875</v>
      </c>
      <c r="C256" s="12" t="s">
        <v>893</v>
      </c>
      <c r="D256" s="13" t="s">
        <v>895</v>
      </c>
      <c r="E256" s="16">
        <f t="array" ref="E256">XLOOKUP(C256,'DATA TK PANEN'!D:D,'DATA TK PANEN'!H:H)</f>
        <v>3901.41</v>
      </c>
      <c r="F256" s="10">
        <f>IFERROR(__xludf.DUMMYFUNCTION("XLOOKUP(C256,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(AUTO)'!S6:S""))"),234.0)</f>
        <v>234</v>
      </c>
      <c r="G256" s="10">
        <f>IFERROR(__xludf.DUMMYFUNCTION("XLOOKUP($C256,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(AUTO)'!T6:T""))"),64.0)</f>
        <v>64</v>
      </c>
      <c r="H256" s="10">
        <f>IFERROR(__xludf.DUMMYFUNCTION("XLOOKUP($C256,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(AUTO)'!V6:V""))"),51.0)</f>
        <v>51</v>
      </c>
      <c r="I256" s="18"/>
      <c r="J256" s="18"/>
      <c r="K256" s="10" t="str">
        <f>IFERROR(__xludf.DUMMYFUNCTION("XLOOKUP($C256,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6" s="10" t="str">
        <f>IFERROR(__xludf.DUMMYFUNCTION("XLOOKUP($C256,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6" s="8"/>
      <c r="N256" s="8"/>
      <c r="O256" s="8"/>
      <c r="P256" s="8"/>
      <c r="Q256" s="8"/>
      <c r="R256" s="8"/>
      <c r="S256" s="8"/>
      <c r="T256" s="8"/>
      <c r="U256" s="8"/>
    </row>
    <row r="257">
      <c r="A257" s="10" t="s">
        <v>768</v>
      </c>
      <c r="B257" s="10" t="s">
        <v>875</v>
      </c>
      <c r="C257" s="12" t="s">
        <v>897</v>
      </c>
      <c r="D257" s="13" t="s">
        <v>898</v>
      </c>
      <c r="E257" s="16" t="str">
        <f t="array" ref="E257">XLOOKUP(C257,'DATA TK PANEN'!D:D,'DATA TK PANEN'!H:H)</f>
        <v>Tidak Ditemukan</v>
      </c>
      <c r="F257" s="10" t="str">
        <f>IFERROR(__xludf.DUMMYFUNCTION("XLOOKUP(C257,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7" s="10" t="str">
        <f>IFERROR(__xludf.DUMMYFUNCTION("XLOOKUP($C257,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7" s="10" t="str">
        <f>IFERROR(__xludf.DUMMYFUNCTION("XLOOKUP($C257,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7" s="18"/>
      <c r="J257" s="18"/>
      <c r="K257" s="10" t="str">
        <f>IFERROR(__xludf.DUMMYFUNCTION("XLOOKUP($C257,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7" s="10" t="str">
        <f>IFERROR(__xludf.DUMMYFUNCTION("XLOOKUP($C257,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7" s="8"/>
      <c r="N257" s="8"/>
      <c r="O257" s="8"/>
      <c r="P257" s="8"/>
      <c r="Q257" s="8"/>
      <c r="R257" s="8"/>
      <c r="S257" s="8"/>
      <c r="T257" s="8"/>
      <c r="U257" s="8"/>
    </row>
    <row r="258">
      <c r="A258" s="10" t="s">
        <v>768</v>
      </c>
      <c r="B258" s="10" t="s">
        <v>875</v>
      </c>
      <c r="C258" s="12" t="s">
        <v>900</v>
      </c>
      <c r="D258" s="13" t="s">
        <v>901</v>
      </c>
      <c r="E258" s="16">
        <f t="array" ref="E258">XLOOKUP(C258,'DATA TK PANEN'!D:D,'DATA TK PANEN'!H:H)</f>
        <v>0</v>
      </c>
      <c r="F258" s="10" t="str">
        <f>IFERROR(__xludf.DUMMYFUNCTION("XLOOKUP(C258,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8" s="10" t="str">
        <f>IFERROR(__xludf.DUMMYFUNCTION("XLOOKUP($C258,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8" s="10" t="str">
        <f>IFERROR(__xludf.DUMMYFUNCTION("XLOOKUP($C258,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8" s="18"/>
      <c r="J258" s="18"/>
      <c r="K258" s="10" t="str">
        <f>IFERROR(__xludf.DUMMYFUNCTION("XLOOKUP($C258,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8" s="10" t="str">
        <f>IFERROR(__xludf.DUMMYFUNCTION("XLOOKUP($C258,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8" s="8"/>
      <c r="N258" s="8"/>
      <c r="O258" s="8"/>
      <c r="P258" s="8"/>
      <c r="Q258" s="8"/>
      <c r="R258" s="8"/>
      <c r="S258" s="8"/>
      <c r="T258" s="8"/>
      <c r="U258" s="8"/>
    </row>
    <row r="259">
      <c r="A259" s="10" t="s">
        <v>768</v>
      </c>
      <c r="B259" s="10" t="s">
        <v>875</v>
      </c>
      <c r="C259" s="12" t="s">
        <v>906</v>
      </c>
      <c r="D259" s="13" t="s">
        <v>907</v>
      </c>
      <c r="E259" s="16" t="str">
        <f t="array" ref="E259">XLOOKUP(C259,'DATA TK PANEN'!D:D,'DATA TK PANEN'!H:H)</f>
        <v>Tidak Ditemukan</v>
      </c>
      <c r="F259" s="10" t="str">
        <f>IFERROR(__xludf.DUMMYFUNCTION("XLOOKUP(C259,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59" s="10" t="str">
        <f>IFERROR(__xludf.DUMMYFUNCTION("XLOOKUP($C259,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59" s="10" t="str">
        <f>IFERROR(__xludf.DUMMYFUNCTION("XLOOKUP($C259,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59" s="18"/>
      <c r="J259" s="18"/>
      <c r="K259" s="10" t="str">
        <f>IFERROR(__xludf.DUMMYFUNCTION("XLOOKUP($C259,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59" s="10" t="str">
        <f>IFERROR(__xludf.DUMMYFUNCTION("XLOOKUP($C259,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59" s="8"/>
      <c r="N259" s="8"/>
      <c r="O259" s="8"/>
      <c r="P259" s="8"/>
      <c r="Q259" s="8"/>
      <c r="R259" s="8"/>
      <c r="S259" s="8"/>
      <c r="T259" s="8"/>
      <c r="U259" s="8"/>
    </row>
    <row r="260">
      <c r="A260" s="10" t="s">
        <v>768</v>
      </c>
      <c r="B260" s="10" t="s">
        <v>875</v>
      </c>
      <c r="C260" s="12" t="s">
        <v>909</v>
      </c>
      <c r="D260" s="13" t="s">
        <v>910</v>
      </c>
      <c r="E260" s="16">
        <f t="array" ref="E260">XLOOKUP(C260,'DATA TK PANEN'!D:D,'DATA TK PANEN'!H:H)</f>
        <v>4.89</v>
      </c>
      <c r="F260" s="10" t="str">
        <f>IFERROR(__xludf.DUMMYFUNCTION("XLOOKUP(C260,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0" s="10" t="str">
        <f>IFERROR(__xludf.DUMMYFUNCTION("XLOOKUP($C260,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0" s="10" t="str">
        <f>IFERROR(__xludf.DUMMYFUNCTION("XLOOKUP($C260,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0" s="18"/>
      <c r="J260" s="18"/>
      <c r="K260" s="10" t="str">
        <f>IFERROR(__xludf.DUMMYFUNCTION("XLOOKUP($C260,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0" s="10" t="str">
        <f>IFERROR(__xludf.DUMMYFUNCTION("XLOOKUP($C260,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0" s="8"/>
      <c r="N260" s="8"/>
      <c r="O260" s="8"/>
      <c r="P260" s="8"/>
      <c r="Q260" s="8"/>
      <c r="R260" s="8"/>
      <c r="S260" s="8"/>
      <c r="T260" s="8"/>
      <c r="U260" s="8"/>
    </row>
    <row r="261">
      <c r="A261" s="10" t="s">
        <v>768</v>
      </c>
      <c r="B261" s="10" t="s">
        <v>875</v>
      </c>
      <c r="C261" s="12" t="s">
        <v>913</v>
      </c>
      <c r="D261" s="13" t="s">
        <v>915</v>
      </c>
      <c r="E261" s="16">
        <f t="array" ref="E261">XLOOKUP(C261,'DATA TK PANEN'!D:D,'DATA TK PANEN'!H:H)</f>
        <v>326</v>
      </c>
      <c r="F261" s="10" t="str">
        <f>IFERROR(__xludf.DUMMYFUNCTION("XLOOKUP(C261,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1" s="10" t="str">
        <f>IFERROR(__xludf.DUMMYFUNCTION("XLOOKUP($C261,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1" s="10" t="str">
        <f>IFERROR(__xludf.DUMMYFUNCTION("XLOOKUP($C261,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1" s="18"/>
      <c r="J261" s="18"/>
      <c r="K261" s="10" t="str">
        <f>IFERROR(__xludf.DUMMYFUNCTION("XLOOKUP($C261,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1" s="10" t="str">
        <f>IFERROR(__xludf.DUMMYFUNCTION("XLOOKUP($C261,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1" s="8"/>
      <c r="N261" s="8"/>
      <c r="O261" s="8"/>
      <c r="P261" s="8"/>
      <c r="Q261" s="8"/>
      <c r="R261" s="8"/>
      <c r="S261" s="8"/>
      <c r="T261" s="8"/>
      <c r="U261" s="8"/>
    </row>
    <row r="262">
      <c r="A262" s="10" t="s">
        <v>768</v>
      </c>
      <c r="B262" s="10" t="s">
        <v>875</v>
      </c>
      <c r="C262" s="12" t="s">
        <v>917</v>
      </c>
      <c r="D262" s="13" t="s">
        <v>919</v>
      </c>
      <c r="E262" s="16">
        <f t="array" ref="E262">XLOOKUP(C262,'DATA TK PANEN'!D:D,'DATA TK PANEN'!H:H)</f>
        <v>34.29</v>
      </c>
      <c r="F262" s="10" t="str">
        <f>IFERROR(__xludf.DUMMYFUNCTION("XLOOKUP(C262,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2" s="10" t="str">
        <f>IFERROR(__xludf.DUMMYFUNCTION("XLOOKUP($C262,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2" s="10" t="str">
        <f>IFERROR(__xludf.DUMMYFUNCTION("XLOOKUP($C262,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2" s="18"/>
      <c r="J262" s="18"/>
      <c r="K262" s="10" t="str">
        <f>IFERROR(__xludf.DUMMYFUNCTION("XLOOKUP($C262,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2" s="10" t="str">
        <f>IFERROR(__xludf.DUMMYFUNCTION("XLOOKUP($C262,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2" s="8"/>
      <c r="N262" s="8"/>
      <c r="O262" s="8"/>
      <c r="P262" s="8"/>
      <c r="Q262" s="8"/>
      <c r="R262" s="8"/>
      <c r="S262" s="8"/>
      <c r="T262" s="8"/>
      <c r="U262" s="8"/>
    </row>
    <row r="263">
      <c r="A263" s="10" t="s">
        <v>768</v>
      </c>
      <c r="B263" s="10" t="s">
        <v>875</v>
      </c>
      <c r="C263" s="12" t="s">
        <v>921</v>
      </c>
      <c r="D263" s="13" t="s">
        <v>923</v>
      </c>
      <c r="E263" s="16">
        <f t="array" ref="E263">XLOOKUP(C263,'DATA TK PANEN'!D:D,'DATA TK PANEN'!H:H)</f>
        <v>0</v>
      </c>
      <c r="F263" s="10" t="str">
        <f>IFERROR(__xludf.DUMMYFUNCTION("XLOOKUP(C263,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3" s="10" t="str">
        <f>IFERROR(__xludf.DUMMYFUNCTION("XLOOKUP($C263,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3" s="10" t="str">
        <f>IFERROR(__xludf.DUMMYFUNCTION("XLOOKUP($C263,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3" s="18"/>
      <c r="J263" s="18"/>
      <c r="K263" s="10" t="str">
        <f>IFERROR(__xludf.DUMMYFUNCTION("XLOOKUP($C263,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3" s="10" t="str">
        <f>IFERROR(__xludf.DUMMYFUNCTION("XLOOKUP($C263,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3" s="8"/>
      <c r="N263" s="8"/>
      <c r="O263" s="8"/>
      <c r="P263" s="8"/>
      <c r="Q263" s="8"/>
      <c r="R263" s="8"/>
      <c r="S263" s="8"/>
      <c r="T263" s="8"/>
      <c r="U263" s="8"/>
    </row>
    <row r="264">
      <c r="A264" s="10" t="s">
        <v>768</v>
      </c>
      <c r="B264" s="10" t="s">
        <v>875</v>
      </c>
      <c r="C264" s="12" t="s">
        <v>925</v>
      </c>
      <c r="D264" s="13" t="s">
        <v>926</v>
      </c>
      <c r="E264" s="16">
        <f t="array" ref="E264">XLOOKUP(C264,'DATA TK PANEN'!D:D,'DATA TK PANEN'!H:H)</f>
        <v>0</v>
      </c>
      <c r="F264" s="10" t="str">
        <f>IFERROR(__xludf.DUMMYFUNCTION("XLOOKUP(C264,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4" s="10" t="str">
        <f>IFERROR(__xludf.DUMMYFUNCTION("XLOOKUP($C264,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4" s="10" t="str">
        <f>IFERROR(__xludf.DUMMYFUNCTION("XLOOKUP($C264,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4" s="18"/>
      <c r="J264" s="18"/>
      <c r="K264" s="10" t="str">
        <f>IFERROR(__xludf.DUMMYFUNCTION("XLOOKUP($C264,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4" s="10" t="str">
        <f>IFERROR(__xludf.DUMMYFUNCTION("XLOOKUP($C264,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4" s="8"/>
      <c r="N264" s="8"/>
      <c r="O264" s="8"/>
      <c r="P264" s="8"/>
      <c r="Q264" s="8"/>
      <c r="R264" s="8"/>
      <c r="S264" s="8"/>
      <c r="T264" s="8"/>
      <c r="U264" s="8"/>
    </row>
    <row r="265">
      <c r="A265" s="10" t="s">
        <v>768</v>
      </c>
      <c r="B265" s="10" t="s">
        <v>875</v>
      </c>
      <c r="C265" s="12" t="s">
        <v>928</v>
      </c>
      <c r="D265" s="13" t="s">
        <v>929</v>
      </c>
      <c r="E265" s="16">
        <f t="array" ref="E265">XLOOKUP(C265,'DATA TK PANEN'!D:D,'DATA TK PANEN'!H:H)</f>
        <v>0</v>
      </c>
      <c r="F265" s="10" t="str">
        <f>IFERROR(__xludf.DUMMYFUNCTION("XLOOKUP(C265,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5" s="10" t="str">
        <f>IFERROR(__xludf.DUMMYFUNCTION("XLOOKUP($C265,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5" s="10" t="str">
        <f>IFERROR(__xludf.DUMMYFUNCTION("XLOOKUP($C265,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5" s="18"/>
      <c r="J265" s="18"/>
      <c r="K265" s="10" t="str">
        <f>IFERROR(__xludf.DUMMYFUNCTION("XLOOKUP($C265,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5" s="10" t="str">
        <f>IFERROR(__xludf.DUMMYFUNCTION("XLOOKUP($C265,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5" s="8"/>
      <c r="N265" s="8"/>
      <c r="O265" s="8"/>
      <c r="P265" s="8"/>
      <c r="Q265" s="8"/>
      <c r="R265" s="8"/>
      <c r="S265" s="8"/>
      <c r="T265" s="8"/>
      <c r="U265" s="8"/>
    </row>
    <row r="266">
      <c r="A266" s="10" t="s">
        <v>768</v>
      </c>
      <c r="B266" s="10" t="s">
        <v>875</v>
      </c>
      <c r="C266" s="12" t="s">
        <v>931</v>
      </c>
      <c r="D266" s="13" t="s">
        <v>933</v>
      </c>
      <c r="E266" s="16">
        <f t="array" ref="E266">XLOOKUP(C266,'DATA TK PANEN'!D:D,'DATA TK PANEN'!H:H)</f>
        <v>20.63</v>
      </c>
      <c r="F266" s="10" t="str">
        <f>IFERROR(__xludf.DUMMYFUNCTION("XLOOKUP(C266,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6" s="10" t="str">
        <f>IFERROR(__xludf.DUMMYFUNCTION("XLOOKUP($C266,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6" s="10" t="str">
        <f>IFERROR(__xludf.DUMMYFUNCTION("XLOOKUP($C266,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6" s="18"/>
      <c r="J266" s="18"/>
      <c r="K266" s="10" t="str">
        <f>IFERROR(__xludf.DUMMYFUNCTION("XLOOKUP($C266,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6" s="10" t="str">
        <f>IFERROR(__xludf.DUMMYFUNCTION("XLOOKUP($C266,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6" s="8"/>
      <c r="N266" s="8"/>
      <c r="O266" s="8"/>
      <c r="P266" s="8"/>
      <c r="Q266" s="8"/>
      <c r="R266" s="8"/>
      <c r="S266" s="8"/>
      <c r="T266" s="8"/>
      <c r="U266" s="8"/>
    </row>
    <row r="267">
      <c r="A267" s="10" t="s">
        <v>768</v>
      </c>
      <c r="B267" s="10" t="s">
        <v>875</v>
      </c>
      <c r="C267" s="12" t="s">
        <v>935</v>
      </c>
      <c r="D267" s="13" t="s">
        <v>936</v>
      </c>
      <c r="E267" s="16">
        <f t="array" ref="E267">XLOOKUP(C267,'DATA TK PANEN'!D:D,'DATA TK PANEN'!H:H)</f>
        <v>0</v>
      </c>
      <c r="F267" s="10" t="str">
        <f>IFERROR(__xludf.DUMMYFUNCTION("XLOOKUP(C267,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7" s="10" t="str">
        <f>IFERROR(__xludf.DUMMYFUNCTION("XLOOKUP($C267,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7" s="10" t="str">
        <f>IFERROR(__xludf.DUMMYFUNCTION("XLOOKUP($C267,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7" s="18"/>
      <c r="J267" s="18"/>
      <c r="K267" s="10" t="str">
        <f>IFERROR(__xludf.DUMMYFUNCTION("XLOOKUP($C267,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7" s="10" t="str">
        <f>IFERROR(__xludf.DUMMYFUNCTION("XLOOKUP($C267,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7" s="8"/>
      <c r="N267" s="8"/>
      <c r="O267" s="8"/>
      <c r="P267" s="8"/>
      <c r="Q267" s="8"/>
      <c r="R267" s="8"/>
      <c r="S267" s="8"/>
      <c r="T267" s="8"/>
      <c r="U267" s="8"/>
    </row>
    <row r="268">
      <c r="A268" s="10" t="s">
        <v>768</v>
      </c>
      <c r="B268" s="10" t="s">
        <v>875</v>
      </c>
      <c r="C268" s="12" t="s">
        <v>939</v>
      </c>
      <c r="D268" s="13" t="s">
        <v>940</v>
      </c>
      <c r="E268" s="16">
        <f t="array" ref="E268">XLOOKUP(C268,'DATA TK PANEN'!D:D,'DATA TK PANEN'!H:H)</f>
        <v>0</v>
      </c>
      <c r="F268" s="10" t="str">
        <f>IFERROR(__xludf.DUMMYFUNCTION("XLOOKUP(C268,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8" s="10" t="str">
        <f>IFERROR(__xludf.DUMMYFUNCTION("XLOOKUP($C268,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8" s="10" t="str">
        <f>IFERROR(__xludf.DUMMYFUNCTION("XLOOKUP($C268,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8" s="18"/>
      <c r="J268" s="18"/>
      <c r="K268" s="10" t="str">
        <f>IFERROR(__xludf.DUMMYFUNCTION("XLOOKUP($C268,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8" s="10" t="str">
        <f>IFERROR(__xludf.DUMMYFUNCTION("XLOOKUP($C268,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8" s="8"/>
      <c r="N268" s="8"/>
      <c r="O268" s="8"/>
      <c r="P268" s="8"/>
      <c r="Q268" s="8"/>
      <c r="R268" s="8"/>
      <c r="S268" s="8"/>
      <c r="T268" s="8"/>
      <c r="U268" s="8"/>
    </row>
    <row r="269">
      <c r="A269" s="10" t="s">
        <v>768</v>
      </c>
      <c r="B269" s="10" t="s">
        <v>875</v>
      </c>
      <c r="C269" s="12" t="s">
        <v>943</v>
      </c>
      <c r="D269" s="13" t="s">
        <v>944</v>
      </c>
      <c r="E269" s="16">
        <f t="array" ref="E269">XLOOKUP(C269,'DATA TK PANEN'!D:D,'DATA TK PANEN'!H:H)</f>
        <v>141.81</v>
      </c>
      <c r="F269" s="10" t="str">
        <f>IFERROR(__xludf.DUMMYFUNCTION("XLOOKUP(C269,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69" s="10" t="str">
        <f>IFERROR(__xludf.DUMMYFUNCTION("XLOOKUP($C269,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69" s="10" t="str">
        <f>IFERROR(__xludf.DUMMYFUNCTION("XLOOKUP($C269,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69" s="18"/>
      <c r="J269" s="18"/>
      <c r="K269" s="10" t="str">
        <f>IFERROR(__xludf.DUMMYFUNCTION("XLOOKUP($C269,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69" s="10" t="str">
        <f>IFERROR(__xludf.DUMMYFUNCTION("XLOOKUP($C269,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69" s="8"/>
      <c r="N269" s="8"/>
      <c r="O269" s="8"/>
      <c r="P269" s="8"/>
      <c r="Q269" s="8"/>
      <c r="R269" s="8"/>
      <c r="S269" s="8"/>
      <c r="T269" s="8"/>
      <c r="U269" s="8"/>
    </row>
    <row r="270">
      <c r="A270" s="10" t="s">
        <v>768</v>
      </c>
      <c r="B270" s="10" t="s">
        <v>875</v>
      </c>
      <c r="C270" s="12" t="s">
        <v>945</v>
      </c>
      <c r="D270" s="13" t="s">
        <v>946</v>
      </c>
      <c r="E270" s="16">
        <f t="array" ref="E270">XLOOKUP(C270,'DATA TK PANEN'!D:D,'DATA TK PANEN'!H:H)</f>
        <v>0</v>
      </c>
      <c r="F270" s="10" t="str">
        <f>IFERROR(__xludf.DUMMYFUNCTION("XLOOKUP(C270,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0" s="10" t="str">
        <f>IFERROR(__xludf.DUMMYFUNCTION("XLOOKUP($C270,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0" s="10" t="str">
        <f>IFERROR(__xludf.DUMMYFUNCTION("XLOOKUP($C270,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0" s="18"/>
      <c r="J270" s="18"/>
      <c r="K270" s="10" t="str">
        <f>IFERROR(__xludf.DUMMYFUNCTION("XLOOKUP($C270,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0" s="10" t="str">
        <f>IFERROR(__xludf.DUMMYFUNCTION("XLOOKUP($C270,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0" s="8"/>
      <c r="N270" s="8"/>
      <c r="O270" s="8"/>
      <c r="P270" s="8"/>
      <c r="Q270" s="8"/>
      <c r="R270" s="8"/>
      <c r="S270" s="8"/>
      <c r="T270" s="8"/>
      <c r="U270" s="8"/>
    </row>
    <row r="271">
      <c r="A271" s="10" t="s">
        <v>768</v>
      </c>
      <c r="B271" s="10" t="s">
        <v>875</v>
      </c>
      <c r="C271" s="12" t="s">
        <v>949</v>
      </c>
      <c r="D271" s="13" t="s">
        <v>950</v>
      </c>
      <c r="E271" s="16">
        <f t="array" ref="E271">XLOOKUP(C271,'DATA TK PANEN'!D:D,'DATA TK PANEN'!H:H)</f>
        <v>148.7</v>
      </c>
      <c r="F271" s="10">
        <f>IFERROR(__xludf.DUMMYFUNCTION("XLOOKUP(C271,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271" s="10">
        <f>IFERROR(__xludf.DUMMYFUNCTION("XLOOKUP($C271,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(AUTO)'!T6:T""))"),15.0)</f>
        <v>15</v>
      </c>
      <c r="H271" s="10">
        <f>IFERROR(__xludf.DUMMYFUNCTION("XLOOKUP($C271,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271" s="18"/>
      <c r="J271" s="18"/>
      <c r="K271" s="10" t="str">
        <f>IFERROR(__xludf.DUMMYFUNCTION("XLOOKUP($C271,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1" s="10" t="str">
        <f>IFERROR(__xludf.DUMMYFUNCTION("XLOOKUP($C271,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1" s="8"/>
      <c r="N271" s="8"/>
      <c r="O271" s="8"/>
      <c r="P271" s="8"/>
      <c r="Q271" s="8"/>
      <c r="R271" s="8"/>
      <c r="S271" s="8"/>
      <c r="T271" s="8"/>
      <c r="U271" s="8"/>
    </row>
    <row r="272">
      <c r="A272" s="10" t="s">
        <v>768</v>
      </c>
      <c r="B272" s="10" t="s">
        <v>875</v>
      </c>
      <c r="C272" s="12" t="s">
        <v>953</v>
      </c>
      <c r="D272" s="13" t="s">
        <v>954</v>
      </c>
      <c r="E272" s="16">
        <f t="array" ref="E272">XLOOKUP(C272,'DATA TK PANEN'!D:D,'DATA TK PANEN'!H:H)</f>
        <v>16.04</v>
      </c>
      <c r="F272" s="10" t="str">
        <f>IFERROR(__xludf.DUMMYFUNCTION("XLOOKUP(C272,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2" s="10" t="str">
        <f>IFERROR(__xludf.DUMMYFUNCTION("XLOOKUP($C272,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2" s="10" t="str">
        <f>IFERROR(__xludf.DUMMYFUNCTION("XLOOKUP($C272,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2" s="18"/>
      <c r="J272" s="18"/>
      <c r="K272" s="10" t="str">
        <f>IFERROR(__xludf.DUMMYFUNCTION("XLOOKUP($C272,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2" s="10" t="str">
        <f>IFERROR(__xludf.DUMMYFUNCTION("XLOOKUP($C272,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2" s="8"/>
      <c r="N272" s="8"/>
      <c r="O272" s="8"/>
      <c r="P272" s="8"/>
      <c r="Q272" s="8"/>
      <c r="R272" s="8"/>
      <c r="S272" s="8"/>
      <c r="T272" s="8"/>
      <c r="U272" s="8"/>
    </row>
    <row r="273">
      <c r="A273" s="10" t="s">
        <v>768</v>
      </c>
      <c r="B273" s="10" t="s">
        <v>875</v>
      </c>
      <c r="C273" s="12" t="s">
        <v>956</v>
      </c>
      <c r="D273" s="13" t="s">
        <v>958</v>
      </c>
      <c r="E273" s="16">
        <f t="array" ref="E273">XLOOKUP(C273,'DATA TK PANEN'!D:D,'DATA TK PANEN'!H:H)</f>
        <v>59.56</v>
      </c>
      <c r="F273" s="10" t="str">
        <f>IFERROR(__xludf.DUMMYFUNCTION("XLOOKUP(C273,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3" s="10" t="str">
        <f>IFERROR(__xludf.DUMMYFUNCTION("XLOOKUP($C273,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3" s="10" t="str">
        <f>IFERROR(__xludf.DUMMYFUNCTION("XLOOKUP($C273,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3" s="18"/>
      <c r="J273" s="18"/>
      <c r="K273" s="10" t="str">
        <f>IFERROR(__xludf.DUMMYFUNCTION("XLOOKUP($C273,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3" s="10" t="str">
        <f>IFERROR(__xludf.DUMMYFUNCTION("XLOOKUP($C273,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3" s="8"/>
      <c r="N273" s="8"/>
      <c r="O273" s="8"/>
      <c r="P273" s="8"/>
      <c r="Q273" s="8"/>
      <c r="R273" s="8"/>
      <c r="S273" s="8"/>
      <c r="T273" s="8"/>
      <c r="U273" s="8"/>
    </row>
    <row r="274">
      <c r="A274" s="10" t="s">
        <v>768</v>
      </c>
      <c r="B274" s="10" t="s">
        <v>875</v>
      </c>
      <c r="C274" s="12" t="s">
        <v>960</v>
      </c>
      <c r="D274" s="13" t="s">
        <v>961</v>
      </c>
      <c r="E274" s="16">
        <f t="array" ref="E274">XLOOKUP(C274,'DATA TK PANEN'!D:D,'DATA TK PANEN'!H:H)</f>
        <v>0</v>
      </c>
      <c r="F274" s="10" t="str">
        <f>IFERROR(__xludf.DUMMYFUNCTION("XLOOKUP(C274,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4" s="10" t="str">
        <f>IFERROR(__xludf.DUMMYFUNCTION("XLOOKUP($C274,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4" s="10" t="str">
        <f>IFERROR(__xludf.DUMMYFUNCTION("XLOOKUP($C274,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4" s="18"/>
      <c r="J274" s="18"/>
      <c r="K274" s="10" t="str">
        <f>IFERROR(__xludf.DUMMYFUNCTION("XLOOKUP($C274,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4" s="10" t="str">
        <f>IFERROR(__xludf.DUMMYFUNCTION("XLOOKUP($C274,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4" s="8"/>
      <c r="N274" s="8"/>
      <c r="O274" s="8"/>
      <c r="P274" s="8"/>
      <c r="Q274" s="8"/>
      <c r="R274" s="8"/>
      <c r="S274" s="8"/>
      <c r="T274" s="8"/>
      <c r="U274" s="8"/>
    </row>
    <row r="275">
      <c r="A275" s="10" t="s">
        <v>768</v>
      </c>
      <c r="B275" s="10" t="s">
        <v>875</v>
      </c>
      <c r="C275" s="12" t="s">
        <v>963</v>
      </c>
      <c r="D275" s="13" t="s">
        <v>965</v>
      </c>
      <c r="E275" s="16">
        <f t="array" ref="E275">XLOOKUP(C275,'DATA TK PANEN'!D:D,'DATA TK PANEN'!H:H)</f>
        <v>3.18</v>
      </c>
      <c r="F275" s="10" t="str">
        <f>IFERROR(__xludf.DUMMYFUNCTION("XLOOKUP(C275,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5" s="10" t="str">
        <f>IFERROR(__xludf.DUMMYFUNCTION("XLOOKUP($C275,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5" s="10" t="str">
        <f>IFERROR(__xludf.DUMMYFUNCTION("XLOOKUP($C275,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5" s="18"/>
      <c r="J275" s="18"/>
      <c r="K275" s="10" t="str">
        <f>IFERROR(__xludf.DUMMYFUNCTION("XLOOKUP($C275,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5" s="10" t="str">
        <f>IFERROR(__xludf.DUMMYFUNCTION("XLOOKUP($C275,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5" s="8"/>
      <c r="N275" s="8"/>
      <c r="O275" s="8"/>
      <c r="P275" s="8"/>
      <c r="Q275" s="8"/>
      <c r="R275" s="8"/>
      <c r="S275" s="8"/>
      <c r="T275" s="8"/>
      <c r="U275" s="8"/>
    </row>
    <row r="276">
      <c r="A276" s="10" t="s">
        <v>768</v>
      </c>
      <c r="B276" s="10" t="s">
        <v>875</v>
      </c>
      <c r="C276" s="12" t="s">
        <v>967</v>
      </c>
      <c r="D276" s="13" t="s">
        <v>968</v>
      </c>
      <c r="E276" s="16">
        <f t="array" ref="E276">XLOOKUP(C276,'DATA TK PANEN'!D:D,'DATA TK PANEN'!H:H)</f>
        <v>194.45</v>
      </c>
      <c r="F276" s="10" t="str">
        <f>IFERROR(__xludf.DUMMYFUNCTION("XLOOKUP(C276,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6" s="10" t="str">
        <f>IFERROR(__xludf.DUMMYFUNCTION("XLOOKUP($C276,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6" s="10" t="str">
        <f>IFERROR(__xludf.DUMMYFUNCTION("XLOOKUP($C276,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6" s="18"/>
      <c r="J276" s="18"/>
      <c r="K276" s="10" t="str">
        <f>IFERROR(__xludf.DUMMYFUNCTION("XLOOKUP($C276,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6" s="10" t="str">
        <f>IFERROR(__xludf.DUMMYFUNCTION("XLOOKUP($C276,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6" s="8"/>
      <c r="N276" s="8"/>
      <c r="O276" s="8"/>
      <c r="P276" s="8"/>
      <c r="Q276" s="8"/>
      <c r="R276" s="8"/>
      <c r="S276" s="8"/>
      <c r="T276" s="8"/>
      <c r="U276" s="8"/>
    </row>
    <row r="277">
      <c r="A277" s="10" t="s">
        <v>768</v>
      </c>
      <c r="B277" s="10" t="s">
        <v>875</v>
      </c>
      <c r="C277" s="12" t="s">
        <v>970</v>
      </c>
      <c r="D277" s="13" t="s">
        <v>971</v>
      </c>
      <c r="E277" s="16">
        <f t="array" ref="E277">XLOOKUP(C277,'DATA TK PANEN'!D:D,'DATA TK PANEN'!H:H)</f>
        <v>9.19</v>
      </c>
      <c r="F277" s="10" t="str">
        <f>IFERROR(__xludf.DUMMYFUNCTION("XLOOKUP(C277,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7" s="10" t="str">
        <f>IFERROR(__xludf.DUMMYFUNCTION("XLOOKUP($C277,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7" s="10" t="str">
        <f>IFERROR(__xludf.DUMMYFUNCTION("XLOOKUP($C277,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7" s="18"/>
      <c r="J277" s="18"/>
      <c r="K277" s="10" t="str">
        <f>IFERROR(__xludf.DUMMYFUNCTION("XLOOKUP($C277,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7" s="10" t="str">
        <f>IFERROR(__xludf.DUMMYFUNCTION("XLOOKUP($C277,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7" s="8"/>
      <c r="N277" s="8"/>
      <c r="O277" s="8"/>
      <c r="P277" s="8"/>
      <c r="Q277" s="8"/>
      <c r="R277" s="8"/>
      <c r="S277" s="8"/>
      <c r="T277" s="8"/>
      <c r="U277" s="8"/>
    </row>
    <row r="278">
      <c r="A278" s="10" t="s">
        <v>768</v>
      </c>
      <c r="B278" s="10" t="s">
        <v>875</v>
      </c>
      <c r="C278" s="12" t="s">
        <v>974</v>
      </c>
      <c r="D278" s="13" t="s">
        <v>976</v>
      </c>
      <c r="E278" s="16">
        <f t="array" ref="E278">XLOOKUP(C278,'DATA TK PANEN'!D:D,'DATA TK PANEN'!H:H)</f>
        <v>12.03</v>
      </c>
      <c r="F278" s="10" t="str">
        <f>IFERROR(__xludf.DUMMYFUNCTION("XLOOKUP(C278,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8" s="10" t="str">
        <f>IFERROR(__xludf.DUMMYFUNCTION("XLOOKUP($C278,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8" s="10" t="str">
        <f>IFERROR(__xludf.DUMMYFUNCTION("XLOOKUP($C278,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8" s="18"/>
      <c r="J278" s="18"/>
      <c r="K278" s="10" t="str">
        <f>IFERROR(__xludf.DUMMYFUNCTION("XLOOKUP($C278,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8" s="10" t="str">
        <f>IFERROR(__xludf.DUMMYFUNCTION("XLOOKUP($C278,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8" s="8"/>
      <c r="N278" s="8"/>
      <c r="O278" s="8"/>
      <c r="P278" s="8"/>
      <c r="Q278" s="8"/>
      <c r="R278" s="8"/>
      <c r="S278" s="8"/>
      <c r="T278" s="8"/>
      <c r="U278" s="8"/>
    </row>
    <row r="279">
      <c r="A279" s="10" t="s">
        <v>768</v>
      </c>
      <c r="B279" s="10" t="s">
        <v>875</v>
      </c>
      <c r="C279" s="12" t="s">
        <v>979</v>
      </c>
      <c r="D279" s="13" t="s">
        <v>980</v>
      </c>
      <c r="E279" s="16">
        <f t="array" ref="E279">XLOOKUP(C279,'DATA TK PANEN'!D:D,'DATA TK PANEN'!H:H)</f>
        <v>1180.94</v>
      </c>
      <c r="F279" s="10" t="str">
        <f>IFERROR(__xludf.DUMMYFUNCTION("XLOOKUP(C279,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79" s="10" t="str">
        <f>IFERROR(__xludf.DUMMYFUNCTION("XLOOKUP($C279,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79" s="10" t="str">
        <f>IFERROR(__xludf.DUMMYFUNCTION("XLOOKUP($C279,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79" s="18"/>
      <c r="J279" s="18"/>
      <c r="K279" s="10" t="str">
        <f>IFERROR(__xludf.DUMMYFUNCTION("XLOOKUP($C279,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79" s="10" t="str">
        <f>IFERROR(__xludf.DUMMYFUNCTION("XLOOKUP($C279,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79" s="8"/>
      <c r="N279" s="8"/>
      <c r="O279" s="8"/>
      <c r="P279" s="8"/>
      <c r="Q279" s="8"/>
      <c r="R279" s="8"/>
      <c r="S279" s="8"/>
      <c r="T279" s="8"/>
      <c r="U279" s="8"/>
    </row>
    <row r="280">
      <c r="A280" s="10" t="s">
        <v>768</v>
      </c>
      <c r="B280" s="10" t="s">
        <v>875</v>
      </c>
      <c r="C280" s="12" t="s">
        <v>906</v>
      </c>
      <c r="D280" s="13" t="s">
        <v>984</v>
      </c>
      <c r="E280" s="16" t="str">
        <f t="array" ref="E280">XLOOKUP(C280,'DATA TK PANEN'!D:D,'DATA TK PANEN'!H:H)</f>
        <v>Tidak Ditemukan</v>
      </c>
      <c r="F280" s="10" t="str">
        <f>IFERROR(__xludf.DUMMYFUNCTION("XLOOKUP(C280,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0" s="10" t="str">
        <f>IFERROR(__xludf.DUMMYFUNCTION("XLOOKUP($C280,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0" s="10" t="str">
        <f>IFERROR(__xludf.DUMMYFUNCTION("XLOOKUP($C280,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0" s="18"/>
      <c r="J280" s="18"/>
      <c r="K280" s="10" t="str">
        <f>IFERROR(__xludf.DUMMYFUNCTION("XLOOKUP($C280,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0" s="10" t="str">
        <f>IFERROR(__xludf.DUMMYFUNCTION("XLOOKUP($C280,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0" s="8"/>
      <c r="N280" s="8"/>
      <c r="O280" s="8"/>
      <c r="P280" s="8"/>
      <c r="Q280" s="8"/>
      <c r="R280" s="8"/>
      <c r="S280" s="8"/>
      <c r="T280" s="8"/>
      <c r="U280" s="8"/>
    </row>
    <row r="281">
      <c r="A281" s="10" t="s">
        <v>768</v>
      </c>
      <c r="B281" s="10" t="s">
        <v>875</v>
      </c>
      <c r="C281" s="12" t="s">
        <v>986</v>
      </c>
      <c r="D281" s="13" t="s">
        <v>987</v>
      </c>
      <c r="E281" s="16">
        <f t="array" ref="E281">XLOOKUP(C281,'DATA TK PANEN'!D:D,'DATA TK PANEN'!H:H)</f>
        <v>326.59</v>
      </c>
      <c r="F281" s="10" t="str">
        <f>IFERROR(__xludf.DUMMYFUNCTION("XLOOKUP(C281,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1" s="10" t="str">
        <f>IFERROR(__xludf.DUMMYFUNCTION("XLOOKUP($C281,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1" s="10" t="str">
        <f>IFERROR(__xludf.DUMMYFUNCTION("XLOOKUP($C281,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1" s="18"/>
      <c r="J281" s="18"/>
      <c r="K281" s="10" t="str">
        <f>IFERROR(__xludf.DUMMYFUNCTION("XLOOKUP($C281,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1" s="10" t="str">
        <f>IFERROR(__xludf.DUMMYFUNCTION("XLOOKUP($C281,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1" s="8"/>
      <c r="N281" s="8"/>
      <c r="O281" s="8"/>
      <c r="P281" s="8"/>
      <c r="Q281" s="8"/>
      <c r="R281" s="8"/>
      <c r="S281" s="8"/>
      <c r="T281" s="8"/>
      <c r="U281" s="8"/>
    </row>
    <row r="282">
      <c r="A282" s="10" t="s">
        <v>768</v>
      </c>
      <c r="B282" s="10" t="s">
        <v>875</v>
      </c>
      <c r="C282" s="12" t="s">
        <v>990</v>
      </c>
      <c r="D282" s="13" t="s">
        <v>991</v>
      </c>
      <c r="E282" s="16">
        <f t="array" ref="E282">XLOOKUP(C282,'DATA TK PANEN'!D:D,'DATA TK PANEN'!H:H)</f>
        <v>160</v>
      </c>
      <c r="F282" s="10" t="str">
        <f>IFERROR(__xludf.DUMMYFUNCTION("XLOOKUP(C282,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2" s="10" t="str">
        <f>IFERROR(__xludf.DUMMYFUNCTION("XLOOKUP($C282,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2" s="10" t="str">
        <f>IFERROR(__xludf.DUMMYFUNCTION("XLOOKUP($C282,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2" s="18"/>
      <c r="J282" s="18"/>
      <c r="K282" s="10" t="str">
        <f>IFERROR(__xludf.DUMMYFUNCTION("XLOOKUP($C282,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2" s="10" t="str">
        <f>IFERROR(__xludf.DUMMYFUNCTION("XLOOKUP($C282,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2" s="8"/>
      <c r="N282" s="8"/>
      <c r="O282" s="8"/>
      <c r="P282" s="8"/>
      <c r="Q282" s="8"/>
      <c r="R282" s="8"/>
      <c r="S282" s="8"/>
      <c r="T282" s="8"/>
      <c r="U282" s="8"/>
    </row>
    <row r="283">
      <c r="A283" s="10" t="s">
        <v>768</v>
      </c>
      <c r="B283" s="10" t="s">
        <v>875</v>
      </c>
      <c r="C283" s="12" t="s">
        <v>993</v>
      </c>
      <c r="D283" s="13" t="s">
        <v>994</v>
      </c>
      <c r="E283" s="16">
        <f t="array" ref="E283">XLOOKUP(C283,'DATA TK PANEN'!D:D,'DATA TK PANEN'!H:H)</f>
        <v>0</v>
      </c>
      <c r="F283" s="10" t="str">
        <f>IFERROR(__xludf.DUMMYFUNCTION("XLOOKUP(C283,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3" s="10" t="str">
        <f>IFERROR(__xludf.DUMMYFUNCTION("XLOOKUP($C283,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3" s="10" t="str">
        <f>IFERROR(__xludf.DUMMYFUNCTION("XLOOKUP($C283,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3" s="18"/>
      <c r="J283" s="18"/>
      <c r="K283" s="10" t="str">
        <f>IFERROR(__xludf.DUMMYFUNCTION("XLOOKUP($C283,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3" s="10" t="str">
        <f>IFERROR(__xludf.DUMMYFUNCTION("XLOOKUP($C283,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3" s="8"/>
      <c r="N283" s="8"/>
      <c r="O283" s="8"/>
      <c r="P283" s="8"/>
      <c r="Q283" s="8"/>
      <c r="R283" s="8"/>
      <c r="S283" s="8"/>
      <c r="T283" s="8"/>
      <c r="U283" s="8"/>
    </row>
    <row r="284">
      <c r="A284" s="10" t="s">
        <v>768</v>
      </c>
      <c r="B284" s="10" t="s">
        <v>875</v>
      </c>
      <c r="C284" s="12" t="s">
        <v>996</v>
      </c>
      <c r="D284" s="13" t="s">
        <v>998</v>
      </c>
      <c r="E284" s="16">
        <f t="array" ref="E284">XLOOKUP(C284,'DATA TK PANEN'!D:D,'DATA TK PANEN'!H:H)</f>
        <v>0</v>
      </c>
      <c r="F284" s="10" t="str">
        <f>IFERROR(__xludf.DUMMYFUNCTION("XLOOKUP(C284,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4" s="10" t="str">
        <f>IFERROR(__xludf.DUMMYFUNCTION("XLOOKUP($C284,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4" s="10" t="str">
        <f>IFERROR(__xludf.DUMMYFUNCTION("XLOOKUP($C284,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4" s="18"/>
      <c r="J284" s="18"/>
      <c r="K284" s="10" t="str">
        <f>IFERROR(__xludf.DUMMYFUNCTION("XLOOKUP($C284,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4" s="10" t="str">
        <f>IFERROR(__xludf.DUMMYFUNCTION("XLOOKUP($C284,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4" s="8"/>
      <c r="N284" s="8"/>
      <c r="O284" s="8"/>
      <c r="P284" s="8"/>
      <c r="Q284" s="8"/>
      <c r="R284" s="8"/>
      <c r="S284" s="8"/>
      <c r="T284" s="8"/>
      <c r="U284" s="8"/>
    </row>
    <row r="285">
      <c r="A285" s="10" t="s">
        <v>768</v>
      </c>
      <c r="B285" s="10" t="s">
        <v>875</v>
      </c>
      <c r="C285" s="12" t="s">
        <v>1000</v>
      </c>
      <c r="D285" s="13" t="s">
        <v>1001</v>
      </c>
      <c r="E285" s="16">
        <f t="array" ref="E285">XLOOKUP(C285,'DATA TK PANEN'!D:D,'DATA TK PANEN'!H:H)</f>
        <v>454.32</v>
      </c>
      <c r="F285" s="10">
        <f>IFERROR(__xludf.DUMMYFUNCTION("XLOOKUP(C285,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(AUTO)'!S6:S""))"),27.0)</f>
        <v>27</v>
      </c>
      <c r="G285" s="10">
        <f>IFERROR(__xludf.DUMMYFUNCTION("XLOOKUP($C285,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(AUTO)'!T6:T""))"),29.0)</f>
        <v>29</v>
      </c>
      <c r="H285" s="10">
        <f>IFERROR(__xludf.DUMMYFUNCTION("XLOOKUP($C285,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(AUTO)'!V6:V""))"),27.0)</f>
        <v>27</v>
      </c>
      <c r="I285" s="18"/>
      <c r="J285" s="18"/>
      <c r="K285" s="10" t="str">
        <f>IFERROR(__xludf.DUMMYFUNCTION("XLOOKUP($C285,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5" s="10" t="str">
        <f>IFERROR(__xludf.DUMMYFUNCTION("XLOOKUP($C285,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5" s="8"/>
      <c r="N285" s="8"/>
      <c r="O285" s="8"/>
      <c r="P285" s="8"/>
      <c r="Q285" s="8"/>
      <c r="R285" s="8"/>
      <c r="S285" s="8"/>
      <c r="T285" s="8"/>
      <c r="U285" s="8"/>
    </row>
    <row r="286">
      <c r="A286" s="10" t="s">
        <v>768</v>
      </c>
      <c r="B286" s="10" t="s">
        <v>875</v>
      </c>
      <c r="C286" s="12" t="s">
        <v>1003</v>
      </c>
      <c r="D286" s="13" t="s">
        <v>1005</v>
      </c>
      <c r="E286" s="16" t="str">
        <f t="array" ref="E286">XLOOKUP(C286,'DATA TK PANEN'!D:D,'DATA TK PANEN'!H:H)</f>
        <v>Tidak Ditemukan</v>
      </c>
      <c r="F286" s="10" t="str">
        <f>IFERROR(__xludf.DUMMYFUNCTION("XLOOKUP(C286,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6" s="10" t="str">
        <f>IFERROR(__xludf.DUMMYFUNCTION("XLOOKUP($C286,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6" s="10" t="str">
        <f>IFERROR(__xludf.DUMMYFUNCTION("XLOOKUP($C286,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6" s="18"/>
      <c r="J286" s="18"/>
      <c r="K286" s="10" t="str">
        <f>IFERROR(__xludf.DUMMYFUNCTION("XLOOKUP($C286,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6" s="10" t="str">
        <f>IFERROR(__xludf.DUMMYFUNCTION("XLOOKUP($C286,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6" s="8"/>
      <c r="N286" s="8"/>
      <c r="O286" s="8"/>
      <c r="P286" s="8"/>
      <c r="Q286" s="8"/>
      <c r="R286" s="8"/>
      <c r="S286" s="8"/>
      <c r="T286" s="8"/>
      <c r="U286" s="8"/>
    </row>
    <row r="287">
      <c r="A287" s="10" t="s">
        <v>768</v>
      </c>
      <c r="B287" s="10" t="s">
        <v>875</v>
      </c>
      <c r="C287" s="12" t="s">
        <v>1007</v>
      </c>
      <c r="D287" s="13" t="s">
        <v>1008</v>
      </c>
      <c r="E287" s="16">
        <f t="array" ref="E287">XLOOKUP(C287,'DATA TK PANEN'!D:D,'DATA TK PANEN'!H:H)</f>
        <v>0</v>
      </c>
      <c r="F287" s="10" t="str">
        <f>IFERROR(__xludf.DUMMYFUNCTION("XLOOKUP(C287,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7" s="10" t="str">
        <f>IFERROR(__xludf.DUMMYFUNCTION("XLOOKUP($C287,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7" s="10" t="str">
        <f>IFERROR(__xludf.DUMMYFUNCTION("XLOOKUP($C287,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7" s="18"/>
      <c r="J287" s="18"/>
      <c r="K287" s="10" t="str">
        <f>IFERROR(__xludf.DUMMYFUNCTION("XLOOKUP($C287,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7" s="10" t="str">
        <f>IFERROR(__xludf.DUMMYFUNCTION("XLOOKUP($C287,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7" s="8"/>
      <c r="N287" s="8"/>
      <c r="O287" s="8"/>
      <c r="P287" s="8"/>
      <c r="Q287" s="8"/>
      <c r="R287" s="8"/>
      <c r="S287" s="8"/>
      <c r="T287" s="8"/>
      <c r="U287" s="8"/>
    </row>
    <row r="288">
      <c r="A288" s="10" t="s">
        <v>768</v>
      </c>
      <c r="B288" s="10" t="s">
        <v>875</v>
      </c>
      <c r="C288" s="12" t="s">
        <v>1010</v>
      </c>
      <c r="D288" s="13" t="s">
        <v>1011</v>
      </c>
      <c r="E288" s="16">
        <f t="array" ref="E288">XLOOKUP(C288,'DATA TK PANEN'!D:D,'DATA TK PANEN'!H:H)</f>
        <v>0</v>
      </c>
      <c r="F288" s="10" t="str">
        <f>IFERROR(__xludf.DUMMYFUNCTION("XLOOKUP(C288,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8" s="10" t="str">
        <f>IFERROR(__xludf.DUMMYFUNCTION("XLOOKUP($C288,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8" s="10" t="str">
        <f>IFERROR(__xludf.DUMMYFUNCTION("XLOOKUP($C288,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8" s="18"/>
      <c r="J288" s="18"/>
      <c r="K288" s="10" t="str">
        <f>IFERROR(__xludf.DUMMYFUNCTION("XLOOKUP($C288,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8" s="10" t="str">
        <f>IFERROR(__xludf.DUMMYFUNCTION("XLOOKUP($C288,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8" s="8"/>
      <c r="N288" s="8"/>
      <c r="O288" s="8"/>
      <c r="P288" s="8"/>
      <c r="Q288" s="8"/>
      <c r="R288" s="8"/>
      <c r="S288" s="8"/>
      <c r="T288" s="8"/>
      <c r="U288" s="8"/>
    </row>
    <row r="289">
      <c r="A289" s="10" t="s">
        <v>768</v>
      </c>
      <c r="B289" s="10" t="s">
        <v>875</v>
      </c>
      <c r="C289" s="12" t="s">
        <v>1013</v>
      </c>
      <c r="D289" s="13" t="s">
        <v>1014</v>
      </c>
      <c r="E289" s="16">
        <f t="array" ref="E289">XLOOKUP(C289,'DATA TK PANEN'!D:D,'DATA TK PANEN'!H:H)</f>
        <v>0</v>
      </c>
      <c r="F289" s="10" t="str">
        <f>IFERROR(__xludf.DUMMYFUNCTION("XLOOKUP(C289,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89" s="10" t="str">
        <f>IFERROR(__xludf.DUMMYFUNCTION("XLOOKUP($C289,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89" s="10" t="str">
        <f>IFERROR(__xludf.DUMMYFUNCTION("XLOOKUP($C289,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89" s="18"/>
      <c r="J289" s="18"/>
      <c r="K289" s="10" t="str">
        <f>IFERROR(__xludf.DUMMYFUNCTION("XLOOKUP($C289,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89" s="10" t="str">
        <f>IFERROR(__xludf.DUMMYFUNCTION("XLOOKUP($C289,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89" s="8"/>
      <c r="N289" s="8"/>
      <c r="O289" s="8"/>
      <c r="P289" s="8"/>
      <c r="Q289" s="8"/>
      <c r="R289" s="8"/>
      <c r="S289" s="8"/>
      <c r="T289" s="8"/>
      <c r="U289" s="8"/>
    </row>
    <row r="290">
      <c r="A290" s="10" t="s">
        <v>768</v>
      </c>
      <c r="B290" s="10" t="s">
        <v>875</v>
      </c>
      <c r="C290" s="12" t="s">
        <v>1016</v>
      </c>
      <c r="D290" s="13" t="s">
        <v>1017</v>
      </c>
      <c r="E290" s="16">
        <f t="array" ref="E290">XLOOKUP(C290,'DATA TK PANEN'!D:D,'DATA TK PANEN'!H:H)</f>
        <v>0</v>
      </c>
      <c r="F290" s="10" t="str">
        <f>IFERROR(__xludf.DUMMYFUNCTION("XLOOKUP(C290,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0" s="10" t="str">
        <f>IFERROR(__xludf.DUMMYFUNCTION("XLOOKUP($C290,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0" s="10" t="str">
        <f>IFERROR(__xludf.DUMMYFUNCTION("XLOOKUP($C290,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0" s="18"/>
      <c r="J290" s="18"/>
      <c r="K290" s="10" t="str">
        <f>IFERROR(__xludf.DUMMYFUNCTION("XLOOKUP($C290,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0" s="10" t="str">
        <f>IFERROR(__xludf.DUMMYFUNCTION("XLOOKUP($C290,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0" s="8"/>
      <c r="N290" s="8"/>
      <c r="O290" s="8"/>
      <c r="P290" s="8"/>
      <c r="Q290" s="8"/>
      <c r="R290" s="8"/>
      <c r="S290" s="8"/>
      <c r="T290" s="8"/>
      <c r="U290" s="8"/>
    </row>
    <row r="291">
      <c r="A291" s="10" t="s">
        <v>768</v>
      </c>
      <c r="B291" s="10" t="s">
        <v>875</v>
      </c>
      <c r="C291" s="12" t="s">
        <v>1019</v>
      </c>
      <c r="D291" s="13" t="s">
        <v>1020</v>
      </c>
      <c r="E291" s="16">
        <f t="array" ref="E291">XLOOKUP(C291,'DATA TK PANEN'!D:D,'DATA TK PANEN'!H:H)</f>
        <v>375.84</v>
      </c>
      <c r="F291" s="10" t="str">
        <f>IFERROR(__xludf.DUMMYFUNCTION("XLOOKUP(C291,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1" s="10" t="str">
        <f>IFERROR(__xludf.DUMMYFUNCTION("XLOOKUP($C291,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1" s="10" t="str">
        <f>IFERROR(__xludf.DUMMYFUNCTION("XLOOKUP($C291,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1" s="18"/>
      <c r="J291" s="18"/>
      <c r="K291" s="10" t="str">
        <f>IFERROR(__xludf.DUMMYFUNCTION("XLOOKUP($C291,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1" s="10" t="str">
        <f>IFERROR(__xludf.DUMMYFUNCTION("XLOOKUP($C291,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1" s="8"/>
      <c r="N291" s="8"/>
      <c r="O291" s="8"/>
      <c r="P291" s="8"/>
      <c r="Q291" s="8"/>
      <c r="R291" s="8"/>
      <c r="S291" s="8"/>
      <c r="T291" s="8"/>
      <c r="U291" s="8"/>
    </row>
    <row r="292">
      <c r="A292" s="10" t="s">
        <v>768</v>
      </c>
      <c r="B292" s="10" t="s">
        <v>875</v>
      </c>
      <c r="C292" s="12" t="s">
        <v>1023</v>
      </c>
      <c r="D292" s="13" t="s">
        <v>1024</v>
      </c>
      <c r="E292" s="16">
        <f t="array" ref="E292">XLOOKUP(C292,'DATA TK PANEN'!D:D,'DATA TK PANEN'!H:H)</f>
        <v>22</v>
      </c>
      <c r="F292" s="10" t="str">
        <f>IFERROR(__xludf.DUMMYFUNCTION("XLOOKUP(C292,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2" s="10" t="str">
        <f>IFERROR(__xludf.DUMMYFUNCTION("XLOOKUP($C292,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2" s="10" t="str">
        <f>IFERROR(__xludf.DUMMYFUNCTION("XLOOKUP($C292,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2" s="18"/>
      <c r="J292" s="18"/>
      <c r="K292" s="10" t="str">
        <f>IFERROR(__xludf.DUMMYFUNCTION("XLOOKUP($C292,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2" s="10" t="str">
        <f>IFERROR(__xludf.DUMMYFUNCTION("XLOOKUP($C292,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2" s="8"/>
      <c r="N292" s="8"/>
      <c r="O292" s="8"/>
      <c r="P292" s="8"/>
      <c r="Q292" s="8"/>
      <c r="R292" s="8"/>
      <c r="S292" s="8"/>
      <c r="T292" s="8"/>
      <c r="U292" s="8"/>
    </row>
    <row r="293">
      <c r="A293" s="10" t="s">
        <v>768</v>
      </c>
      <c r="B293" s="10" t="s">
        <v>875</v>
      </c>
      <c r="C293" s="12" t="s">
        <v>1026</v>
      </c>
      <c r="D293" s="13" t="s">
        <v>1027</v>
      </c>
      <c r="E293" s="16">
        <f t="array" ref="E293">XLOOKUP(C293,'DATA TK PANEN'!D:D,'DATA TK PANEN'!H:H)</f>
        <v>75.55</v>
      </c>
      <c r="F293" s="10" t="str">
        <f>IFERROR(__xludf.DUMMYFUNCTION("XLOOKUP(C293,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3" s="10" t="str">
        <f>IFERROR(__xludf.DUMMYFUNCTION("XLOOKUP($C293,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3" s="10" t="str">
        <f>IFERROR(__xludf.DUMMYFUNCTION("XLOOKUP($C293,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3" s="18"/>
      <c r="J293" s="18"/>
      <c r="K293" s="10" t="str">
        <f>IFERROR(__xludf.DUMMYFUNCTION("XLOOKUP($C293,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3" s="10" t="str">
        <f>IFERROR(__xludf.DUMMYFUNCTION("XLOOKUP($C293,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3" s="8"/>
      <c r="N293" s="8"/>
      <c r="O293" s="8"/>
      <c r="P293" s="8"/>
      <c r="Q293" s="8"/>
      <c r="R293" s="8"/>
      <c r="S293" s="8"/>
      <c r="T293" s="8"/>
      <c r="U293" s="8"/>
    </row>
    <row r="294">
      <c r="A294" s="10" t="s">
        <v>768</v>
      </c>
      <c r="B294" s="10" t="s">
        <v>875</v>
      </c>
      <c r="C294" s="12" t="s">
        <v>1030</v>
      </c>
      <c r="D294" s="13" t="s">
        <v>1031</v>
      </c>
      <c r="E294" s="16">
        <f t="array" ref="E294">XLOOKUP(C294,'DATA TK PANEN'!D:D,'DATA TK PANEN'!H:H)</f>
        <v>604.25</v>
      </c>
      <c r="F294" s="10" t="str">
        <f>IFERROR(__xludf.DUMMYFUNCTION("XLOOKUP(C294,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4" s="10" t="str">
        <f>IFERROR(__xludf.DUMMYFUNCTION("XLOOKUP($C294,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4" s="10" t="str">
        <f>IFERROR(__xludf.DUMMYFUNCTION("XLOOKUP($C294,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4" s="18"/>
      <c r="J294" s="18"/>
      <c r="K294" s="10" t="str">
        <f>IFERROR(__xludf.DUMMYFUNCTION("XLOOKUP($C294,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4" s="10" t="str">
        <f>IFERROR(__xludf.DUMMYFUNCTION("XLOOKUP($C294,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4" s="8"/>
      <c r="N294" s="8"/>
      <c r="O294" s="8"/>
      <c r="P294" s="8"/>
      <c r="Q294" s="8"/>
      <c r="R294" s="8"/>
      <c r="S294" s="8"/>
      <c r="T294" s="8"/>
      <c r="U294" s="8"/>
    </row>
    <row r="295">
      <c r="A295" s="10" t="s">
        <v>768</v>
      </c>
      <c r="B295" s="10" t="s">
        <v>875</v>
      </c>
      <c r="C295" s="12" t="s">
        <v>1036</v>
      </c>
      <c r="D295" s="13" t="s">
        <v>1037</v>
      </c>
      <c r="E295" s="16" t="str">
        <f t="array" ref="E295">XLOOKUP(C295,'DATA TK PANEN'!D:D,'DATA TK PANEN'!H:H)</f>
        <v>Tidak Ditemukan</v>
      </c>
      <c r="F295" s="10" t="str">
        <f>IFERROR(__xludf.DUMMYFUNCTION("XLOOKUP(C295,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5" s="10" t="str">
        <f>IFERROR(__xludf.DUMMYFUNCTION("XLOOKUP($C295,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5" s="10" t="str">
        <f>IFERROR(__xludf.DUMMYFUNCTION("XLOOKUP($C295,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5" s="18"/>
      <c r="J295" s="18"/>
      <c r="K295" s="10" t="str">
        <f>IFERROR(__xludf.DUMMYFUNCTION("XLOOKUP($C295,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5" s="10" t="str">
        <f>IFERROR(__xludf.DUMMYFUNCTION("XLOOKUP($C295,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5" s="8"/>
      <c r="N295" s="8"/>
      <c r="O295" s="8"/>
      <c r="P295" s="8"/>
      <c r="Q295" s="8"/>
      <c r="R295" s="8"/>
      <c r="S295" s="8"/>
      <c r="T295" s="8"/>
      <c r="U295" s="8"/>
    </row>
    <row r="296">
      <c r="A296" s="10" t="s">
        <v>768</v>
      </c>
      <c r="B296" s="10" t="s">
        <v>875</v>
      </c>
      <c r="C296" s="12" t="s">
        <v>1040</v>
      </c>
      <c r="D296" s="13" t="s">
        <v>1041</v>
      </c>
      <c r="E296" s="16">
        <f t="array" ref="E296">XLOOKUP(C296,'DATA TK PANEN'!D:D,'DATA TK PANEN'!H:H)</f>
        <v>0</v>
      </c>
      <c r="F296" s="10" t="str">
        <f>IFERROR(__xludf.DUMMYFUNCTION("XLOOKUP(C296,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6" s="10" t="str">
        <f>IFERROR(__xludf.DUMMYFUNCTION("XLOOKUP($C296,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6" s="10" t="str">
        <f>IFERROR(__xludf.DUMMYFUNCTION("XLOOKUP($C296,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6" s="18"/>
      <c r="J296" s="18"/>
      <c r="K296" s="10" t="str">
        <f>IFERROR(__xludf.DUMMYFUNCTION("XLOOKUP($C296,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6" s="10" t="str">
        <f>IFERROR(__xludf.DUMMYFUNCTION("XLOOKUP($C296,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6" s="8"/>
      <c r="N296" s="8"/>
      <c r="O296" s="8"/>
      <c r="P296" s="8"/>
      <c r="Q296" s="8"/>
      <c r="R296" s="8"/>
      <c r="S296" s="8"/>
      <c r="T296" s="8"/>
      <c r="U296" s="8"/>
    </row>
    <row r="297">
      <c r="A297" s="10" t="s">
        <v>768</v>
      </c>
      <c r="B297" s="10" t="s">
        <v>875</v>
      </c>
      <c r="C297" s="12" t="s">
        <v>1043</v>
      </c>
      <c r="D297" s="13" t="s">
        <v>1045</v>
      </c>
      <c r="E297" s="16">
        <f t="array" ref="E297">XLOOKUP(C297,'DATA TK PANEN'!D:D,'DATA TK PANEN'!H:H)</f>
        <v>404</v>
      </c>
      <c r="F297" s="10" t="str">
        <f>IFERROR(__xludf.DUMMYFUNCTION("XLOOKUP(C297,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7" s="10" t="str">
        <f>IFERROR(__xludf.DUMMYFUNCTION("XLOOKUP($C297,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7" s="10" t="str">
        <f>IFERROR(__xludf.DUMMYFUNCTION("XLOOKUP($C297,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7" s="18"/>
      <c r="J297" s="18"/>
      <c r="K297" s="10" t="str">
        <f>IFERROR(__xludf.DUMMYFUNCTION("XLOOKUP($C297,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7" s="10" t="str">
        <f>IFERROR(__xludf.DUMMYFUNCTION("XLOOKUP($C297,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7" s="8"/>
      <c r="N297" s="8"/>
      <c r="O297" s="8"/>
      <c r="P297" s="8"/>
      <c r="Q297" s="8"/>
      <c r="R297" s="8"/>
      <c r="S297" s="8"/>
      <c r="T297" s="8"/>
      <c r="U297" s="8"/>
    </row>
    <row r="298">
      <c r="A298" s="10" t="s">
        <v>768</v>
      </c>
      <c r="B298" s="10" t="s">
        <v>875</v>
      </c>
      <c r="C298" s="12" t="s">
        <v>1049</v>
      </c>
      <c r="D298" s="13" t="s">
        <v>1050</v>
      </c>
      <c r="E298" s="16" t="str">
        <f t="array" ref="E298">XLOOKUP(C298,'DATA TK PANEN'!D:D,'DATA TK PANEN'!H:H)</f>
        <v>Tidak Ditemukan</v>
      </c>
      <c r="F298" s="10" t="str">
        <f>IFERROR(__xludf.DUMMYFUNCTION("XLOOKUP(C298,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8" s="10" t="str">
        <f>IFERROR(__xludf.DUMMYFUNCTION("XLOOKUP($C298,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8" s="10" t="str">
        <f>IFERROR(__xludf.DUMMYFUNCTION("XLOOKUP($C298,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8" s="18"/>
      <c r="J298" s="18"/>
      <c r="K298" s="10" t="str">
        <f>IFERROR(__xludf.DUMMYFUNCTION("XLOOKUP($C298,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8" s="10" t="str">
        <f>IFERROR(__xludf.DUMMYFUNCTION("XLOOKUP($C298,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8" s="8"/>
      <c r="N298" s="8"/>
      <c r="O298" s="8"/>
      <c r="P298" s="8"/>
      <c r="Q298" s="8"/>
      <c r="R298" s="8"/>
      <c r="S298" s="8"/>
      <c r="T298" s="8"/>
      <c r="U298" s="8"/>
    </row>
    <row r="299">
      <c r="A299" s="10" t="s">
        <v>768</v>
      </c>
      <c r="B299" s="10" t="s">
        <v>875</v>
      </c>
      <c r="C299" s="12" t="s">
        <v>1053</v>
      </c>
      <c r="D299" s="13" t="s">
        <v>1054</v>
      </c>
      <c r="E299" s="16">
        <f t="array" ref="E299">XLOOKUP(C299,'DATA TK PANEN'!D:D,'DATA TK PANEN'!H:H)</f>
        <v>0</v>
      </c>
      <c r="F299" s="10" t="str">
        <f>IFERROR(__xludf.DUMMYFUNCTION("XLOOKUP(C299,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299" s="10" t="str">
        <f>IFERROR(__xludf.DUMMYFUNCTION("XLOOKUP($C299,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299" s="10" t="str">
        <f>IFERROR(__xludf.DUMMYFUNCTION("XLOOKUP($C299,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299" s="18"/>
      <c r="J299" s="18"/>
      <c r="K299" s="10" t="str">
        <f>IFERROR(__xludf.DUMMYFUNCTION("XLOOKUP($C299,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299" s="10" t="str">
        <f>IFERROR(__xludf.DUMMYFUNCTION("XLOOKUP($C299,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299" s="8"/>
      <c r="N299" s="8"/>
      <c r="O299" s="8"/>
      <c r="P299" s="8"/>
      <c r="Q299" s="8"/>
      <c r="R299" s="8"/>
      <c r="S299" s="8"/>
      <c r="T299" s="8"/>
      <c r="U299" s="8"/>
    </row>
    <row r="300">
      <c r="A300" s="10" t="s">
        <v>768</v>
      </c>
      <c r="B300" s="10" t="s">
        <v>875</v>
      </c>
      <c r="C300" s="12" t="s">
        <v>1056</v>
      </c>
      <c r="D300" s="13" t="s">
        <v>1058</v>
      </c>
      <c r="E300" s="16">
        <f t="array" ref="E300">XLOOKUP(C300,'DATA TK PANEN'!D:D,'DATA TK PANEN'!H:H)</f>
        <v>0</v>
      </c>
      <c r="F300" s="10" t="str">
        <f>IFERROR(__xludf.DUMMYFUNCTION("XLOOKUP(C300,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300" s="10" t="str">
        <f>IFERROR(__xludf.DUMMYFUNCTION("XLOOKUP($C300,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300" s="10" t="str">
        <f>IFERROR(__xludf.DUMMYFUNCTION("XLOOKUP($C300,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0" s="18"/>
      <c r="J300" s="18"/>
      <c r="K300" s="10" t="str">
        <f>IFERROR(__xludf.DUMMYFUNCTION("XLOOKUP($C300,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0" s="10" t="str">
        <f>IFERROR(__xludf.DUMMYFUNCTION("XLOOKUP($C300,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0" s="8"/>
      <c r="N300" s="8"/>
      <c r="O300" s="8"/>
      <c r="P300" s="8"/>
      <c r="Q300" s="8"/>
      <c r="R300" s="8"/>
      <c r="S300" s="8"/>
      <c r="T300" s="8"/>
      <c r="U300" s="8"/>
    </row>
    <row r="301">
      <c r="A301" s="10" t="s">
        <v>768</v>
      </c>
      <c r="B301" s="10" t="s">
        <v>875</v>
      </c>
      <c r="C301" s="12" t="s">
        <v>1060</v>
      </c>
      <c r="D301" s="13" t="s">
        <v>1061</v>
      </c>
      <c r="E301" s="16">
        <f t="array" ref="E301">XLOOKUP(C301,'DATA TK PANEN'!D:D,'DATA TK PANEN'!H:H)</f>
        <v>0</v>
      </c>
      <c r="F301" s="10" t="str">
        <f>IFERROR(__xludf.DUMMYFUNCTION("XLOOKUP(C301,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301" s="10" t="str">
        <f>IFERROR(__xludf.DUMMYFUNCTION("XLOOKUP($C301,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301" s="10" t="str">
        <f>IFERROR(__xludf.DUMMYFUNCTION("XLOOKUP($C301,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1" s="18"/>
      <c r="J301" s="18"/>
      <c r="K301" s="10" t="str">
        <f>IFERROR(__xludf.DUMMYFUNCTION("XLOOKUP($C301,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1" s="10" t="str">
        <f>IFERROR(__xludf.DUMMYFUNCTION("XLOOKUP($C301,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1" s="8"/>
      <c r="N301" s="8"/>
      <c r="O301" s="8"/>
      <c r="P301" s="8"/>
      <c r="Q301" s="8"/>
      <c r="R301" s="8"/>
      <c r="S301" s="8"/>
      <c r="T301" s="8"/>
      <c r="U301" s="8"/>
    </row>
    <row r="302">
      <c r="A302" s="10" t="s">
        <v>768</v>
      </c>
      <c r="B302" s="10" t="s">
        <v>875</v>
      </c>
      <c r="C302" s="12" t="s">
        <v>1062</v>
      </c>
      <c r="D302" s="13" t="s">
        <v>1064</v>
      </c>
      <c r="E302" s="16">
        <f t="array" ref="E302">XLOOKUP(C302,'DATA TK PANEN'!D:D,'DATA TK PANEN'!H:H)</f>
        <v>9.65</v>
      </c>
      <c r="F302" s="10" t="str">
        <f>IFERROR(__xludf.DUMMYFUNCTION("XLOOKUP(C302,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302" s="10" t="str">
        <f>IFERROR(__xludf.DUMMYFUNCTION("XLOOKUP($C302,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302" s="10" t="str">
        <f>IFERROR(__xludf.DUMMYFUNCTION("XLOOKUP($C302,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2" s="18"/>
      <c r="J302" s="18"/>
      <c r="K302" s="10" t="str">
        <f>IFERROR(__xludf.DUMMYFUNCTION("XLOOKUP($C302,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2" s="10" t="str">
        <f>IFERROR(__xludf.DUMMYFUNCTION("XLOOKUP($C302,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2" s="8"/>
      <c r="N302" s="8"/>
      <c r="O302" s="8"/>
      <c r="P302" s="8"/>
      <c r="Q302" s="8"/>
      <c r="R302" s="8"/>
      <c r="S302" s="8"/>
      <c r="T302" s="8"/>
      <c r="U302" s="8"/>
    </row>
    <row r="303">
      <c r="A303" s="10" t="s">
        <v>768</v>
      </c>
      <c r="B303" s="10" t="s">
        <v>875</v>
      </c>
      <c r="C303" s="12" t="s">
        <v>1066</v>
      </c>
      <c r="D303" s="13" t="s">
        <v>1067</v>
      </c>
      <c r="E303" s="16">
        <f t="array" ref="E303">XLOOKUP(C303,'DATA TK PANEN'!D:D,'DATA TK PANEN'!H:H)</f>
        <v>0</v>
      </c>
      <c r="F303" s="10" t="str">
        <f>IFERROR(__xludf.DUMMYFUNCTION("XLOOKUP(C303,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303" s="10" t="str">
        <f>IFERROR(__xludf.DUMMYFUNCTION("XLOOKUP($C303,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303" s="10" t="str">
        <f>IFERROR(__xludf.DUMMYFUNCTION("XLOOKUP($C303,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3" s="18"/>
      <c r="J303" s="18"/>
      <c r="K303" s="10" t="str">
        <f>IFERROR(__xludf.DUMMYFUNCTION("XLOOKUP($C303,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3" s="10" t="str">
        <f>IFERROR(__xludf.DUMMYFUNCTION("XLOOKUP($C303,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3" s="8"/>
      <c r="N303" s="8"/>
      <c r="O303" s="8"/>
      <c r="P303" s="8"/>
      <c r="Q303" s="8"/>
      <c r="R303" s="8"/>
      <c r="S303" s="8"/>
      <c r="T303" s="8"/>
      <c r="U303" s="8"/>
    </row>
    <row r="304">
      <c r="A304" s="10" t="s">
        <v>1069</v>
      </c>
      <c r="B304" s="10" t="s">
        <v>1071</v>
      </c>
      <c r="C304" s="12" t="s">
        <v>1073</v>
      </c>
      <c r="D304" s="13" t="s">
        <v>1074</v>
      </c>
      <c r="E304" s="16">
        <f t="array" ref="E304">XLOOKUP(C304,'DATA TK PANEN'!D:D,'DATA TK PANEN'!H:H)</f>
        <v>32</v>
      </c>
      <c r="F304" s="10">
        <f>IFERROR(__xludf.DUMMYFUNCTION("XLOOKUP(C304,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304" s="10">
        <f>IFERROR(__xludf.DUMMYFUNCTION("XLOOKUP($C304,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304" s="10">
        <f>IFERROR(__xludf.DUMMYFUNCTION("XLOOKUP($C304,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04" s="18"/>
      <c r="J304" s="18"/>
      <c r="K304" s="10" t="str">
        <f>IFERROR(__xludf.DUMMYFUNCTION("XLOOKUP($C304,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4" s="10" t="str">
        <f>IFERROR(__xludf.DUMMYFUNCTION("XLOOKUP($C304,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4" s="8"/>
      <c r="N304" s="8"/>
      <c r="O304" s="8"/>
      <c r="P304" s="8"/>
      <c r="Q304" s="8"/>
      <c r="R304" s="8"/>
      <c r="S304" s="8"/>
      <c r="T304" s="8"/>
      <c r="U304" s="8"/>
    </row>
    <row r="305">
      <c r="A305" s="10" t="s">
        <v>1069</v>
      </c>
      <c r="B305" s="10" t="s">
        <v>1071</v>
      </c>
      <c r="C305" s="12" t="s">
        <v>1076</v>
      </c>
      <c r="D305" s="13" t="s">
        <v>1077</v>
      </c>
      <c r="E305" s="16">
        <f t="array" ref="E305">XLOOKUP(C305,'DATA TK PANEN'!D:D,'DATA TK PANEN'!H:H)</f>
        <v>411</v>
      </c>
      <c r="F305" s="10">
        <f>IFERROR(__xludf.DUMMYFUNCTION("XLOOKUP(C305,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(AUTO)'!S6:S""))"),25.0)</f>
        <v>25</v>
      </c>
      <c r="G305" s="10">
        <f>IFERROR(__xludf.DUMMYFUNCTION("XLOOKUP($C305,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305" s="10">
        <f>IFERROR(__xludf.DUMMYFUNCTION("XLOOKUP($C305,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305" s="18"/>
      <c r="J305" s="18"/>
      <c r="K305" s="10">
        <f>IFERROR(__xludf.DUMMYFUNCTION("XLOOKUP($C305,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305" s="10">
        <f>IFERROR(__xludf.DUMMYFUNCTION("XLOOKUP($C305,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(AUTO)'!X6:X""))"),5.0)</f>
        <v>5</v>
      </c>
      <c r="M305" s="8"/>
      <c r="N305" s="8"/>
      <c r="O305" s="8"/>
      <c r="P305" s="8"/>
      <c r="Q305" s="8"/>
      <c r="R305" s="8"/>
      <c r="S305" s="8"/>
      <c r="T305" s="8"/>
      <c r="U305" s="8"/>
    </row>
    <row r="306">
      <c r="A306" s="10" t="s">
        <v>1069</v>
      </c>
      <c r="B306" s="10" t="s">
        <v>1071</v>
      </c>
      <c r="C306" s="12" t="s">
        <v>1080</v>
      </c>
      <c r="D306" s="13" t="s">
        <v>1081</v>
      </c>
      <c r="E306" s="16">
        <f t="array" ref="E306">XLOOKUP(C306,'DATA TK PANEN'!D:D,'DATA TK PANEN'!H:H)</f>
        <v>36</v>
      </c>
      <c r="F306" s="10">
        <f>IFERROR(__xludf.DUMMYFUNCTION("XLOOKUP(C306,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306" s="10" t="str">
        <f>IFERROR(__xludf.DUMMYFUNCTION("XLOOKUP($C306,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06" s="10" t="str">
        <f>IFERROR(__xludf.DUMMYFUNCTION("XLOOKUP($C306,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6" s="18"/>
      <c r="J306" s="18"/>
      <c r="K306" s="10" t="str">
        <f>IFERROR(__xludf.DUMMYFUNCTION("XLOOKUP($C306,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6" s="10" t="str">
        <f>IFERROR(__xludf.DUMMYFUNCTION("XLOOKUP($C306,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6" s="8"/>
      <c r="N306" s="8"/>
      <c r="O306" s="8"/>
      <c r="P306" s="8"/>
      <c r="Q306" s="8"/>
      <c r="R306" s="8"/>
      <c r="S306" s="8"/>
      <c r="T306" s="8"/>
      <c r="U306" s="8"/>
    </row>
    <row r="307">
      <c r="A307" s="10" t="s">
        <v>1069</v>
      </c>
      <c r="B307" s="10" t="s">
        <v>1071</v>
      </c>
      <c r="C307" s="12" t="s">
        <v>1082</v>
      </c>
      <c r="D307" s="13" t="s">
        <v>1083</v>
      </c>
      <c r="E307" s="16">
        <f t="array" ref="E307">XLOOKUP(C307,'DATA TK PANEN'!D:D,'DATA TK PANEN'!H:H)</f>
        <v>106</v>
      </c>
      <c r="F307" s="10">
        <f>IFERROR(__xludf.DUMMYFUNCTION("XLOOKUP(C307,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307" s="10" t="str">
        <f>IFERROR(__xludf.DUMMYFUNCTION("XLOOKUP($C307,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07" s="10" t="str">
        <f>IFERROR(__xludf.DUMMYFUNCTION("XLOOKUP($C307,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7" s="18"/>
      <c r="J307" s="18"/>
      <c r="K307" s="10" t="str">
        <f>IFERROR(__xludf.DUMMYFUNCTION("XLOOKUP($C307,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7" s="10" t="str">
        <f>IFERROR(__xludf.DUMMYFUNCTION("XLOOKUP($C307,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7" s="8"/>
      <c r="N307" s="8"/>
      <c r="O307" s="8"/>
      <c r="P307" s="8"/>
      <c r="Q307" s="8"/>
      <c r="R307" s="8"/>
      <c r="S307" s="8"/>
      <c r="T307" s="8"/>
      <c r="U307" s="8"/>
    </row>
    <row r="308">
      <c r="A308" s="10" t="s">
        <v>1069</v>
      </c>
      <c r="B308" s="10" t="s">
        <v>1071</v>
      </c>
      <c r="C308" s="12" t="s">
        <v>1086</v>
      </c>
      <c r="D308" s="13" t="s">
        <v>1087</v>
      </c>
      <c r="E308" s="16">
        <f t="array" ref="E308">XLOOKUP(C308,'DATA TK PANEN'!D:D,'DATA TK PANEN'!H:H)</f>
        <v>208</v>
      </c>
      <c r="F308" s="10">
        <f>IFERROR(__xludf.DUMMYFUNCTION("XLOOKUP(C308,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308" s="10">
        <f>IFERROR(__xludf.DUMMYFUNCTION("XLOOKUP($C308,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308" s="10">
        <f>IFERROR(__xludf.DUMMYFUNCTION("XLOOKUP($C308,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308" s="18"/>
      <c r="J308" s="18"/>
      <c r="K308" s="10">
        <f>IFERROR(__xludf.DUMMYFUNCTION("XLOOKUP($C308,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308" s="10" t="str">
        <f>IFERROR(__xludf.DUMMYFUNCTION("XLOOKUP($C308,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8" s="8"/>
      <c r="N308" s="8"/>
      <c r="O308" s="8"/>
      <c r="P308" s="8"/>
      <c r="Q308" s="8"/>
      <c r="R308" s="8"/>
      <c r="S308" s="8"/>
      <c r="T308" s="8"/>
      <c r="U308" s="8"/>
    </row>
    <row r="309">
      <c r="A309" s="10" t="s">
        <v>1069</v>
      </c>
      <c r="B309" s="10" t="s">
        <v>1071</v>
      </c>
      <c r="C309" s="12" t="s">
        <v>1090</v>
      </c>
      <c r="D309" s="13" t="s">
        <v>1092</v>
      </c>
      <c r="E309" s="16" t="str">
        <f t="array" ref="E309">XLOOKUP(C309,'DATA TK PANEN'!D:D,'DATA TK PANEN'!H:H)</f>
        <v>Tidak Ditemukan</v>
      </c>
      <c r="F309" s="10">
        <f>IFERROR(__xludf.DUMMYFUNCTION("XLOOKUP(C309,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309" s="10" t="str">
        <f>IFERROR(__xludf.DUMMYFUNCTION("XLOOKUP($C309,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09" s="10" t="str">
        <f>IFERROR(__xludf.DUMMYFUNCTION("XLOOKUP($C309,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09" s="18"/>
      <c r="J309" s="18"/>
      <c r="K309" s="10" t="str">
        <f>IFERROR(__xludf.DUMMYFUNCTION("XLOOKUP($C309,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09" s="10" t="str">
        <f>IFERROR(__xludf.DUMMYFUNCTION("XLOOKUP($C309,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09" s="8"/>
      <c r="N309" s="8"/>
      <c r="O309" s="8"/>
      <c r="P309" s="8"/>
      <c r="Q309" s="8"/>
      <c r="R309" s="8"/>
      <c r="S309" s="8"/>
      <c r="T309" s="8"/>
      <c r="U309" s="8"/>
    </row>
    <row r="310">
      <c r="A310" s="10" t="s">
        <v>1069</v>
      </c>
      <c r="B310" s="10" t="s">
        <v>1071</v>
      </c>
      <c r="C310" s="12" t="s">
        <v>1096</v>
      </c>
      <c r="D310" s="13" t="s">
        <v>1097</v>
      </c>
      <c r="E310" s="16" t="str">
        <f t="array" ref="E310">XLOOKUP(C310,'DATA TK PANEN'!D:D,'DATA TK PANEN'!H:H)</f>
        <v>Tidak Ditemukan</v>
      </c>
      <c r="F310" s="10">
        <f>IFERROR(__xludf.DUMMYFUNCTION("XLOOKUP(C310,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310" s="10" t="str">
        <f>IFERROR(__xludf.DUMMYFUNCTION("XLOOKUP($C310,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10" s="10" t="str">
        <f>IFERROR(__xludf.DUMMYFUNCTION("XLOOKUP($C310,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10" s="18"/>
      <c r="J310" s="18"/>
      <c r="K310" s="10" t="str">
        <f>IFERROR(__xludf.DUMMYFUNCTION("XLOOKUP($C310,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10" s="10" t="str">
        <f>IFERROR(__xludf.DUMMYFUNCTION("XLOOKUP($C310,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10" s="8"/>
      <c r="N310" s="8"/>
      <c r="O310" s="8"/>
      <c r="P310" s="8"/>
      <c r="Q310" s="8"/>
      <c r="R310" s="8"/>
      <c r="S310" s="8"/>
      <c r="T310" s="8"/>
      <c r="U310" s="8"/>
    </row>
    <row r="311">
      <c r="A311" s="10" t="s">
        <v>1069</v>
      </c>
      <c r="B311" s="10" t="s">
        <v>1071</v>
      </c>
      <c r="C311" s="12" t="s">
        <v>1100</v>
      </c>
      <c r="D311" s="13" t="s">
        <v>1101</v>
      </c>
      <c r="E311" s="16">
        <f t="array" ref="E311">XLOOKUP(C311,'DATA TK PANEN'!D:D,'DATA TK PANEN'!H:H)</f>
        <v>867</v>
      </c>
      <c r="F311" s="10">
        <f>IFERROR(__xludf.DUMMYFUNCTION("XLOOKUP(C311,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(AUTO)'!S6:S""))"),52.0)</f>
        <v>52</v>
      </c>
      <c r="G311" s="10">
        <f>IFERROR(__xludf.DUMMYFUNCTION("XLOOKUP($C311,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311" s="10">
        <f>IFERROR(__xludf.DUMMYFUNCTION("XLOOKUP($C311,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311" s="18"/>
      <c r="J311" s="18"/>
      <c r="K311" s="10">
        <f>IFERROR(__xludf.DUMMYFUNCTION("XLOOKUP($C311,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(AUTO)'!W6:W""))"),15.0)</f>
        <v>15</v>
      </c>
      <c r="L311" s="10">
        <f>IFERROR(__xludf.DUMMYFUNCTION("XLOOKUP($C311,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(AUTO)'!X6:X""))"),20.0)</f>
        <v>20</v>
      </c>
      <c r="M311" s="8"/>
      <c r="N311" s="8"/>
      <c r="O311" s="8"/>
      <c r="P311" s="8"/>
      <c r="Q311" s="8"/>
      <c r="R311" s="8"/>
      <c r="S311" s="8"/>
      <c r="T311" s="8"/>
      <c r="U311" s="8"/>
    </row>
    <row r="312">
      <c r="A312" s="10" t="s">
        <v>1069</v>
      </c>
      <c r="B312" s="10" t="s">
        <v>1071</v>
      </c>
      <c r="C312" s="12" t="s">
        <v>1104</v>
      </c>
      <c r="D312" s="13" t="s">
        <v>1105</v>
      </c>
      <c r="E312" s="16">
        <f t="array" ref="E312">XLOOKUP(C312,'DATA TK PANEN'!D:D,'DATA TK PANEN'!H:H)</f>
        <v>4461</v>
      </c>
      <c r="F312" s="10">
        <f>IFERROR(__xludf.DUMMYFUNCTION("XLOOKUP(C312,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(AUTO)'!S6:S""))"),268.0)</f>
        <v>268</v>
      </c>
      <c r="G312" s="10">
        <f>IFERROR(__xludf.DUMMYFUNCTION("XLOOKUP($C312,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(AUTO)'!T6:T""))"),73.0)</f>
        <v>73</v>
      </c>
      <c r="H312" s="10">
        <f>IFERROR(__xludf.DUMMYFUNCTION("XLOOKUP($C312,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(AUTO)'!V6:V""))"),81.0)</f>
        <v>81</v>
      </c>
      <c r="I312" s="18"/>
      <c r="J312" s="18"/>
      <c r="K312" s="10">
        <f>IFERROR(__xludf.DUMMYFUNCTION("XLOOKUP($C312,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(AUTO)'!W6:W""))"),66.0)</f>
        <v>66</v>
      </c>
      <c r="L312" s="10">
        <f>IFERROR(__xludf.DUMMYFUNCTION("XLOOKUP($C312,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(AUTO)'!X6:X""))"),77.0)</f>
        <v>77</v>
      </c>
      <c r="M312" s="8"/>
      <c r="N312" s="8"/>
      <c r="O312" s="8"/>
      <c r="P312" s="8"/>
      <c r="Q312" s="8"/>
      <c r="R312" s="8"/>
      <c r="S312" s="8"/>
      <c r="T312" s="8"/>
      <c r="U312" s="8"/>
    </row>
    <row r="313">
      <c r="A313" s="10" t="s">
        <v>1069</v>
      </c>
      <c r="B313" s="10" t="s">
        <v>1071</v>
      </c>
      <c r="C313" s="12" t="s">
        <v>1107</v>
      </c>
      <c r="D313" s="13" t="s">
        <v>1108</v>
      </c>
      <c r="E313" s="16">
        <f t="array" ref="E313">XLOOKUP(C313,'DATA TK PANEN'!D:D,'DATA TK PANEN'!H:H)</f>
        <v>5179</v>
      </c>
      <c r="F313" s="10">
        <f>IFERROR(__xludf.DUMMYFUNCTION("XLOOKUP(C313,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(AUTO)'!S6:S""))"),311.0)</f>
        <v>311</v>
      </c>
      <c r="G313" s="10">
        <f>IFERROR(__xludf.DUMMYFUNCTION("XLOOKUP($C313,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(AUTO)'!T6:T""))"),78.0)</f>
        <v>78</v>
      </c>
      <c r="H313" s="10">
        <f>IFERROR(__xludf.DUMMYFUNCTION("XLOOKUP($C313,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(AUTO)'!V6:V""))"),75.0)</f>
        <v>75</v>
      </c>
      <c r="I313" s="18"/>
      <c r="J313" s="18"/>
      <c r="K313" s="10">
        <f>IFERROR(__xludf.DUMMYFUNCTION("XLOOKUP($C313,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(AUTO)'!W6:W""))"),80.0)</f>
        <v>80</v>
      </c>
      <c r="L313" s="10">
        <f>IFERROR(__xludf.DUMMYFUNCTION("XLOOKUP($C313,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(AUTO)'!X6:X""))"),104.0)</f>
        <v>104</v>
      </c>
      <c r="M313" s="8"/>
      <c r="N313" s="8"/>
      <c r="O313" s="8"/>
      <c r="P313" s="8"/>
      <c r="Q313" s="8"/>
      <c r="R313" s="8"/>
      <c r="S313" s="8"/>
      <c r="T313" s="8"/>
      <c r="U313" s="8"/>
    </row>
    <row r="314">
      <c r="A314" s="10" t="s">
        <v>1069</v>
      </c>
      <c r="B314" s="10" t="s">
        <v>1071</v>
      </c>
      <c r="C314" s="12" t="s">
        <v>1110</v>
      </c>
      <c r="D314" s="13" t="s">
        <v>1111</v>
      </c>
      <c r="E314" s="16">
        <f t="array" ref="E314">XLOOKUP(C314,'DATA TK PANEN'!D:D,'DATA TK PANEN'!H:H)</f>
        <v>4487</v>
      </c>
      <c r="F314" s="10">
        <f>IFERROR(__xludf.DUMMYFUNCTION("XLOOKUP(C314,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(AUTO)'!S6:S""))"),269.0)</f>
        <v>269</v>
      </c>
      <c r="G314" s="10">
        <f>IFERROR(__xludf.DUMMYFUNCTION("XLOOKUP($C314,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(AUTO)'!T6:T""))"),91.0)</f>
        <v>91</v>
      </c>
      <c r="H314" s="10">
        <f>IFERROR(__xludf.DUMMYFUNCTION("XLOOKUP($C314,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(AUTO)'!V6:V""))"),93.0)</f>
        <v>93</v>
      </c>
      <c r="I314" s="18"/>
      <c r="J314" s="18"/>
      <c r="K314" s="10">
        <f>IFERROR(__xludf.DUMMYFUNCTION("XLOOKUP($C314,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(AUTO)'!W6:W""))"),68.0)</f>
        <v>68</v>
      </c>
      <c r="L314" s="10">
        <f>IFERROR(__xludf.DUMMYFUNCTION("XLOOKUP($C314,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(AUTO)'!X6:X""))"),64.0)</f>
        <v>64</v>
      </c>
      <c r="M314" s="8"/>
      <c r="N314" s="8"/>
      <c r="O314" s="8"/>
      <c r="P314" s="8"/>
      <c r="Q314" s="8"/>
      <c r="R314" s="8"/>
      <c r="S314" s="8"/>
      <c r="T314" s="8"/>
      <c r="U314" s="8"/>
    </row>
    <row r="315">
      <c r="A315" s="10" t="s">
        <v>1069</v>
      </c>
      <c r="B315" s="10" t="s">
        <v>1071</v>
      </c>
      <c r="C315" s="12" t="s">
        <v>1112</v>
      </c>
      <c r="D315" s="13" t="s">
        <v>1114</v>
      </c>
      <c r="E315" s="16">
        <f t="array" ref="E315">XLOOKUP(C315,'DATA TK PANEN'!D:D,'DATA TK PANEN'!H:H)</f>
        <v>457</v>
      </c>
      <c r="F315" s="10">
        <f>IFERROR(__xludf.DUMMYFUNCTION("XLOOKUP(C315,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(AUTO)'!S6:S""))"),27.0)</f>
        <v>27</v>
      </c>
      <c r="G315" s="10" t="str">
        <f>IFERROR(__xludf.DUMMYFUNCTION("XLOOKUP($C315,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15" s="10" t="str">
        <f>IFERROR(__xludf.DUMMYFUNCTION("XLOOKUP($C315,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15" s="18"/>
      <c r="J315" s="18"/>
      <c r="K315" s="10" t="str">
        <f>IFERROR(__xludf.DUMMYFUNCTION("XLOOKUP($C315,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15" s="10" t="str">
        <f>IFERROR(__xludf.DUMMYFUNCTION("XLOOKUP($C315,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15" s="8"/>
      <c r="N315" s="8"/>
      <c r="O315" s="8"/>
      <c r="P315" s="8"/>
      <c r="Q315" s="8"/>
      <c r="R315" s="8"/>
      <c r="S315" s="8"/>
      <c r="T315" s="8"/>
      <c r="U315" s="8"/>
    </row>
    <row r="316">
      <c r="A316" s="10" t="s">
        <v>1069</v>
      </c>
      <c r="B316" s="10" t="s">
        <v>1071</v>
      </c>
      <c r="C316" s="12" t="s">
        <v>1115</v>
      </c>
      <c r="D316" s="13" t="s">
        <v>1116</v>
      </c>
      <c r="E316" s="16">
        <f t="array" ref="E316">XLOOKUP(C316,'DATA TK PANEN'!D:D,'DATA TK PANEN'!H:H)</f>
        <v>376</v>
      </c>
      <c r="F316" s="10">
        <f>IFERROR(__xludf.DUMMYFUNCTION("XLOOKUP(C316,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(AUTO)'!S6:S""))"),23.0)</f>
        <v>23</v>
      </c>
      <c r="G316" s="10" t="str">
        <f>IFERROR(__xludf.DUMMYFUNCTION("XLOOKUP($C316,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16" s="10" t="str">
        <f>IFERROR(__xludf.DUMMYFUNCTION("XLOOKUP($C316,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16" s="18"/>
      <c r="J316" s="18"/>
      <c r="K316" s="10" t="str">
        <f>IFERROR(__xludf.DUMMYFUNCTION("XLOOKUP($C316,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16" s="10" t="str">
        <f>IFERROR(__xludf.DUMMYFUNCTION("XLOOKUP($C316,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16" s="8"/>
      <c r="N316" s="8"/>
      <c r="O316" s="8"/>
      <c r="P316" s="8"/>
      <c r="Q316" s="8"/>
      <c r="R316" s="8"/>
      <c r="S316" s="8"/>
      <c r="T316" s="8"/>
      <c r="U316" s="8"/>
    </row>
    <row r="317">
      <c r="A317" s="10" t="s">
        <v>1069</v>
      </c>
      <c r="B317" s="10" t="s">
        <v>1071</v>
      </c>
      <c r="C317" s="12" t="s">
        <v>1120</v>
      </c>
      <c r="D317" s="13" t="s">
        <v>1121</v>
      </c>
      <c r="E317" s="16">
        <f t="array" ref="E317">XLOOKUP(C317,'DATA TK PANEN'!D:D,'DATA TK PANEN'!H:H)</f>
        <v>323</v>
      </c>
      <c r="F317" s="10">
        <f>IFERROR(__xludf.DUMMYFUNCTION("XLOOKUP(C317,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317" s="10" t="str">
        <f>IFERROR(__xludf.DUMMYFUNCTION("XLOOKUP($C317,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17" s="10" t="str">
        <f>IFERROR(__xludf.DUMMYFUNCTION("XLOOKUP($C317,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17" s="18"/>
      <c r="J317" s="18"/>
      <c r="K317" s="10" t="str">
        <f>IFERROR(__xludf.DUMMYFUNCTION("XLOOKUP($C317,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17" s="10" t="str">
        <f>IFERROR(__xludf.DUMMYFUNCTION("XLOOKUP($C317,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17" s="8"/>
      <c r="N317" s="8"/>
      <c r="O317" s="8"/>
      <c r="P317" s="8"/>
      <c r="Q317" s="8"/>
      <c r="R317" s="8"/>
      <c r="S317" s="8"/>
      <c r="T317" s="8"/>
      <c r="U317" s="8"/>
    </row>
    <row r="318">
      <c r="A318" s="10" t="s">
        <v>1069</v>
      </c>
      <c r="B318" s="10" t="s">
        <v>1071</v>
      </c>
      <c r="C318" s="12" t="s">
        <v>1124</v>
      </c>
      <c r="D318" s="13" t="s">
        <v>1125</v>
      </c>
      <c r="E318" s="16">
        <f t="array" ref="E318">XLOOKUP(C318,'DATA TK PANEN'!D:D,'DATA TK PANEN'!H:H)</f>
        <v>225</v>
      </c>
      <c r="F318" s="10">
        <f>IFERROR(__xludf.DUMMYFUNCTION("XLOOKUP(C318,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(AUTO)'!S6:S""))"),14.0)</f>
        <v>14</v>
      </c>
      <c r="G318" s="10" t="str">
        <f>IFERROR(__xludf.DUMMYFUNCTION("XLOOKUP($C318,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18" s="10" t="str">
        <f>IFERROR(__xludf.DUMMYFUNCTION("XLOOKUP($C318,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18" s="18"/>
      <c r="J318" s="18"/>
      <c r="K318" s="10" t="str">
        <f>IFERROR(__xludf.DUMMYFUNCTION("XLOOKUP($C318,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18" s="10" t="str">
        <f>IFERROR(__xludf.DUMMYFUNCTION("XLOOKUP($C318,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18" s="8"/>
      <c r="N318" s="8"/>
      <c r="O318" s="8"/>
      <c r="P318" s="8"/>
      <c r="Q318" s="8"/>
      <c r="R318" s="8"/>
      <c r="S318" s="8"/>
      <c r="T318" s="8"/>
      <c r="U318" s="8"/>
    </row>
    <row r="319">
      <c r="A319" s="10" t="s">
        <v>1069</v>
      </c>
      <c r="B319" s="10" t="s">
        <v>1071</v>
      </c>
      <c r="C319" s="12" t="s">
        <v>930</v>
      </c>
      <c r="D319" s="13" t="s">
        <v>1129</v>
      </c>
      <c r="E319" s="16">
        <f t="array" ref="E319">XLOOKUP(C319,'DATA TK PANEN'!D:D,'DATA TK PANEN'!H:H)</f>
        <v>2162</v>
      </c>
      <c r="F319" s="10">
        <f>IFERROR(__xludf.DUMMYFUNCTION("XLOOKUP(C319,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(AUTO)'!S6:S""))"),130.0)</f>
        <v>130</v>
      </c>
      <c r="G319" s="10">
        <f>IFERROR(__xludf.DUMMYFUNCTION("XLOOKUP($C319,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(AUTO)'!T6:T""))"),31.0)</f>
        <v>31</v>
      </c>
      <c r="H319" s="10">
        <f>IFERROR(__xludf.DUMMYFUNCTION("XLOOKUP($C319,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(AUTO)'!V6:V""))"),30.0)</f>
        <v>30</v>
      </c>
      <c r="I319" s="18"/>
      <c r="J319" s="18"/>
      <c r="K319" s="10">
        <f>IFERROR(__xludf.DUMMYFUNCTION("XLOOKUP($C319,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(AUTO)'!W6:W""))"),30.0)</f>
        <v>30</v>
      </c>
      <c r="L319" s="10">
        <f>IFERROR(__xludf.DUMMYFUNCTION("XLOOKUP($C319,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(AUTO)'!X6:X""))"),49.0)</f>
        <v>49</v>
      </c>
      <c r="M319" s="8"/>
      <c r="N319" s="8"/>
      <c r="O319" s="8"/>
      <c r="P319" s="8"/>
      <c r="Q319" s="8"/>
      <c r="R319" s="8"/>
      <c r="S319" s="8"/>
      <c r="T319" s="8"/>
      <c r="U319" s="8"/>
    </row>
    <row r="320">
      <c r="A320" s="10" t="s">
        <v>1069</v>
      </c>
      <c r="B320" s="10" t="s">
        <v>1071</v>
      </c>
      <c r="C320" s="12" t="s">
        <v>932</v>
      </c>
      <c r="D320" s="13" t="s">
        <v>1131</v>
      </c>
      <c r="E320" s="16">
        <f t="array" ref="E320">XLOOKUP(C320,'DATA TK PANEN'!D:D,'DATA TK PANEN'!H:H)</f>
        <v>1808</v>
      </c>
      <c r="F320" s="10">
        <f>IFERROR(__xludf.DUMMYFUNCTION("XLOOKUP(C320,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(AUTO)'!S6:S""))"),108.0)</f>
        <v>108</v>
      </c>
      <c r="G320" s="10">
        <f>IFERROR(__xludf.DUMMYFUNCTION("XLOOKUP($C320,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(AUTO)'!T6:T""))"),17.0)</f>
        <v>17</v>
      </c>
      <c r="H320" s="10">
        <f>IFERROR(__xludf.DUMMYFUNCTION("XLOOKUP($C320,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(AUTO)'!V6:V""))"),17.0)</f>
        <v>17</v>
      </c>
      <c r="I320" s="18"/>
      <c r="J320" s="18"/>
      <c r="K320" s="10">
        <f>IFERROR(__xludf.DUMMYFUNCTION("XLOOKUP($C320,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(AUTO)'!W6:W""))"),20.0)</f>
        <v>20</v>
      </c>
      <c r="L320" s="10">
        <f>IFERROR(__xludf.DUMMYFUNCTION("XLOOKUP($C320,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(AUTO)'!X6:X""))"),54.0)</f>
        <v>54</v>
      </c>
      <c r="M320" s="8"/>
      <c r="N320" s="8"/>
      <c r="O320" s="8"/>
      <c r="P320" s="8"/>
      <c r="Q320" s="8"/>
      <c r="R320" s="8"/>
      <c r="S320" s="8"/>
      <c r="T320" s="8"/>
      <c r="U320" s="8"/>
    </row>
    <row r="321">
      <c r="A321" s="10" t="s">
        <v>1069</v>
      </c>
      <c r="B321" s="10" t="s">
        <v>1071</v>
      </c>
      <c r="C321" s="12" t="s">
        <v>934</v>
      </c>
      <c r="D321" s="13" t="s">
        <v>1134</v>
      </c>
      <c r="E321" s="16">
        <f t="array" ref="E321">XLOOKUP(C321,'DATA TK PANEN'!D:D,'DATA TK PANEN'!H:H)</f>
        <v>141</v>
      </c>
      <c r="F321" s="10">
        <f>IFERROR(__xludf.DUMMYFUNCTION("XLOOKUP(C321,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321" s="10" t="str">
        <f>IFERROR(__xludf.DUMMYFUNCTION("XLOOKUP($C321,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1" s="10" t="str">
        <f>IFERROR(__xludf.DUMMYFUNCTION("XLOOKUP($C321,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1" s="18"/>
      <c r="J321" s="18"/>
      <c r="K321" s="10">
        <f>IFERROR(__xludf.DUMMYFUNCTION("XLOOKUP($C321,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321" s="10">
        <f>IFERROR(__xludf.DUMMYFUNCTION("XLOOKUP($C321,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321" s="8"/>
      <c r="N321" s="8"/>
      <c r="O321" s="8"/>
      <c r="P321" s="8"/>
      <c r="Q321" s="8"/>
      <c r="R321" s="8"/>
      <c r="S321" s="8"/>
      <c r="T321" s="8"/>
      <c r="U321" s="8"/>
    </row>
    <row r="322">
      <c r="A322" s="10" t="s">
        <v>1069</v>
      </c>
      <c r="B322" s="10" t="s">
        <v>1071</v>
      </c>
      <c r="C322" s="12" t="s">
        <v>1137</v>
      </c>
      <c r="D322" s="13" t="s">
        <v>1138</v>
      </c>
      <c r="E322" s="16">
        <f t="array" ref="E322">XLOOKUP(C322,'DATA TK PANEN'!D:D,'DATA TK PANEN'!H:H)</f>
        <v>280</v>
      </c>
      <c r="F322" s="10">
        <f>IFERROR(__xludf.DUMMYFUNCTION("XLOOKUP(C322,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(AUTO)'!S6:S""))"),17.0)</f>
        <v>17</v>
      </c>
      <c r="G322" s="10" t="str">
        <f>IFERROR(__xludf.DUMMYFUNCTION("XLOOKUP($C322,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2" s="10" t="str">
        <f>IFERROR(__xludf.DUMMYFUNCTION("XLOOKUP($C322,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2" s="18"/>
      <c r="J322" s="18"/>
      <c r="K322" s="10" t="str">
        <f>IFERROR(__xludf.DUMMYFUNCTION("XLOOKUP($C322,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2" s="10" t="str">
        <f>IFERROR(__xludf.DUMMYFUNCTION("XLOOKUP($C322,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2" s="8"/>
      <c r="N322" s="8"/>
      <c r="O322" s="8"/>
      <c r="P322" s="8"/>
      <c r="Q322" s="8"/>
      <c r="R322" s="8"/>
      <c r="S322" s="8"/>
      <c r="T322" s="8"/>
      <c r="U322" s="8"/>
    </row>
    <row r="323">
      <c r="A323" s="10" t="s">
        <v>1069</v>
      </c>
      <c r="B323" s="10" t="s">
        <v>1071</v>
      </c>
      <c r="C323" s="12" t="s">
        <v>1140</v>
      </c>
      <c r="D323" s="13" t="s">
        <v>1141</v>
      </c>
      <c r="E323" s="16">
        <f t="array" ref="E323">XLOOKUP(C323,'DATA TK PANEN'!D:D,'DATA TK PANEN'!H:H)</f>
        <v>200</v>
      </c>
      <c r="F323" s="10">
        <f>IFERROR(__xludf.DUMMYFUNCTION("XLOOKUP(C323,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(AUTO)'!S6:S""))"),12.0)</f>
        <v>12</v>
      </c>
      <c r="G323" s="10" t="str">
        <f>IFERROR(__xludf.DUMMYFUNCTION("XLOOKUP($C323,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3" s="10" t="str">
        <f>IFERROR(__xludf.DUMMYFUNCTION("XLOOKUP($C323,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3" s="18"/>
      <c r="J323" s="18"/>
      <c r="K323" s="10" t="str">
        <f>IFERROR(__xludf.DUMMYFUNCTION("XLOOKUP($C323,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3" s="10" t="str">
        <f>IFERROR(__xludf.DUMMYFUNCTION("XLOOKUP($C323,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3" s="8"/>
      <c r="N323" s="8"/>
      <c r="O323" s="8"/>
      <c r="P323" s="8"/>
      <c r="Q323" s="8"/>
      <c r="R323" s="8"/>
      <c r="S323" s="8"/>
      <c r="T323" s="8"/>
      <c r="U323" s="8"/>
    </row>
    <row r="324">
      <c r="A324" s="10" t="s">
        <v>1069</v>
      </c>
      <c r="B324" s="10" t="s">
        <v>1071</v>
      </c>
      <c r="C324" s="12" t="s">
        <v>1143</v>
      </c>
      <c r="D324" s="13" t="s">
        <v>1145</v>
      </c>
      <c r="E324" s="16">
        <f t="array" ref="E324">XLOOKUP(C324,'DATA TK PANEN'!D:D,'DATA TK PANEN'!H:H)</f>
        <v>85</v>
      </c>
      <c r="F324" s="10">
        <f>IFERROR(__xludf.DUMMYFUNCTION("XLOOKUP(C324,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324" s="10" t="str">
        <f>IFERROR(__xludf.DUMMYFUNCTION("XLOOKUP($C324,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4" s="10" t="str">
        <f>IFERROR(__xludf.DUMMYFUNCTION("XLOOKUP($C324,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4" s="18"/>
      <c r="J324" s="18"/>
      <c r="K324" s="10" t="str">
        <f>IFERROR(__xludf.DUMMYFUNCTION("XLOOKUP($C324,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4" s="10" t="str">
        <f>IFERROR(__xludf.DUMMYFUNCTION("XLOOKUP($C324,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4" s="8"/>
      <c r="N324" s="8"/>
      <c r="O324" s="8"/>
      <c r="P324" s="8"/>
      <c r="Q324" s="8"/>
      <c r="R324" s="8"/>
      <c r="S324" s="8"/>
      <c r="T324" s="8"/>
      <c r="U324" s="8"/>
    </row>
    <row r="325">
      <c r="A325" s="10" t="s">
        <v>1069</v>
      </c>
      <c r="B325" s="10" t="s">
        <v>1071</v>
      </c>
      <c r="C325" s="12" t="s">
        <v>1148</v>
      </c>
      <c r="D325" s="13" t="s">
        <v>1149</v>
      </c>
      <c r="E325" s="16">
        <f t="array" ref="E325">XLOOKUP(C325,'DATA TK PANEN'!D:D,'DATA TK PANEN'!H:H)</f>
        <v>386</v>
      </c>
      <c r="F325" s="10">
        <f>IFERROR(__xludf.DUMMYFUNCTION("XLOOKUP(C325,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(AUTO)'!S6:S""))"),23.0)</f>
        <v>23</v>
      </c>
      <c r="G325" s="10" t="str">
        <f>IFERROR(__xludf.DUMMYFUNCTION("XLOOKUP($C325,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5" s="10" t="str">
        <f>IFERROR(__xludf.DUMMYFUNCTION("XLOOKUP($C325,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5" s="18"/>
      <c r="J325" s="18"/>
      <c r="K325" s="10" t="str">
        <f>IFERROR(__xludf.DUMMYFUNCTION("XLOOKUP($C325,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5" s="10" t="str">
        <f>IFERROR(__xludf.DUMMYFUNCTION("XLOOKUP($C325,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5" s="8"/>
      <c r="N325" s="8"/>
      <c r="O325" s="8"/>
      <c r="P325" s="8"/>
      <c r="Q325" s="8"/>
      <c r="R325" s="8"/>
      <c r="S325" s="8"/>
      <c r="T325" s="8"/>
      <c r="U325" s="8"/>
    </row>
    <row r="326">
      <c r="A326" s="10" t="s">
        <v>1069</v>
      </c>
      <c r="B326" s="10" t="s">
        <v>1071</v>
      </c>
      <c r="C326" s="12" t="s">
        <v>1151</v>
      </c>
      <c r="D326" s="13" t="s">
        <v>1152</v>
      </c>
      <c r="E326" s="16">
        <f t="array" ref="E326">XLOOKUP(C326,'DATA TK PANEN'!D:D,'DATA TK PANEN'!H:H)</f>
        <v>162</v>
      </c>
      <c r="F326" s="10">
        <f>IFERROR(__xludf.DUMMYFUNCTION("XLOOKUP(C326,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(AUTO)'!S6:S""))"),10.0)</f>
        <v>10</v>
      </c>
      <c r="G326" s="10" t="str">
        <f>IFERROR(__xludf.DUMMYFUNCTION("XLOOKUP($C326,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6" s="10" t="str">
        <f>IFERROR(__xludf.DUMMYFUNCTION("XLOOKUP($C326,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6" s="18"/>
      <c r="J326" s="18"/>
      <c r="K326" s="10" t="str">
        <f>IFERROR(__xludf.DUMMYFUNCTION("XLOOKUP($C326,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6" s="10" t="str">
        <f>IFERROR(__xludf.DUMMYFUNCTION("XLOOKUP($C326,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6" s="8"/>
      <c r="N326" s="8"/>
      <c r="O326" s="8"/>
      <c r="P326" s="8"/>
      <c r="Q326" s="8"/>
      <c r="R326" s="8"/>
      <c r="S326" s="8"/>
      <c r="T326" s="8"/>
      <c r="U326" s="8"/>
    </row>
    <row r="327">
      <c r="A327" s="10" t="s">
        <v>1069</v>
      </c>
      <c r="B327" s="10" t="s">
        <v>1071</v>
      </c>
      <c r="C327" s="12" t="s">
        <v>1155</v>
      </c>
      <c r="D327" s="13" t="s">
        <v>1157</v>
      </c>
      <c r="E327" s="16" t="str">
        <f t="array" ref="E327">XLOOKUP(C327,'DATA TK PANEN'!D:D,'DATA TK PANEN'!H:H)</f>
        <v>Tidak Ditemukan</v>
      </c>
      <c r="F327" s="10">
        <f>IFERROR(__xludf.DUMMYFUNCTION("XLOOKUP(C327,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327" s="10" t="str">
        <f>IFERROR(__xludf.DUMMYFUNCTION("XLOOKUP($C327,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7" s="10" t="str">
        <f>IFERROR(__xludf.DUMMYFUNCTION("XLOOKUP($C327,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27" s="18"/>
      <c r="J327" s="18"/>
      <c r="K327" s="10" t="str">
        <f>IFERROR(__xludf.DUMMYFUNCTION("XLOOKUP($C327,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27" s="10" t="str">
        <f>IFERROR(__xludf.DUMMYFUNCTION("XLOOKUP($C327,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27" s="8"/>
      <c r="N327" s="8"/>
      <c r="O327" s="8"/>
      <c r="P327" s="8"/>
      <c r="Q327" s="8"/>
      <c r="R327" s="8"/>
      <c r="S327" s="8"/>
      <c r="T327" s="8"/>
      <c r="U327" s="8"/>
    </row>
    <row r="328">
      <c r="A328" s="10" t="s">
        <v>1069</v>
      </c>
      <c r="B328" s="10" t="s">
        <v>1071</v>
      </c>
      <c r="C328" s="12" t="s">
        <v>1159</v>
      </c>
      <c r="D328" s="13" t="s">
        <v>1161</v>
      </c>
      <c r="E328" s="16">
        <f t="array" ref="E328">XLOOKUP(C328,'DATA TK PANEN'!D:D,'DATA TK PANEN'!H:H)</f>
        <v>3314</v>
      </c>
      <c r="F328" s="10">
        <f>IFERROR(__xludf.DUMMYFUNCTION("XLOOKUP(C328,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(AUTO)'!S6:S""))"),199.0)</f>
        <v>199</v>
      </c>
      <c r="G328" s="10">
        <f>IFERROR(__xludf.DUMMYFUNCTION("XLOOKUP($C328,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328" s="10">
        <f>IFERROR(__xludf.DUMMYFUNCTION("XLOOKUP($C328,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328" s="18"/>
      <c r="J328" s="18"/>
      <c r="K328" s="10">
        <f>IFERROR(__xludf.DUMMYFUNCTION("XLOOKUP($C328,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(AUTO)'!W6:W""))"),80.0)</f>
        <v>80</v>
      </c>
      <c r="L328" s="10">
        <f>IFERROR(__xludf.DUMMYFUNCTION("XLOOKUP($C328,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(AUTO)'!X6:X""))"),80.0)</f>
        <v>80</v>
      </c>
      <c r="M328" s="8"/>
      <c r="N328" s="8"/>
      <c r="O328" s="8"/>
      <c r="P328" s="8"/>
      <c r="Q328" s="8"/>
      <c r="R328" s="8"/>
      <c r="S328" s="8"/>
      <c r="T328" s="8"/>
      <c r="U328" s="8"/>
    </row>
    <row r="329">
      <c r="A329" s="10" t="s">
        <v>1069</v>
      </c>
      <c r="B329" s="10" t="s">
        <v>1071</v>
      </c>
      <c r="C329" s="12" t="s">
        <v>1163</v>
      </c>
      <c r="D329" s="13" t="s">
        <v>1164</v>
      </c>
      <c r="E329" s="16">
        <f t="array" ref="E329">XLOOKUP(C329,'DATA TK PANEN'!D:D,'DATA TK PANEN'!H:H)</f>
        <v>971</v>
      </c>
      <c r="F329" s="10">
        <f>IFERROR(__xludf.DUMMYFUNCTION("XLOOKUP(C329,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(AUTO)'!S6:S""))"),58.0)</f>
        <v>58</v>
      </c>
      <c r="G329" s="10" t="str">
        <f>IFERROR(__xludf.DUMMYFUNCTION("XLOOKUP($C329,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29" s="10" t="str">
        <f>IFERROR(__xludf.DUMMYFUNCTION("XLOOKUP($C329,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329" s="18"/>
      <c r="J329" s="18"/>
      <c r="K329" s="10">
        <f>IFERROR(__xludf.DUMMYFUNCTION("XLOOKUP($C329,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(AUTO)'!W6:W""))"),25.0)</f>
        <v>25</v>
      </c>
      <c r="L329" s="10">
        <f>IFERROR(__xludf.DUMMYFUNCTION("XLOOKUP($C329,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(AUTO)'!X6:X""))"),24.0)</f>
        <v>24</v>
      </c>
      <c r="M329" s="8"/>
      <c r="N329" s="8"/>
      <c r="O329" s="8"/>
      <c r="P329" s="8"/>
      <c r="Q329" s="8"/>
      <c r="R329" s="8"/>
      <c r="S329" s="8"/>
      <c r="T329" s="8"/>
      <c r="U329" s="8"/>
    </row>
    <row r="330">
      <c r="A330" s="10" t="s">
        <v>1069</v>
      </c>
      <c r="B330" s="10" t="s">
        <v>1071</v>
      </c>
      <c r="C330" s="12" t="s">
        <v>1166</v>
      </c>
      <c r="D330" s="13" t="s">
        <v>1167</v>
      </c>
      <c r="E330" s="16">
        <f t="array" ref="E330">XLOOKUP(C330,'DATA TK PANEN'!D:D,'DATA TK PANEN'!H:H)</f>
        <v>641</v>
      </c>
      <c r="F330" s="10">
        <f>IFERROR(__xludf.DUMMYFUNCTION("XLOOKUP(C330,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(AUTO)'!S6:S""))"),38.0)</f>
        <v>38</v>
      </c>
      <c r="G330" s="10" t="str">
        <f>IFERROR(__xludf.DUMMYFUNCTION("XLOOKUP($C330,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0" s="10" t="str">
        <f>IFERROR(__xludf.DUMMYFUNCTION("XLOOKUP($C330,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0" s="18"/>
      <c r="J330" s="18"/>
      <c r="K330" s="10" t="str">
        <f>IFERROR(__xludf.DUMMYFUNCTION("XLOOKUP($C330,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0" s="10" t="str">
        <f>IFERROR(__xludf.DUMMYFUNCTION("XLOOKUP($C330,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0" s="8"/>
      <c r="N330" s="8"/>
      <c r="O330" s="8"/>
      <c r="P330" s="8"/>
      <c r="Q330" s="8"/>
      <c r="R330" s="8"/>
      <c r="S330" s="8"/>
      <c r="T330" s="8"/>
      <c r="U330" s="8"/>
    </row>
    <row r="331">
      <c r="A331" s="10" t="s">
        <v>1069</v>
      </c>
      <c r="B331" s="10" t="s">
        <v>1071</v>
      </c>
      <c r="C331" s="12" t="s">
        <v>1169</v>
      </c>
      <c r="D331" s="13" t="s">
        <v>1170</v>
      </c>
      <c r="E331" s="16">
        <f t="array" ref="E331">XLOOKUP(C331,'DATA TK PANEN'!D:D,'DATA TK PANEN'!H:H)</f>
        <v>554</v>
      </c>
      <c r="F331" s="10">
        <f>IFERROR(__xludf.DUMMYFUNCTION("XLOOKUP(C331,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(AUTO)'!S6:S""))"),33.0)</f>
        <v>33</v>
      </c>
      <c r="G331" s="10" t="str">
        <f>IFERROR(__xludf.DUMMYFUNCTION("XLOOKUP($C331,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1" s="10" t="str">
        <f>IFERROR(__xludf.DUMMYFUNCTION("XLOOKUP($C331,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1" s="18"/>
      <c r="J331" s="18"/>
      <c r="K331" s="10" t="str">
        <f>IFERROR(__xludf.DUMMYFUNCTION("XLOOKUP($C331,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1" s="10" t="str">
        <f>IFERROR(__xludf.DUMMYFUNCTION("XLOOKUP($C331,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1" s="8"/>
      <c r="N331" s="8"/>
      <c r="O331" s="8"/>
      <c r="P331" s="8"/>
      <c r="Q331" s="8"/>
      <c r="R331" s="8"/>
      <c r="S331" s="8"/>
      <c r="T331" s="8"/>
      <c r="U331" s="8"/>
    </row>
    <row r="332">
      <c r="A332" s="10" t="s">
        <v>1069</v>
      </c>
      <c r="B332" s="10" t="s">
        <v>1071</v>
      </c>
      <c r="C332" s="12" t="s">
        <v>826</v>
      </c>
      <c r="D332" s="13" t="s">
        <v>1173</v>
      </c>
      <c r="E332" s="16">
        <f t="array" ref="E332">XLOOKUP(C332,'DATA TK PANEN'!D:D,'DATA TK PANEN'!H:H)</f>
        <v>5381</v>
      </c>
      <c r="F332" s="10">
        <f>IFERROR(__xludf.DUMMYFUNCTION("XLOOKUP(C332,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(AUTO)'!S6:S""))"),323.0)</f>
        <v>323</v>
      </c>
      <c r="G332" s="10">
        <f>IFERROR(__xludf.DUMMYFUNCTION("XLOOKUP($C332,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(AUTO)'!T6:T""))"),120.0)</f>
        <v>120</v>
      </c>
      <c r="H332" s="10">
        <f>IFERROR(__xludf.DUMMYFUNCTION("XLOOKUP($C332,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(AUTO)'!V6:V""))"),142.0)</f>
        <v>142</v>
      </c>
      <c r="I332" s="18"/>
      <c r="J332" s="18"/>
      <c r="K332" s="10">
        <f>IFERROR(__xludf.DUMMYFUNCTION("XLOOKUP($C332,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(AUTO)'!W6:W""))"),48.0)</f>
        <v>48</v>
      </c>
      <c r="L332" s="10">
        <f>IFERROR(__xludf.DUMMYFUNCTION("XLOOKUP($C332,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(AUTO)'!X6:X""))"),80.0)</f>
        <v>80</v>
      </c>
      <c r="M332" s="8"/>
      <c r="N332" s="8"/>
      <c r="O332" s="8"/>
      <c r="P332" s="8"/>
      <c r="Q332" s="8"/>
      <c r="R332" s="8"/>
      <c r="S332" s="8"/>
      <c r="T332" s="8"/>
      <c r="U332" s="8"/>
    </row>
    <row r="333">
      <c r="A333" s="10" t="s">
        <v>1069</v>
      </c>
      <c r="B333" s="10" t="s">
        <v>1071</v>
      </c>
      <c r="C333" s="12" t="s">
        <v>829</v>
      </c>
      <c r="D333" s="13" t="s">
        <v>1175</v>
      </c>
      <c r="E333" s="16">
        <f t="array" ref="E333">XLOOKUP(C333,'DATA TK PANEN'!D:D,'DATA TK PANEN'!H:H)</f>
        <v>4621</v>
      </c>
      <c r="F333" s="10">
        <f>IFERROR(__xludf.DUMMYFUNCTION("XLOOKUP(C333,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(AUTO)'!S6:S""))"),277.0)</f>
        <v>277</v>
      </c>
      <c r="G333" s="10">
        <f>IFERROR(__xludf.DUMMYFUNCTION("XLOOKUP($C333,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(AUTO)'!T6:T""))"),152.0)</f>
        <v>152</v>
      </c>
      <c r="H333" s="10">
        <f>IFERROR(__xludf.DUMMYFUNCTION("XLOOKUP($C333,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(AUTO)'!V6:V""))"),156.0)</f>
        <v>156</v>
      </c>
      <c r="I333" s="18"/>
      <c r="J333" s="18"/>
      <c r="K333" s="10">
        <f>IFERROR(__xludf.DUMMYFUNCTION("XLOOKUP($C333,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(AUTO)'!W6:W""))"),31.0)</f>
        <v>31</v>
      </c>
      <c r="L333" s="10">
        <f>IFERROR(__xludf.DUMMYFUNCTION("XLOOKUP($C333,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(AUTO)'!X6:X""))"),45.0)</f>
        <v>45</v>
      </c>
      <c r="M333" s="8"/>
      <c r="N333" s="8"/>
      <c r="O333" s="8"/>
      <c r="P333" s="8"/>
      <c r="Q333" s="8"/>
      <c r="R333" s="8"/>
      <c r="S333" s="8"/>
      <c r="T333" s="8"/>
      <c r="U333" s="8"/>
    </row>
    <row r="334">
      <c r="A334" s="10" t="s">
        <v>1069</v>
      </c>
      <c r="B334" s="10" t="s">
        <v>1071</v>
      </c>
      <c r="C334" s="12" t="s">
        <v>1178</v>
      </c>
      <c r="D334" s="13" t="s">
        <v>1179</v>
      </c>
      <c r="E334" s="16">
        <f t="array" ref="E334">XLOOKUP(C334,'DATA TK PANEN'!D:D,'DATA TK PANEN'!H:H)</f>
        <v>2594</v>
      </c>
      <c r="F334" s="10">
        <f>IFERROR(__xludf.DUMMYFUNCTION("XLOOKUP(C334,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(AUTO)'!S6:S""))"),156.0)</f>
        <v>156</v>
      </c>
      <c r="G334" s="10">
        <f>IFERROR(__xludf.DUMMYFUNCTION("XLOOKUP($C334,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(AUTO)'!T6:T""))"),74.0)</f>
        <v>74</v>
      </c>
      <c r="H334" s="10">
        <f>IFERROR(__xludf.DUMMYFUNCTION("XLOOKUP($C334,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(AUTO)'!V6:V""))"),72.0)</f>
        <v>72</v>
      </c>
      <c r="I334" s="18"/>
      <c r="J334" s="18"/>
      <c r="K334" s="10">
        <f>IFERROR(__xludf.DUMMYFUNCTION("XLOOKUP($C334,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(AUTO)'!W6:W""))"),36.0)</f>
        <v>36</v>
      </c>
      <c r="L334" s="10">
        <f>IFERROR(__xludf.DUMMYFUNCTION("XLOOKUP($C334,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(AUTO)'!X6:X""))"),22.0)</f>
        <v>22</v>
      </c>
      <c r="M334" s="8"/>
      <c r="N334" s="8"/>
      <c r="O334" s="8"/>
      <c r="P334" s="8"/>
      <c r="Q334" s="8"/>
      <c r="R334" s="8"/>
      <c r="S334" s="8"/>
      <c r="T334" s="8"/>
      <c r="U334" s="8"/>
    </row>
    <row r="335">
      <c r="A335" s="10" t="s">
        <v>1069</v>
      </c>
      <c r="B335" s="10" t="s">
        <v>1071</v>
      </c>
      <c r="C335" s="12" t="s">
        <v>1182</v>
      </c>
      <c r="D335" s="13" t="s">
        <v>1184</v>
      </c>
      <c r="E335" s="16">
        <f t="array" ref="E335">XLOOKUP(C335,'DATA TK PANEN'!D:D,'DATA TK PANEN'!H:H)</f>
        <v>885</v>
      </c>
      <c r="F335" s="10">
        <f>IFERROR(__xludf.DUMMYFUNCTION("XLOOKUP(C335,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(AUTO)'!S6:S""))"),53.0)</f>
        <v>53</v>
      </c>
      <c r="G335" s="10" t="str">
        <f>IFERROR(__xludf.DUMMYFUNCTION("XLOOKUP($C335,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5" s="10" t="str">
        <f>IFERROR(__xludf.DUMMYFUNCTION("XLOOKUP($C335,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5" s="18"/>
      <c r="J335" s="18"/>
      <c r="K335" s="10" t="str">
        <f>IFERROR(__xludf.DUMMYFUNCTION("XLOOKUP($C335,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5" s="10" t="str">
        <f>IFERROR(__xludf.DUMMYFUNCTION("XLOOKUP($C335,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5" s="8"/>
      <c r="N335" s="8"/>
      <c r="O335" s="8"/>
      <c r="P335" s="8"/>
      <c r="Q335" s="8"/>
      <c r="R335" s="8"/>
      <c r="S335" s="8"/>
      <c r="T335" s="8"/>
      <c r="U335" s="8"/>
    </row>
    <row r="336">
      <c r="A336" s="10" t="s">
        <v>1069</v>
      </c>
      <c r="B336" s="10" t="s">
        <v>1071</v>
      </c>
      <c r="C336" s="12" t="s">
        <v>1187</v>
      </c>
      <c r="D336" s="13" t="s">
        <v>1188</v>
      </c>
      <c r="E336" s="16">
        <f t="array" ref="E336">XLOOKUP(C336,'DATA TK PANEN'!D:D,'DATA TK PANEN'!H:H)</f>
        <v>267</v>
      </c>
      <c r="F336" s="10">
        <f>IFERROR(__xludf.DUMMYFUNCTION("XLOOKUP(C336,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336" s="10" t="str">
        <f>IFERROR(__xludf.DUMMYFUNCTION("XLOOKUP($C336,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6" s="10" t="str">
        <f>IFERROR(__xludf.DUMMYFUNCTION("XLOOKUP($C336,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6" s="18"/>
      <c r="J336" s="18"/>
      <c r="K336" s="10" t="str">
        <f>IFERROR(__xludf.DUMMYFUNCTION("XLOOKUP($C336,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6" s="10" t="str">
        <f>IFERROR(__xludf.DUMMYFUNCTION("XLOOKUP($C336,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6" s="8"/>
      <c r="N336" s="8"/>
      <c r="O336" s="8"/>
      <c r="P336" s="8"/>
      <c r="Q336" s="8"/>
      <c r="R336" s="8"/>
      <c r="S336" s="8"/>
      <c r="T336" s="8"/>
      <c r="U336" s="8"/>
    </row>
    <row r="337">
      <c r="A337" s="10" t="s">
        <v>1069</v>
      </c>
      <c r="B337" s="10" t="s">
        <v>1071</v>
      </c>
      <c r="C337" s="12" t="s">
        <v>1190</v>
      </c>
      <c r="D337" s="13" t="s">
        <v>1191</v>
      </c>
      <c r="E337" s="16">
        <f t="array" ref="E337">XLOOKUP(C337,'DATA TK PANEN'!D:D,'DATA TK PANEN'!H:H)</f>
        <v>1423</v>
      </c>
      <c r="F337" s="10">
        <f>IFERROR(__xludf.DUMMYFUNCTION("XLOOKUP(C337,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(AUTO)'!S6:S""))"),85.0)</f>
        <v>85</v>
      </c>
      <c r="G337" s="10" t="str">
        <f>IFERROR(__xludf.DUMMYFUNCTION("XLOOKUP($C337,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7" s="10" t="str">
        <f>IFERROR(__xludf.DUMMYFUNCTION("XLOOKUP($C337,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7" s="18"/>
      <c r="J337" s="18"/>
      <c r="K337" s="10" t="str">
        <f>IFERROR(__xludf.DUMMYFUNCTION("XLOOKUP($C337,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7" s="10" t="str">
        <f>IFERROR(__xludf.DUMMYFUNCTION("XLOOKUP($C337,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7" s="8"/>
      <c r="N337" s="8"/>
      <c r="O337" s="8"/>
      <c r="P337" s="8"/>
      <c r="Q337" s="8"/>
      <c r="R337" s="8"/>
      <c r="S337" s="8"/>
      <c r="T337" s="8"/>
      <c r="U337" s="8"/>
    </row>
    <row r="338">
      <c r="A338" s="10" t="s">
        <v>1069</v>
      </c>
      <c r="B338" s="10" t="s">
        <v>1071</v>
      </c>
      <c r="C338" s="12" t="s">
        <v>1194</v>
      </c>
      <c r="D338" s="13" t="s">
        <v>1195</v>
      </c>
      <c r="E338" s="16">
        <f t="array" ref="E338">XLOOKUP(C338,'DATA TK PANEN'!D:D,'DATA TK PANEN'!H:H)</f>
        <v>1211</v>
      </c>
      <c r="F338" s="10">
        <f>IFERROR(__xludf.DUMMYFUNCTION("XLOOKUP(C338,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(AUTO)'!S6:S""))"),73.0)</f>
        <v>73</v>
      </c>
      <c r="G338" s="10" t="str">
        <f>IFERROR(__xludf.DUMMYFUNCTION("XLOOKUP($C338,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8" s="10" t="str">
        <f>IFERROR(__xludf.DUMMYFUNCTION("XLOOKUP($C338,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8" s="18"/>
      <c r="J338" s="18"/>
      <c r="K338" s="10" t="str">
        <f>IFERROR(__xludf.DUMMYFUNCTION("XLOOKUP($C338,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8" s="10" t="str">
        <f>IFERROR(__xludf.DUMMYFUNCTION("XLOOKUP($C338,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8" s="8"/>
      <c r="N338" s="8"/>
      <c r="O338" s="8"/>
      <c r="P338" s="8"/>
      <c r="Q338" s="8"/>
      <c r="R338" s="8"/>
      <c r="S338" s="8"/>
      <c r="T338" s="8"/>
      <c r="U338" s="8"/>
    </row>
    <row r="339">
      <c r="A339" s="10" t="s">
        <v>1069</v>
      </c>
      <c r="B339" s="10" t="s">
        <v>1071</v>
      </c>
      <c r="C339" s="12" t="s">
        <v>1197</v>
      </c>
      <c r="D339" s="13" t="s">
        <v>1199</v>
      </c>
      <c r="E339" s="16">
        <f t="array" ref="E339">XLOOKUP(C339,'DATA TK PANEN'!D:D,'DATA TK PANEN'!H:H)</f>
        <v>56</v>
      </c>
      <c r="F339" s="10">
        <f>IFERROR(__xludf.DUMMYFUNCTION("XLOOKUP(C339,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339" s="10" t="str">
        <f>IFERROR(__xludf.DUMMYFUNCTION("XLOOKUP($C339,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39" s="10" t="str">
        <f>IFERROR(__xludf.DUMMYFUNCTION("XLOOKUP($C339,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39" s="18"/>
      <c r="J339" s="18"/>
      <c r="K339" s="10" t="str">
        <f>IFERROR(__xludf.DUMMYFUNCTION("XLOOKUP($C339,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39" s="10" t="str">
        <f>IFERROR(__xludf.DUMMYFUNCTION("XLOOKUP($C339,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39" s="8"/>
      <c r="N339" s="8"/>
      <c r="O339" s="8"/>
      <c r="P339" s="8"/>
      <c r="Q339" s="8"/>
      <c r="R339" s="8"/>
      <c r="S339" s="8"/>
      <c r="T339" s="8"/>
      <c r="U339" s="8"/>
    </row>
    <row r="340">
      <c r="A340" s="10" t="s">
        <v>1069</v>
      </c>
      <c r="B340" s="10" t="s">
        <v>1071</v>
      </c>
      <c r="C340" s="12" t="s">
        <v>1200</v>
      </c>
      <c r="D340" s="13" t="s">
        <v>1201</v>
      </c>
      <c r="E340" s="16">
        <f t="array" ref="E340">XLOOKUP(C340,'DATA TK PANEN'!D:D,'DATA TK PANEN'!H:H)</f>
        <v>447</v>
      </c>
      <c r="F340" s="10">
        <f>IFERROR(__xludf.DUMMYFUNCTION("XLOOKUP(C340,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(AUTO)'!S6:S""))"),27.0)</f>
        <v>27</v>
      </c>
      <c r="G340" s="10" t="str">
        <f>IFERROR(__xludf.DUMMYFUNCTION("XLOOKUP($C340,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0" s="10" t="str">
        <f>IFERROR(__xludf.DUMMYFUNCTION("XLOOKUP($C340,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0" s="18"/>
      <c r="J340" s="18"/>
      <c r="K340" s="10" t="str">
        <f>IFERROR(__xludf.DUMMYFUNCTION("XLOOKUP($C340,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0" s="10" t="str">
        <f>IFERROR(__xludf.DUMMYFUNCTION("XLOOKUP($C340,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0" s="8"/>
      <c r="N340" s="8"/>
      <c r="O340" s="8"/>
      <c r="P340" s="8"/>
      <c r="Q340" s="8"/>
      <c r="R340" s="8"/>
      <c r="S340" s="8"/>
      <c r="T340" s="8"/>
      <c r="U340" s="8"/>
    </row>
    <row r="341">
      <c r="A341" s="10" t="s">
        <v>1069</v>
      </c>
      <c r="B341" s="10" t="s">
        <v>1071</v>
      </c>
      <c r="C341" s="12" t="s">
        <v>1205</v>
      </c>
      <c r="D341" s="13" t="s">
        <v>1206</v>
      </c>
      <c r="E341" s="16">
        <f t="array" ref="E341">XLOOKUP(C341,'DATA TK PANEN'!D:D,'DATA TK PANEN'!H:H)</f>
        <v>858</v>
      </c>
      <c r="F341" s="10">
        <f>IFERROR(__xludf.DUMMYFUNCTION("XLOOKUP(C341,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(AUTO)'!S6:S""))"),51.0)</f>
        <v>51</v>
      </c>
      <c r="G341" s="10">
        <f>IFERROR(__xludf.DUMMYFUNCTION("XLOOKUP($C341,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(AUTO)'!T6:T""))"),22.0)</f>
        <v>22</v>
      </c>
      <c r="H341" s="10">
        <f>IFERROR(__xludf.DUMMYFUNCTION("XLOOKUP($C341,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(AUTO)'!V6:V""))"),22.0)</f>
        <v>22</v>
      </c>
      <c r="I341" s="18"/>
      <c r="J341" s="18"/>
      <c r="K341" s="10">
        <f>IFERROR(__xludf.DUMMYFUNCTION("XLOOKUP($C341,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(AUTO)'!W6:W""))"),8.0)</f>
        <v>8</v>
      </c>
      <c r="L341" s="10">
        <f>IFERROR(__xludf.DUMMYFUNCTION("XLOOKUP($C341,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(AUTO)'!X6:X""))"),13.0)</f>
        <v>13</v>
      </c>
      <c r="M341" s="8"/>
      <c r="N341" s="8"/>
      <c r="O341" s="8"/>
      <c r="P341" s="8"/>
      <c r="Q341" s="8"/>
      <c r="R341" s="8"/>
      <c r="S341" s="8"/>
      <c r="T341" s="8"/>
      <c r="U341" s="8"/>
    </row>
    <row r="342">
      <c r="A342" s="10" t="s">
        <v>1069</v>
      </c>
      <c r="B342" s="10" t="s">
        <v>1071</v>
      </c>
      <c r="C342" s="12" t="s">
        <v>1209</v>
      </c>
      <c r="D342" s="13" t="s">
        <v>1211</v>
      </c>
      <c r="E342" s="16">
        <f t="array" ref="E342">XLOOKUP(C342,'DATA TK PANEN'!D:D,'DATA TK PANEN'!H:H)</f>
        <v>77</v>
      </c>
      <c r="F342" s="10">
        <f>IFERROR(__xludf.DUMMYFUNCTION("XLOOKUP(C342,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342" s="10" t="str">
        <f>IFERROR(__xludf.DUMMYFUNCTION("XLOOKUP($C342,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2" s="10" t="str">
        <f>IFERROR(__xludf.DUMMYFUNCTION("XLOOKUP($C342,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2" s="18"/>
      <c r="J342" s="18"/>
      <c r="K342" s="10" t="str">
        <f>IFERROR(__xludf.DUMMYFUNCTION("XLOOKUP($C342,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2" s="10" t="str">
        <f>IFERROR(__xludf.DUMMYFUNCTION("XLOOKUP($C342,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2" s="8"/>
      <c r="N342" s="8"/>
      <c r="O342" s="8"/>
      <c r="P342" s="8"/>
      <c r="Q342" s="8"/>
      <c r="R342" s="8"/>
      <c r="S342" s="8"/>
      <c r="T342" s="8"/>
      <c r="U342" s="8"/>
    </row>
    <row r="343">
      <c r="A343" s="10" t="s">
        <v>1069</v>
      </c>
      <c r="B343" s="10" t="s">
        <v>1071</v>
      </c>
      <c r="C343" s="12" t="s">
        <v>1214</v>
      </c>
      <c r="D343" s="13" t="s">
        <v>1215</v>
      </c>
      <c r="E343" s="16">
        <f t="array" ref="E343">XLOOKUP(C343,'DATA TK PANEN'!D:D,'DATA TK PANEN'!H:H)</f>
        <v>138</v>
      </c>
      <c r="F343" s="10">
        <f>IFERROR(__xludf.DUMMYFUNCTION("XLOOKUP(C343,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343" s="10" t="str">
        <f>IFERROR(__xludf.DUMMYFUNCTION("XLOOKUP($C343,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3" s="10" t="str">
        <f>IFERROR(__xludf.DUMMYFUNCTION("XLOOKUP($C343,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3" s="18"/>
      <c r="J343" s="18"/>
      <c r="K343" s="10" t="str">
        <f>IFERROR(__xludf.DUMMYFUNCTION("XLOOKUP($C343,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3" s="10" t="str">
        <f>IFERROR(__xludf.DUMMYFUNCTION("XLOOKUP($C343,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3" s="8"/>
      <c r="N343" s="8"/>
      <c r="O343" s="8"/>
      <c r="P343" s="8"/>
      <c r="Q343" s="8"/>
      <c r="R343" s="8"/>
      <c r="S343" s="8"/>
      <c r="T343" s="8"/>
      <c r="U343" s="8"/>
    </row>
    <row r="344">
      <c r="A344" s="10" t="s">
        <v>1069</v>
      </c>
      <c r="B344" s="10" t="s">
        <v>1071</v>
      </c>
      <c r="C344" s="12" t="s">
        <v>1220</v>
      </c>
      <c r="D344" s="13" t="s">
        <v>1221</v>
      </c>
      <c r="E344" s="16">
        <f t="array" ref="E344">XLOOKUP(C344,'DATA TK PANEN'!D:D,'DATA TK PANEN'!H:H)</f>
        <v>801</v>
      </c>
      <c r="F344" s="10">
        <f>IFERROR(__xludf.DUMMYFUNCTION("XLOOKUP(C344,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(AUTO)'!S6:S""))"),48.0)</f>
        <v>48</v>
      </c>
      <c r="G344" s="10">
        <f>IFERROR(__xludf.DUMMYFUNCTION("XLOOKUP($C344,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344" s="10">
        <f>IFERROR(__xludf.DUMMYFUNCTION("XLOOKUP($C344,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(AUTO)'!V6:V""))"),20.0)</f>
        <v>20</v>
      </c>
      <c r="I344" s="18"/>
      <c r="J344" s="18"/>
      <c r="K344" s="10">
        <f>IFERROR(__xludf.DUMMYFUNCTION("XLOOKUP($C344,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(AUTO)'!W6:W""))"),12.0)</f>
        <v>12</v>
      </c>
      <c r="L344" s="10">
        <f>IFERROR(__xludf.DUMMYFUNCTION("XLOOKUP($C344,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344" s="8"/>
      <c r="N344" s="8"/>
      <c r="O344" s="8"/>
      <c r="P344" s="8"/>
      <c r="Q344" s="8"/>
      <c r="R344" s="8"/>
      <c r="S344" s="8"/>
      <c r="T344" s="8"/>
      <c r="U344" s="8"/>
    </row>
    <row r="345">
      <c r="A345" s="10" t="s">
        <v>1069</v>
      </c>
      <c r="B345" s="10" t="s">
        <v>1071</v>
      </c>
      <c r="C345" s="12" t="s">
        <v>1224</v>
      </c>
      <c r="D345" s="13" t="s">
        <v>1225</v>
      </c>
      <c r="E345" s="16">
        <f t="array" ref="E345">XLOOKUP(C345,'DATA TK PANEN'!D:D,'DATA TK PANEN'!H:H)</f>
        <v>193</v>
      </c>
      <c r="F345" s="10">
        <f>IFERROR(__xludf.DUMMYFUNCTION("XLOOKUP(C345,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(AUTO)'!S6:S""))"),12.0)</f>
        <v>12</v>
      </c>
      <c r="G345" s="10">
        <f>IFERROR(__xludf.DUMMYFUNCTION("XLOOKUP($C345,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345" s="10">
        <f>IFERROR(__xludf.DUMMYFUNCTION("XLOOKUP($C345,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345" s="18"/>
      <c r="J345" s="18"/>
      <c r="K345" s="10" t="str">
        <f>IFERROR(__xludf.DUMMYFUNCTION("XLOOKUP($C345,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5" s="10" t="str">
        <f>IFERROR(__xludf.DUMMYFUNCTION("XLOOKUP($C345,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5" s="8"/>
      <c r="N345" s="8"/>
      <c r="O345" s="8"/>
      <c r="P345" s="8"/>
      <c r="Q345" s="8"/>
      <c r="R345" s="8"/>
      <c r="S345" s="8"/>
      <c r="T345" s="8"/>
      <c r="U345" s="8"/>
    </row>
    <row r="346">
      <c r="A346" s="10" t="s">
        <v>1069</v>
      </c>
      <c r="B346" s="10" t="s">
        <v>1071</v>
      </c>
      <c r="C346" s="12" t="s">
        <v>1229</v>
      </c>
      <c r="D346" s="13" t="s">
        <v>1230</v>
      </c>
      <c r="E346" s="16">
        <f t="array" ref="E346">XLOOKUP(C346,'DATA TK PANEN'!D:D,'DATA TK PANEN'!H:H)</f>
        <v>239</v>
      </c>
      <c r="F346" s="10">
        <f>IFERROR(__xludf.DUMMYFUNCTION("XLOOKUP(C346,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(AUTO)'!S6:S""))"),14.0)</f>
        <v>14</v>
      </c>
      <c r="G346" s="10" t="str">
        <f>IFERROR(__xludf.DUMMYFUNCTION("XLOOKUP($C346,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6" s="10" t="str">
        <f>IFERROR(__xludf.DUMMYFUNCTION("XLOOKUP($C346,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6" s="18"/>
      <c r="J346" s="18"/>
      <c r="K346" s="10" t="str">
        <f>IFERROR(__xludf.DUMMYFUNCTION("XLOOKUP($C346,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6" s="10" t="str">
        <f>IFERROR(__xludf.DUMMYFUNCTION("XLOOKUP($C346,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6" s="8"/>
      <c r="N346" s="8"/>
      <c r="O346" s="8"/>
      <c r="P346" s="8"/>
      <c r="Q346" s="8"/>
      <c r="R346" s="8"/>
      <c r="S346" s="8"/>
      <c r="T346" s="8"/>
      <c r="U346" s="8"/>
    </row>
    <row r="347">
      <c r="A347" s="10" t="s">
        <v>1069</v>
      </c>
      <c r="B347" s="10" t="s">
        <v>1071</v>
      </c>
      <c r="C347" s="12" t="s">
        <v>1232</v>
      </c>
      <c r="D347" s="13" t="s">
        <v>1234</v>
      </c>
      <c r="E347" s="16">
        <f t="array" ref="E347">XLOOKUP(C347,'DATA TK PANEN'!D:D,'DATA TK PANEN'!H:H)</f>
        <v>545</v>
      </c>
      <c r="F347" s="10">
        <f>IFERROR(__xludf.DUMMYFUNCTION("XLOOKUP(C347,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(AUTO)'!S6:S""))"),33.0)</f>
        <v>33</v>
      </c>
      <c r="G347" s="10">
        <f>IFERROR(__xludf.DUMMYFUNCTION("XLOOKUP($C347,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347" s="10">
        <f>IFERROR(__xludf.DUMMYFUNCTION("XLOOKUP($C347,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347" s="18"/>
      <c r="J347" s="18"/>
      <c r="K347" s="10">
        <f>IFERROR(__xludf.DUMMYFUNCTION("XLOOKUP($C347,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347" s="10">
        <f>IFERROR(__xludf.DUMMYFUNCTION("XLOOKUP($C347,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347" s="8"/>
      <c r="N347" s="8"/>
      <c r="O347" s="8"/>
      <c r="P347" s="8"/>
      <c r="Q347" s="8"/>
      <c r="R347" s="8"/>
      <c r="S347" s="8"/>
      <c r="T347" s="8"/>
      <c r="U347" s="8"/>
    </row>
    <row r="348">
      <c r="A348" s="10" t="s">
        <v>1069</v>
      </c>
      <c r="B348" s="10" t="s">
        <v>1071</v>
      </c>
      <c r="C348" s="12" t="s">
        <v>1236</v>
      </c>
      <c r="D348" s="13" t="s">
        <v>1237</v>
      </c>
      <c r="E348" s="16">
        <f t="array" ref="E348">XLOOKUP(C348,'DATA TK PANEN'!D:D,'DATA TK PANEN'!H:H)</f>
        <v>545</v>
      </c>
      <c r="F348" s="10">
        <f>IFERROR(__xludf.DUMMYFUNCTION("XLOOKUP(C348,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348" s="10" t="str">
        <f>IFERROR(__xludf.DUMMYFUNCTION("XLOOKUP($C348,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8" s="10" t="str">
        <f>IFERROR(__xludf.DUMMYFUNCTION("XLOOKUP($C348,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8" s="18"/>
      <c r="J348" s="18"/>
      <c r="K348" s="10" t="str">
        <f>IFERROR(__xludf.DUMMYFUNCTION("XLOOKUP($C348,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8" s="10" t="str">
        <f>IFERROR(__xludf.DUMMYFUNCTION("XLOOKUP($C348,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8" s="8"/>
      <c r="N348" s="8"/>
      <c r="O348" s="8"/>
      <c r="P348" s="8"/>
      <c r="Q348" s="8"/>
      <c r="R348" s="8"/>
      <c r="S348" s="8"/>
      <c r="T348" s="8"/>
      <c r="U348" s="8"/>
    </row>
    <row r="349">
      <c r="A349" s="10" t="s">
        <v>1069</v>
      </c>
      <c r="B349" s="10" t="s">
        <v>1071</v>
      </c>
      <c r="C349" s="12" t="s">
        <v>1240</v>
      </c>
      <c r="D349" s="13" t="s">
        <v>1241</v>
      </c>
      <c r="E349" s="16">
        <f t="array" ref="E349">XLOOKUP(C349,'DATA TK PANEN'!D:D,'DATA TK PANEN'!H:H)</f>
        <v>135</v>
      </c>
      <c r="F349" s="10">
        <f>IFERROR(__xludf.DUMMYFUNCTION("XLOOKUP(C349,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349" s="10" t="str">
        <f>IFERROR(__xludf.DUMMYFUNCTION("XLOOKUP($C349,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49" s="10" t="str">
        <f>IFERROR(__xludf.DUMMYFUNCTION("XLOOKUP($C349,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49" s="18"/>
      <c r="J349" s="18"/>
      <c r="K349" s="10" t="str">
        <f>IFERROR(__xludf.DUMMYFUNCTION("XLOOKUP($C349,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49" s="10" t="str">
        <f>IFERROR(__xludf.DUMMYFUNCTION("XLOOKUP($C349,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49" s="8"/>
      <c r="N349" s="8"/>
      <c r="O349" s="8"/>
      <c r="P349" s="8"/>
      <c r="Q349" s="8"/>
      <c r="R349" s="8"/>
      <c r="S349" s="8"/>
      <c r="T349" s="8"/>
      <c r="U349" s="8"/>
    </row>
    <row r="350">
      <c r="A350" s="10" t="s">
        <v>1069</v>
      </c>
      <c r="B350" s="10" t="s">
        <v>1071</v>
      </c>
      <c r="C350" s="12" t="s">
        <v>1243</v>
      </c>
      <c r="D350" s="13" t="s">
        <v>1244</v>
      </c>
      <c r="E350" s="16">
        <f t="array" ref="E350">XLOOKUP(C350,'DATA TK PANEN'!D:D,'DATA TK PANEN'!H:H)</f>
        <v>137</v>
      </c>
      <c r="F350" s="10">
        <f>IFERROR(__xludf.DUMMYFUNCTION("XLOOKUP(C350,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350" s="10" t="str">
        <f>IFERROR(__xludf.DUMMYFUNCTION("XLOOKUP($C350,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50" s="10" t="str">
        <f>IFERROR(__xludf.DUMMYFUNCTION("XLOOKUP($C350,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50" s="18"/>
      <c r="J350" s="18"/>
      <c r="K350" s="10" t="str">
        <f>IFERROR(__xludf.DUMMYFUNCTION("XLOOKUP($C350,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50" s="10" t="str">
        <f>IFERROR(__xludf.DUMMYFUNCTION("XLOOKUP($C350,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50" s="8"/>
      <c r="N350" s="8"/>
      <c r="O350" s="8"/>
      <c r="P350" s="8"/>
      <c r="Q350" s="8"/>
      <c r="R350" s="8"/>
      <c r="S350" s="8"/>
      <c r="T350" s="8"/>
      <c r="U350" s="8"/>
    </row>
    <row r="351">
      <c r="A351" s="10" t="s">
        <v>1069</v>
      </c>
      <c r="B351" s="10" t="s">
        <v>1071</v>
      </c>
      <c r="C351" s="12" t="s">
        <v>1246</v>
      </c>
      <c r="D351" s="13" t="s">
        <v>1247</v>
      </c>
      <c r="E351" s="16" t="str">
        <f t="array" ref="E351">XLOOKUP(C351,'DATA TK PANEN'!D:D,'DATA TK PANEN'!H:H)</f>
        <v>Tidak Ditemukan</v>
      </c>
      <c r="F351" s="10">
        <f>IFERROR(__xludf.DUMMYFUNCTION("XLOOKUP(C351,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351" s="10" t="str">
        <f>IFERROR(__xludf.DUMMYFUNCTION("XLOOKUP($C351,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51" s="10" t="str">
        <f>IFERROR(__xludf.DUMMYFUNCTION("XLOOKUP($C351,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51" s="18"/>
      <c r="J351" s="18"/>
      <c r="K351" s="10" t="str">
        <f>IFERROR(__xludf.DUMMYFUNCTION("XLOOKUP($C351,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51" s="10" t="str">
        <f>IFERROR(__xludf.DUMMYFUNCTION("XLOOKUP($C351,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51" s="8"/>
      <c r="N351" s="8"/>
      <c r="O351" s="8"/>
      <c r="P351" s="8"/>
      <c r="Q351" s="8"/>
      <c r="R351" s="8"/>
      <c r="S351" s="8"/>
      <c r="T351" s="8"/>
      <c r="U351" s="8"/>
    </row>
    <row r="352">
      <c r="A352" s="10" t="s">
        <v>1069</v>
      </c>
      <c r="B352" s="10" t="s">
        <v>1071</v>
      </c>
      <c r="C352" s="12" t="s">
        <v>1250</v>
      </c>
      <c r="D352" s="13" t="s">
        <v>1251</v>
      </c>
      <c r="E352" s="16">
        <f t="array" ref="E352">XLOOKUP(C352,'DATA TK PANEN'!D:D,'DATA TK PANEN'!H:H)</f>
        <v>1067</v>
      </c>
      <c r="F352" s="10">
        <f>IFERROR(__xludf.DUMMYFUNCTION("XLOOKUP(C352,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(AUTO)'!S6:S""))"),64.0)</f>
        <v>64</v>
      </c>
      <c r="G352" s="10">
        <f>IFERROR(__xludf.DUMMYFUNCTION("XLOOKUP($C352,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352" s="10">
        <f>IFERROR(__xludf.DUMMYFUNCTION("XLOOKUP($C352,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352" s="18"/>
      <c r="J352" s="18"/>
      <c r="K352" s="10">
        <f>IFERROR(__xludf.DUMMYFUNCTION("XLOOKUP($C352,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(AUTO)'!W6:W""))"),25.0)</f>
        <v>25</v>
      </c>
      <c r="L352" s="10">
        <f>IFERROR(__xludf.DUMMYFUNCTION("XLOOKUP($C352,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(AUTO)'!X6:X""))"),21.0)</f>
        <v>21</v>
      </c>
      <c r="M352" s="8"/>
      <c r="N352" s="8"/>
      <c r="O352" s="8"/>
      <c r="P352" s="8"/>
      <c r="Q352" s="8"/>
      <c r="R352" s="8"/>
      <c r="S352" s="8"/>
      <c r="T352" s="8"/>
      <c r="U352" s="8"/>
    </row>
    <row r="353">
      <c r="A353" s="10" t="s">
        <v>1069</v>
      </c>
      <c r="B353" s="10" t="s">
        <v>1071</v>
      </c>
      <c r="C353" s="12" t="s">
        <v>1254</v>
      </c>
      <c r="D353" s="13" t="s">
        <v>1256</v>
      </c>
      <c r="E353" s="16">
        <f t="array" ref="E353">XLOOKUP(C353,'DATA TK PANEN'!D:D,'DATA TK PANEN'!H:H)</f>
        <v>5361</v>
      </c>
      <c r="F353" s="10">
        <f>IFERROR(__xludf.DUMMYFUNCTION("XLOOKUP(C353,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(AUTO)'!S6:S""))"),322.0)</f>
        <v>322</v>
      </c>
      <c r="G353" s="10">
        <f>IFERROR(__xludf.DUMMYFUNCTION("XLOOKUP($C353,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(AUTO)'!T6:T""))"),143.0)</f>
        <v>143</v>
      </c>
      <c r="H353" s="10">
        <f>IFERROR(__xludf.DUMMYFUNCTION("XLOOKUP($C353,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(AUTO)'!V6:V""))"),170.0)</f>
        <v>170</v>
      </c>
      <c r="I353" s="18"/>
      <c r="J353" s="18"/>
      <c r="K353" s="10">
        <f>IFERROR(__xludf.DUMMYFUNCTION("XLOOKUP($C353,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(AUTO)'!W6:W""))"),45.0)</f>
        <v>45</v>
      </c>
      <c r="L353" s="10">
        <f>IFERROR(__xludf.DUMMYFUNCTION("XLOOKUP($C353,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(AUTO)'!X6:X""))"),54.0)</f>
        <v>54</v>
      </c>
      <c r="M353" s="8"/>
      <c r="N353" s="8"/>
      <c r="O353" s="8"/>
      <c r="P353" s="8"/>
      <c r="Q353" s="8"/>
      <c r="R353" s="8"/>
      <c r="S353" s="8"/>
      <c r="T353" s="8"/>
      <c r="U353" s="8"/>
    </row>
    <row r="354">
      <c r="A354" s="10" t="s">
        <v>1069</v>
      </c>
      <c r="B354" s="10" t="s">
        <v>1071</v>
      </c>
      <c r="C354" s="12" t="s">
        <v>1258</v>
      </c>
      <c r="D354" s="13" t="s">
        <v>1259</v>
      </c>
      <c r="E354" s="16">
        <f t="array" ref="E354">XLOOKUP(C354,'DATA TK PANEN'!D:D,'DATA TK PANEN'!H:H)</f>
        <v>3817</v>
      </c>
      <c r="F354" s="10">
        <f>IFERROR(__xludf.DUMMYFUNCTION("XLOOKUP(C354,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(AUTO)'!S6:S""))"),229.0)</f>
        <v>229</v>
      </c>
      <c r="G354" s="10">
        <f>IFERROR(__xludf.DUMMYFUNCTION("XLOOKUP($C354,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(AUTO)'!T6:T""))"),96.0)</f>
        <v>96</v>
      </c>
      <c r="H354" s="10">
        <f>IFERROR(__xludf.DUMMYFUNCTION("XLOOKUP($C354,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(AUTO)'!V6:V""))"),107.0)</f>
        <v>107</v>
      </c>
      <c r="I354" s="18"/>
      <c r="J354" s="18"/>
      <c r="K354" s="10">
        <f>IFERROR(__xludf.DUMMYFUNCTION("XLOOKUP($C354,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(AUTO)'!W6:W""))"),44.0)</f>
        <v>44</v>
      </c>
      <c r="L354" s="10">
        <f>IFERROR(__xludf.DUMMYFUNCTION("XLOOKUP($C354,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(AUTO)'!X6:X""))"),40.0)</f>
        <v>40</v>
      </c>
      <c r="M354" s="8"/>
      <c r="N354" s="8"/>
      <c r="O354" s="8"/>
      <c r="P354" s="8"/>
      <c r="Q354" s="8"/>
      <c r="R354" s="8"/>
      <c r="S354" s="8"/>
      <c r="T354" s="8"/>
      <c r="U354" s="8"/>
    </row>
    <row r="355">
      <c r="A355" s="10" t="s">
        <v>1069</v>
      </c>
      <c r="B355" s="10" t="s">
        <v>1071</v>
      </c>
      <c r="C355" s="12" t="s">
        <v>1262</v>
      </c>
      <c r="D355" s="13" t="s">
        <v>1263</v>
      </c>
      <c r="E355" s="16">
        <f t="array" ref="E355">XLOOKUP(C355,'DATA TK PANEN'!D:D,'DATA TK PANEN'!H:H)</f>
        <v>66</v>
      </c>
      <c r="F355" s="10">
        <f>IFERROR(__xludf.DUMMYFUNCTION("XLOOKUP(C355,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355" s="10" t="str">
        <f>IFERROR(__xludf.DUMMYFUNCTION("XLOOKUP($C355,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55" s="10" t="str">
        <f>IFERROR(__xludf.DUMMYFUNCTION("XLOOKUP($C355,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55" s="18"/>
      <c r="J355" s="18"/>
      <c r="K355" s="10" t="str">
        <f>IFERROR(__xludf.DUMMYFUNCTION("XLOOKUP($C355,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55" s="10">
        <f>IFERROR(__xludf.DUMMYFUNCTION("XLOOKUP($C355,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355" s="8"/>
      <c r="N355" s="8"/>
      <c r="O355" s="8"/>
      <c r="P355" s="8"/>
      <c r="Q355" s="8"/>
      <c r="R355" s="8"/>
      <c r="S355" s="8"/>
      <c r="T355" s="8"/>
      <c r="U355" s="8"/>
    </row>
    <row r="356">
      <c r="A356" s="10" t="s">
        <v>1069</v>
      </c>
      <c r="B356" s="10" t="s">
        <v>1071</v>
      </c>
      <c r="C356" s="12" t="s">
        <v>1266</v>
      </c>
      <c r="D356" s="13" t="s">
        <v>1267</v>
      </c>
      <c r="E356" s="16">
        <f t="array" ref="E356">XLOOKUP(C356,'DATA TK PANEN'!D:D,'DATA TK PANEN'!H:H)</f>
        <v>158</v>
      </c>
      <c r="F356" s="10">
        <f>IFERROR(__xludf.DUMMYFUNCTION("XLOOKUP(C356,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356" s="10" t="str">
        <f>IFERROR(__xludf.DUMMYFUNCTION("XLOOKUP($C356,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56" s="10" t="str">
        <f>IFERROR(__xludf.DUMMYFUNCTION("XLOOKUP($C356,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56" s="18"/>
      <c r="J356" s="18"/>
      <c r="K356" s="10" t="str">
        <f>IFERROR(__xludf.DUMMYFUNCTION("XLOOKUP($C356,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56" s="10">
        <f>IFERROR(__xludf.DUMMYFUNCTION("XLOOKUP($C356,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356" s="8"/>
      <c r="N356" s="8"/>
      <c r="O356" s="8"/>
      <c r="P356" s="8"/>
      <c r="Q356" s="8"/>
      <c r="R356" s="8"/>
      <c r="S356" s="8"/>
      <c r="T356" s="8"/>
      <c r="U356" s="8"/>
    </row>
    <row r="357">
      <c r="A357" s="10" t="s">
        <v>1069</v>
      </c>
      <c r="B357" s="10" t="s">
        <v>1071</v>
      </c>
      <c r="C357" s="12" t="s">
        <v>1270</v>
      </c>
      <c r="D357" s="13" t="s">
        <v>1272</v>
      </c>
      <c r="E357" s="16">
        <f t="array" ref="E357">XLOOKUP(C357,'DATA TK PANEN'!D:D,'DATA TK PANEN'!H:H)</f>
        <v>1370</v>
      </c>
      <c r="F357" s="10">
        <f>IFERROR(__xludf.DUMMYFUNCTION("XLOOKUP(C357,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(AUTO)'!S6:S""))"),82.0)</f>
        <v>82</v>
      </c>
      <c r="G357" s="10">
        <f>IFERROR(__xludf.DUMMYFUNCTION("XLOOKUP($C357,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(AUTO)'!T6:T""))"),41.0)</f>
        <v>41</v>
      </c>
      <c r="H357" s="10">
        <f>IFERROR(__xludf.DUMMYFUNCTION("XLOOKUP($C357,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(AUTO)'!V6:V""))"),40.0)</f>
        <v>40</v>
      </c>
      <c r="I357" s="18"/>
      <c r="J357" s="18"/>
      <c r="K357" s="10">
        <f>IFERROR(__xludf.DUMMYFUNCTION("XLOOKUP($C357,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(AUTO)'!W6:W""))"),19.0)</f>
        <v>19</v>
      </c>
      <c r="L357" s="10">
        <f>IFERROR(__xludf.DUMMYFUNCTION("XLOOKUP($C357,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357" s="8"/>
      <c r="N357" s="8"/>
      <c r="O357" s="8"/>
      <c r="P357" s="8"/>
      <c r="Q357" s="8"/>
      <c r="R357" s="8"/>
      <c r="S357" s="8"/>
      <c r="T357" s="8"/>
      <c r="U357" s="8"/>
    </row>
    <row r="358">
      <c r="A358" s="10" t="s">
        <v>1069</v>
      </c>
      <c r="B358" s="10" t="s">
        <v>1071</v>
      </c>
      <c r="C358" s="12" t="s">
        <v>1275</v>
      </c>
      <c r="D358" s="13" t="s">
        <v>1276</v>
      </c>
      <c r="E358" s="16">
        <f t="array" ref="E358">XLOOKUP(C358,'DATA TK PANEN'!D:D,'DATA TK PANEN'!H:H)</f>
        <v>1273</v>
      </c>
      <c r="F358" s="10">
        <f>IFERROR(__xludf.DUMMYFUNCTION("XLOOKUP(C358,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(AUTO)'!S6:S""))"),76.0)</f>
        <v>76</v>
      </c>
      <c r="G358" s="10">
        <f>IFERROR(__xludf.DUMMYFUNCTION("XLOOKUP($C358,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(AUTO)'!T6:T""))"),28.0)</f>
        <v>28</v>
      </c>
      <c r="H358" s="10">
        <f>IFERROR(__xludf.DUMMYFUNCTION("XLOOKUP($C358,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(AUTO)'!V6:V""))"),33.0)</f>
        <v>33</v>
      </c>
      <c r="I358" s="18"/>
      <c r="J358" s="18"/>
      <c r="K358" s="10">
        <f>IFERROR(__xludf.DUMMYFUNCTION("XLOOKUP($C358,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(AUTO)'!W6:W""))"),23.0)</f>
        <v>23</v>
      </c>
      <c r="L358" s="10">
        <f>IFERROR(__xludf.DUMMYFUNCTION("XLOOKUP($C358,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358" s="8"/>
      <c r="N358" s="8"/>
      <c r="O358" s="8"/>
      <c r="P358" s="8"/>
      <c r="Q358" s="8"/>
      <c r="R358" s="8"/>
      <c r="S358" s="8"/>
      <c r="T358" s="8"/>
      <c r="U358" s="8"/>
    </row>
    <row r="359">
      <c r="A359" s="10" t="s">
        <v>1069</v>
      </c>
      <c r="B359" s="10" t="s">
        <v>1071</v>
      </c>
      <c r="C359" s="12" t="s">
        <v>1279</v>
      </c>
      <c r="D359" s="13" t="s">
        <v>1280</v>
      </c>
      <c r="E359" s="16">
        <f t="array" ref="E359">XLOOKUP(C359,'DATA TK PANEN'!D:D,'DATA TK PANEN'!H:H)</f>
        <v>48</v>
      </c>
      <c r="F359" s="10">
        <f>IFERROR(__xludf.DUMMYFUNCTION("XLOOKUP(C359,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359" s="10" t="str">
        <f>IFERROR(__xludf.DUMMYFUNCTION("XLOOKUP($C359,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59" s="10" t="str">
        <f>IFERROR(__xludf.DUMMYFUNCTION("XLOOKUP($C359,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59" s="18"/>
      <c r="J359" s="18"/>
      <c r="K359" s="10" t="str">
        <f>IFERROR(__xludf.DUMMYFUNCTION("XLOOKUP($C359,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59" s="10" t="str">
        <f>IFERROR(__xludf.DUMMYFUNCTION("XLOOKUP($C359,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59" s="8"/>
      <c r="N359" s="8"/>
      <c r="O359" s="8"/>
      <c r="P359" s="8"/>
      <c r="Q359" s="8"/>
      <c r="R359" s="8"/>
      <c r="S359" s="8"/>
      <c r="T359" s="8"/>
      <c r="U359" s="8"/>
    </row>
    <row r="360">
      <c r="A360" s="10" t="s">
        <v>1069</v>
      </c>
      <c r="B360" s="10" t="s">
        <v>1071</v>
      </c>
      <c r="C360" s="12" t="s">
        <v>1283</v>
      </c>
      <c r="D360" s="13" t="s">
        <v>1284</v>
      </c>
      <c r="E360" s="16">
        <f t="array" ref="E360">XLOOKUP(C360,'DATA TK PANEN'!D:D,'DATA TK PANEN'!H:H)</f>
        <v>478</v>
      </c>
      <c r="F360" s="10">
        <f>IFERROR(__xludf.DUMMYFUNCTION("XLOOKUP(C360,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(AUTO)'!S6:S""))"),29.0)</f>
        <v>29</v>
      </c>
      <c r="G360" s="10" t="str">
        <f>IFERROR(__xludf.DUMMYFUNCTION("XLOOKUP($C360,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60" s="10" t="str">
        <f>IFERROR(__xludf.DUMMYFUNCTION("XLOOKUP($C360,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60" s="18"/>
      <c r="J360" s="18"/>
      <c r="K360" s="10" t="str">
        <f>IFERROR(__xludf.DUMMYFUNCTION("XLOOKUP($C360,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60" s="10" t="str">
        <f>IFERROR(__xludf.DUMMYFUNCTION("XLOOKUP($C360,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60" s="8"/>
      <c r="N360" s="8"/>
      <c r="O360" s="8"/>
      <c r="P360" s="8"/>
      <c r="Q360" s="8"/>
      <c r="R360" s="8"/>
      <c r="S360" s="8"/>
      <c r="T360" s="8"/>
      <c r="U360" s="8"/>
    </row>
    <row r="361">
      <c r="A361" s="10" t="s">
        <v>1069</v>
      </c>
      <c r="B361" s="10" t="s">
        <v>1071</v>
      </c>
      <c r="C361" s="12" t="s">
        <v>1286</v>
      </c>
      <c r="D361" s="13" t="s">
        <v>1288</v>
      </c>
      <c r="E361" s="16">
        <f t="array" ref="E361">XLOOKUP(C361,'DATA TK PANEN'!D:D,'DATA TK PANEN'!H:H)</f>
        <v>1700</v>
      </c>
      <c r="F361" s="10">
        <f>IFERROR(__xludf.DUMMYFUNCTION("XLOOKUP(C361,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(AUTO)'!S6:S""))"),102.0)</f>
        <v>102</v>
      </c>
      <c r="G361" s="10" t="str">
        <f>IFERROR(__xludf.DUMMYFUNCTION("XLOOKUP($C361,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61" s="10" t="str">
        <f>IFERROR(__xludf.DUMMYFUNCTION("XLOOKUP($C361,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61" s="18"/>
      <c r="J361" s="18"/>
      <c r="K361" s="10" t="str">
        <f>IFERROR(__xludf.DUMMYFUNCTION("XLOOKUP($C361,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61" s="10" t="str">
        <f>IFERROR(__xludf.DUMMYFUNCTION("XLOOKUP($C361,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61" s="8"/>
      <c r="N361" s="8"/>
      <c r="O361" s="8"/>
      <c r="P361" s="8"/>
      <c r="Q361" s="8"/>
      <c r="R361" s="8"/>
      <c r="S361" s="8"/>
      <c r="T361" s="8"/>
      <c r="U361" s="8"/>
    </row>
    <row r="362">
      <c r="A362" s="10" t="s">
        <v>1069</v>
      </c>
      <c r="B362" s="10" t="s">
        <v>1071</v>
      </c>
      <c r="C362" s="12" t="s">
        <v>1290</v>
      </c>
      <c r="D362" s="13" t="s">
        <v>1291</v>
      </c>
      <c r="E362" s="16">
        <f t="array" ref="E362">XLOOKUP(C362,'DATA TK PANEN'!D:D,'DATA TK PANEN'!H:H)</f>
        <v>338</v>
      </c>
      <c r="F362" s="10">
        <f>IFERROR(__xludf.DUMMYFUNCTION("XLOOKUP(C362,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362" s="10" t="str">
        <f>IFERROR(__xludf.DUMMYFUNCTION("XLOOKUP($C362,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62" s="10" t="str">
        <f>IFERROR(__xludf.DUMMYFUNCTION("XLOOKUP($C362,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62" s="18"/>
      <c r="J362" s="18"/>
      <c r="K362" s="10" t="str">
        <f>IFERROR(__xludf.DUMMYFUNCTION("XLOOKUP($C362,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62" s="10" t="str">
        <f>IFERROR(__xludf.DUMMYFUNCTION("XLOOKUP($C362,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62" s="8"/>
      <c r="N362" s="8"/>
      <c r="O362" s="8"/>
      <c r="P362" s="8"/>
      <c r="Q362" s="8"/>
      <c r="R362" s="8"/>
      <c r="S362" s="8"/>
      <c r="T362" s="8"/>
      <c r="U362" s="8"/>
    </row>
    <row r="363">
      <c r="A363" s="10" t="s">
        <v>1069</v>
      </c>
      <c r="B363" s="10" t="s">
        <v>1071</v>
      </c>
      <c r="C363" s="12" t="s">
        <v>920</v>
      </c>
      <c r="D363" s="13" t="s">
        <v>1295</v>
      </c>
      <c r="E363" s="16">
        <f t="array" ref="E363">XLOOKUP(C363,'DATA TK PANEN'!D:D,'DATA TK PANEN'!H:H)</f>
        <v>2685</v>
      </c>
      <c r="F363" s="10">
        <f>IFERROR(__xludf.DUMMYFUNCTION("XLOOKUP(C363,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(AUTO)'!S6:S""))"),161.0)</f>
        <v>161</v>
      </c>
      <c r="G363" s="10">
        <f>IFERROR(__xludf.DUMMYFUNCTION("XLOOKUP($C363,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(AUTO)'!T6:T""))"),52.0)</f>
        <v>52</v>
      </c>
      <c r="H363" s="10">
        <f>IFERROR(__xludf.DUMMYFUNCTION("XLOOKUP($C363,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(AUTO)'!V6:V""))"),54.0)</f>
        <v>54</v>
      </c>
      <c r="I363" s="18"/>
      <c r="J363" s="18"/>
      <c r="K363" s="10">
        <f>IFERROR(__xludf.DUMMYFUNCTION("XLOOKUP($C363,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(AUTO)'!W6:W""))"),41.0)</f>
        <v>41</v>
      </c>
      <c r="L363" s="10">
        <f>IFERROR(__xludf.DUMMYFUNCTION("XLOOKUP($C363,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(AUTO)'!X6:X""))"),40.0)</f>
        <v>40</v>
      </c>
      <c r="M363" s="8"/>
      <c r="N363" s="8"/>
      <c r="O363" s="8"/>
      <c r="P363" s="8"/>
      <c r="Q363" s="8"/>
      <c r="R363" s="8"/>
      <c r="S363" s="8"/>
      <c r="T363" s="8"/>
      <c r="U363" s="8"/>
    </row>
    <row r="364">
      <c r="A364" s="10" t="s">
        <v>1069</v>
      </c>
      <c r="B364" s="10" t="s">
        <v>1071</v>
      </c>
      <c r="C364" s="12" t="s">
        <v>1297</v>
      </c>
      <c r="D364" s="13" t="s">
        <v>1298</v>
      </c>
      <c r="E364" s="16">
        <f t="array" ref="E364">XLOOKUP(C364,'DATA TK PANEN'!D:D,'DATA TK PANEN'!H:H)</f>
        <v>3819</v>
      </c>
      <c r="F364" s="10">
        <f>IFERROR(__xludf.DUMMYFUNCTION("XLOOKUP(C364,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(AUTO)'!S6:S""))"),229.0)</f>
        <v>229</v>
      </c>
      <c r="G364" s="10">
        <f>IFERROR(__xludf.DUMMYFUNCTION("XLOOKUP($C364,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(AUTO)'!T6:T""))"),99.0)</f>
        <v>99</v>
      </c>
      <c r="H364" s="10">
        <f>IFERROR(__xludf.DUMMYFUNCTION("XLOOKUP($C364,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(AUTO)'!V6:V""))"),99.0)</f>
        <v>99</v>
      </c>
      <c r="I364" s="18"/>
      <c r="J364" s="18"/>
      <c r="K364" s="10">
        <f>IFERROR(__xludf.DUMMYFUNCTION("XLOOKUP($C364,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(AUTO)'!W6:W""))"),42.0)</f>
        <v>42</v>
      </c>
      <c r="L364" s="10">
        <f>IFERROR(__xludf.DUMMYFUNCTION("XLOOKUP($C364,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(AUTO)'!X6:X""))"),50.0)</f>
        <v>50</v>
      </c>
      <c r="M364" s="8"/>
      <c r="N364" s="8"/>
      <c r="O364" s="8"/>
      <c r="P364" s="8"/>
      <c r="Q364" s="8"/>
      <c r="R364" s="8"/>
      <c r="S364" s="8"/>
      <c r="T364" s="8"/>
      <c r="U364" s="8"/>
    </row>
    <row r="365">
      <c r="A365" s="10" t="s">
        <v>1069</v>
      </c>
      <c r="B365" s="10" t="s">
        <v>1071</v>
      </c>
      <c r="C365" s="12" t="s">
        <v>924</v>
      </c>
      <c r="D365" s="13" t="s">
        <v>1300</v>
      </c>
      <c r="E365" s="16">
        <f t="array" ref="E365">XLOOKUP(C365,'DATA TK PANEN'!D:D,'DATA TK PANEN'!H:H)</f>
        <v>2587</v>
      </c>
      <c r="F365" s="10">
        <f>IFERROR(__xludf.DUMMYFUNCTION("XLOOKUP(C365,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(AUTO)'!S6:S""))"),155.0)</f>
        <v>155</v>
      </c>
      <c r="G365" s="10">
        <f>IFERROR(__xludf.DUMMYFUNCTION("XLOOKUP($C365,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(AUTO)'!T6:T""))"),63.0)</f>
        <v>63</v>
      </c>
      <c r="H365" s="10">
        <f>IFERROR(__xludf.DUMMYFUNCTION("XLOOKUP($C365,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(AUTO)'!V6:V""))"),61.0)</f>
        <v>61</v>
      </c>
      <c r="I365" s="18"/>
      <c r="J365" s="18"/>
      <c r="K365" s="10">
        <f>IFERROR(__xludf.DUMMYFUNCTION("XLOOKUP($C365,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(AUTO)'!W6:W""))"),30.0)</f>
        <v>30</v>
      </c>
      <c r="L365" s="10">
        <f>IFERROR(__xludf.DUMMYFUNCTION("XLOOKUP($C365,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(AUTO)'!X6:X""))"),39.0)</f>
        <v>39</v>
      </c>
      <c r="M365" s="8"/>
      <c r="N365" s="8"/>
      <c r="O365" s="8"/>
      <c r="P365" s="8"/>
      <c r="Q365" s="8"/>
      <c r="R365" s="8"/>
      <c r="S365" s="8"/>
      <c r="T365" s="8"/>
      <c r="U365" s="8"/>
    </row>
    <row r="366">
      <c r="A366" s="10" t="s">
        <v>1069</v>
      </c>
      <c r="B366" s="10" t="s">
        <v>1071</v>
      </c>
      <c r="C366" s="12" t="s">
        <v>1303</v>
      </c>
      <c r="D366" s="13" t="s">
        <v>1304</v>
      </c>
      <c r="E366" s="16">
        <f t="array" ref="E366">XLOOKUP(C366,'DATA TK PANEN'!D:D,'DATA TK PANEN'!H:H)</f>
        <v>3947</v>
      </c>
      <c r="F366" s="10">
        <f>IFERROR(__xludf.DUMMYFUNCTION("XLOOKUP(C366,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(AUTO)'!S6:S""))"),237.0)</f>
        <v>237</v>
      </c>
      <c r="G366" s="10">
        <f>IFERROR(__xludf.DUMMYFUNCTION("XLOOKUP($C366,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(AUTO)'!T6:T""))"),127.0)</f>
        <v>127</v>
      </c>
      <c r="H366" s="10">
        <f>IFERROR(__xludf.DUMMYFUNCTION("XLOOKUP($C366,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(AUTO)'!V6:V""))"),125.0)</f>
        <v>125</v>
      </c>
      <c r="I366" s="18"/>
      <c r="J366" s="18"/>
      <c r="K366" s="10">
        <f>IFERROR(__xludf.DUMMYFUNCTION("XLOOKUP($C366,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(AUTO)'!W6:W""))"),38.0)</f>
        <v>38</v>
      </c>
      <c r="L366" s="10">
        <f>IFERROR(__xludf.DUMMYFUNCTION("XLOOKUP($C366,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(AUTO)'!X6:X""))"),35.0)</f>
        <v>35</v>
      </c>
      <c r="M366" s="8"/>
      <c r="N366" s="8"/>
      <c r="O366" s="8"/>
      <c r="P366" s="8"/>
      <c r="Q366" s="8"/>
      <c r="R366" s="8"/>
      <c r="S366" s="8"/>
      <c r="T366" s="8"/>
      <c r="U366" s="8"/>
    </row>
    <row r="367">
      <c r="A367" s="10" t="s">
        <v>1069</v>
      </c>
      <c r="B367" s="10" t="s">
        <v>1071</v>
      </c>
      <c r="C367" s="12" t="s">
        <v>918</v>
      </c>
      <c r="D367" s="13" t="s">
        <v>1306</v>
      </c>
      <c r="E367" s="16">
        <f t="array" ref="E367">XLOOKUP(C367,'DATA TK PANEN'!D:D,'DATA TK PANEN'!H:H)</f>
        <v>148</v>
      </c>
      <c r="F367" s="10">
        <f>IFERROR(__xludf.DUMMYFUNCTION("XLOOKUP(C367,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367" s="10">
        <f>IFERROR(__xludf.DUMMYFUNCTION("XLOOKUP($C367,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367" s="10">
        <f>IFERROR(__xludf.DUMMYFUNCTION("XLOOKUP($C367,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67" s="18"/>
      <c r="J367" s="18"/>
      <c r="K367" s="10">
        <f>IFERROR(__xludf.DUMMYFUNCTION("XLOOKUP($C367,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367" s="10">
        <f>IFERROR(__xludf.DUMMYFUNCTION("XLOOKUP($C367,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367" s="8"/>
      <c r="N367" s="8"/>
      <c r="O367" s="8"/>
      <c r="P367" s="8"/>
      <c r="Q367" s="8"/>
      <c r="R367" s="8"/>
      <c r="S367" s="8"/>
      <c r="T367" s="8"/>
      <c r="U367" s="8"/>
    </row>
    <row r="368">
      <c r="A368" s="10" t="s">
        <v>1069</v>
      </c>
      <c r="B368" s="10" t="s">
        <v>1071</v>
      </c>
      <c r="C368" s="12" t="s">
        <v>1308</v>
      </c>
      <c r="D368" s="13" t="s">
        <v>1309</v>
      </c>
      <c r="E368" s="16">
        <f t="array" ref="E368">XLOOKUP(C368,'DATA TK PANEN'!D:D,'DATA TK PANEN'!H:H)</f>
        <v>1067</v>
      </c>
      <c r="F368" s="10">
        <f>IFERROR(__xludf.DUMMYFUNCTION("XLOOKUP(C368,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(AUTO)'!S6:S""))"),64.0)</f>
        <v>64</v>
      </c>
      <c r="G368" s="10">
        <f>IFERROR(__xludf.DUMMYFUNCTION("XLOOKUP($C368,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(AUTO)'!T6:T""))"),18.0)</f>
        <v>18</v>
      </c>
      <c r="H368" s="10">
        <f>IFERROR(__xludf.DUMMYFUNCTION("XLOOKUP($C368,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(AUTO)'!V6:V""))"),20.0)</f>
        <v>20</v>
      </c>
      <c r="I368" s="18"/>
      <c r="J368" s="18"/>
      <c r="K368" s="10" t="str">
        <f>IFERROR(__xludf.DUMMYFUNCTION("XLOOKUP($C368,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68" s="10" t="str">
        <f>IFERROR(__xludf.DUMMYFUNCTION("XLOOKUP($C368,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68" s="8"/>
      <c r="N368" s="8"/>
      <c r="O368" s="8"/>
      <c r="P368" s="8"/>
      <c r="Q368" s="8"/>
      <c r="R368" s="8"/>
      <c r="S368" s="8"/>
      <c r="T368" s="8"/>
      <c r="U368" s="8"/>
    </row>
    <row r="369">
      <c r="A369" s="10" t="s">
        <v>1069</v>
      </c>
      <c r="B369" s="10" t="s">
        <v>1071</v>
      </c>
      <c r="C369" s="12" t="s">
        <v>1311</v>
      </c>
      <c r="D369" s="13" t="s">
        <v>1312</v>
      </c>
      <c r="E369" s="16">
        <f t="array" ref="E369">XLOOKUP(C369,'DATA TK PANEN'!D:D,'DATA TK PANEN'!H:H)</f>
        <v>146</v>
      </c>
      <c r="F369" s="10">
        <f>IFERROR(__xludf.DUMMYFUNCTION("XLOOKUP(C369,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369" s="10" t="str">
        <f>IFERROR(__xludf.DUMMYFUNCTION("XLOOKUP($C369,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69" s="10" t="str">
        <f>IFERROR(__xludf.DUMMYFUNCTION("XLOOKUP($C369,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69" s="18"/>
      <c r="J369" s="18"/>
      <c r="K369" s="10" t="str">
        <f>IFERROR(__xludf.DUMMYFUNCTION("XLOOKUP($C369,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69" s="10" t="str">
        <f>IFERROR(__xludf.DUMMYFUNCTION("XLOOKUP($C369,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69" s="8"/>
      <c r="N369" s="8"/>
      <c r="O369" s="8"/>
      <c r="P369" s="8"/>
      <c r="Q369" s="8"/>
      <c r="R369" s="8"/>
      <c r="S369" s="8"/>
      <c r="T369" s="8"/>
      <c r="U369" s="8"/>
    </row>
    <row r="370">
      <c r="A370" s="10" t="s">
        <v>1069</v>
      </c>
      <c r="B370" s="10" t="s">
        <v>1315</v>
      </c>
      <c r="C370" s="12" t="s">
        <v>1316</v>
      </c>
      <c r="D370" s="13" t="s">
        <v>1317</v>
      </c>
      <c r="E370" s="16">
        <f t="array" ref="E370">XLOOKUP(C370,'DATA TK PANEN'!D:D,'DATA TK PANEN'!H:H)</f>
        <v>28.83</v>
      </c>
      <c r="F370" s="10" t="str">
        <f>IFERROR(__xludf.DUMMYFUNCTION("XLOOKUP(C370,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0" s="10" t="str">
        <f>IFERROR(__xludf.DUMMYFUNCTION("XLOOKUP($C370,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0" s="10" t="str">
        <f>IFERROR(__xludf.DUMMYFUNCTION("XLOOKUP($C370,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0" s="18"/>
      <c r="J370" s="18"/>
      <c r="K370" s="10" t="str">
        <f>IFERROR(__xludf.DUMMYFUNCTION("XLOOKUP($C370,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0" s="10" t="str">
        <f>IFERROR(__xludf.DUMMYFUNCTION("XLOOKUP($C370,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0" s="8"/>
      <c r="N370" s="8"/>
      <c r="O370" s="8"/>
      <c r="P370" s="8"/>
      <c r="Q370" s="8"/>
      <c r="R370" s="8"/>
      <c r="S370" s="8"/>
      <c r="T370" s="8"/>
      <c r="U370" s="8"/>
    </row>
    <row r="371">
      <c r="A371" s="10" t="s">
        <v>1069</v>
      </c>
      <c r="B371" s="10" t="s">
        <v>1315</v>
      </c>
      <c r="C371" s="12" t="s">
        <v>1320</v>
      </c>
      <c r="D371" s="13" t="s">
        <v>1321</v>
      </c>
      <c r="E371" s="16">
        <f t="array" ref="E371">XLOOKUP(C371,'DATA TK PANEN'!D:D,'DATA TK PANEN'!H:H)</f>
        <v>30.57</v>
      </c>
      <c r="F371" s="10">
        <f>IFERROR(__xludf.DUMMYFUNCTION("XLOOKUP(C371,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371" s="10">
        <f>IFERROR(__xludf.DUMMYFUNCTION("XLOOKUP($C371,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371" s="10">
        <f>IFERROR(__xludf.DUMMYFUNCTION("XLOOKUP($C371,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71" s="18"/>
      <c r="J371" s="18"/>
      <c r="K371" s="10">
        <f>IFERROR(__xludf.DUMMYFUNCTION("XLOOKUP($C371,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371" s="10">
        <f>IFERROR(__xludf.DUMMYFUNCTION("XLOOKUP($C371,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71" s="8"/>
      <c r="N371" s="8"/>
      <c r="O371" s="8"/>
      <c r="P371" s="8"/>
      <c r="Q371" s="8"/>
      <c r="R371" s="8"/>
      <c r="S371" s="8"/>
      <c r="T371" s="8"/>
      <c r="U371" s="8"/>
    </row>
    <row r="372">
      <c r="A372" s="10" t="s">
        <v>1069</v>
      </c>
      <c r="B372" s="10" t="s">
        <v>1315</v>
      </c>
      <c r="C372" s="12" t="s">
        <v>1323</v>
      </c>
      <c r="D372" s="13" t="s">
        <v>1325</v>
      </c>
      <c r="E372" s="16">
        <f t="array" ref="E372">XLOOKUP(C372,'DATA TK PANEN'!D:D,'DATA TK PANEN'!H:H)</f>
        <v>221</v>
      </c>
      <c r="F372" s="10" t="str">
        <f>IFERROR(__xludf.DUMMYFUNCTION("XLOOKUP(C372,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2" s="10" t="str">
        <f>IFERROR(__xludf.DUMMYFUNCTION("XLOOKUP($C372,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2" s="10" t="str">
        <f>IFERROR(__xludf.DUMMYFUNCTION("XLOOKUP($C372,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2" s="18"/>
      <c r="J372" s="18"/>
      <c r="K372" s="10" t="str">
        <f>IFERROR(__xludf.DUMMYFUNCTION("XLOOKUP($C372,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2" s="10" t="str">
        <f>IFERROR(__xludf.DUMMYFUNCTION("XLOOKUP($C372,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2" s="8"/>
      <c r="N372" s="8"/>
      <c r="O372" s="8"/>
      <c r="P372" s="8"/>
      <c r="Q372" s="8"/>
      <c r="R372" s="8"/>
      <c r="S372" s="8"/>
      <c r="T372" s="8"/>
      <c r="U372" s="8"/>
    </row>
    <row r="373">
      <c r="A373" s="10" t="s">
        <v>1069</v>
      </c>
      <c r="B373" s="10" t="s">
        <v>1315</v>
      </c>
      <c r="C373" s="12" t="s">
        <v>1327</v>
      </c>
      <c r="D373" s="13" t="s">
        <v>1328</v>
      </c>
      <c r="E373" s="16">
        <f t="array" ref="E373">XLOOKUP(C373,'DATA TK PANEN'!D:D,'DATA TK PANEN'!H:H)</f>
        <v>11.8</v>
      </c>
      <c r="F373" s="10">
        <f>IFERROR(__xludf.DUMMYFUNCTION("XLOOKUP(C373,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373" s="10">
        <f>IFERROR(__xludf.DUMMYFUNCTION("XLOOKUP($C373,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373" s="10">
        <f>IFERROR(__xludf.DUMMYFUNCTION("XLOOKUP($C373,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73" s="18"/>
      <c r="J373" s="18"/>
      <c r="K373" s="10">
        <f>IFERROR(__xludf.DUMMYFUNCTION("XLOOKUP($C373,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373" s="10">
        <f>IFERROR(__xludf.DUMMYFUNCTION("XLOOKUP($C373,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73" s="8"/>
      <c r="N373" s="8"/>
      <c r="O373" s="8"/>
      <c r="P373" s="8"/>
      <c r="Q373" s="8"/>
      <c r="R373" s="8"/>
      <c r="S373" s="8"/>
      <c r="T373" s="8"/>
      <c r="U373" s="8"/>
    </row>
    <row r="374">
      <c r="A374" s="10" t="s">
        <v>1069</v>
      </c>
      <c r="B374" s="10" t="s">
        <v>1315</v>
      </c>
      <c r="C374" s="12" t="s">
        <v>1331</v>
      </c>
      <c r="D374" s="13" t="s">
        <v>1332</v>
      </c>
      <c r="E374" s="16">
        <f t="array" ref="E374">XLOOKUP(C374,'DATA TK PANEN'!D:D,'DATA TK PANEN'!H:H)</f>
        <v>45</v>
      </c>
      <c r="F374" s="10">
        <f>IFERROR(__xludf.DUMMYFUNCTION("XLOOKUP(C374,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374" s="10">
        <f>IFERROR(__xludf.DUMMYFUNCTION("XLOOKUP($C374,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374" s="10">
        <f>IFERROR(__xludf.DUMMYFUNCTION("XLOOKUP($C374,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74" s="18"/>
      <c r="J374" s="18"/>
      <c r="K374" s="10">
        <f>IFERROR(__xludf.DUMMYFUNCTION("XLOOKUP($C374,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374" s="10">
        <f>IFERROR(__xludf.DUMMYFUNCTION("XLOOKUP($C374,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74" s="8"/>
      <c r="N374" s="8"/>
      <c r="O374" s="8"/>
      <c r="P374" s="8"/>
      <c r="Q374" s="8"/>
      <c r="R374" s="8"/>
      <c r="S374" s="8"/>
      <c r="T374" s="8"/>
      <c r="U374" s="8"/>
    </row>
    <row r="375">
      <c r="A375" s="10" t="s">
        <v>1069</v>
      </c>
      <c r="B375" s="10" t="s">
        <v>1315</v>
      </c>
      <c r="C375" s="12" t="s">
        <v>1335</v>
      </c>
      <c r="D375" s="13" t="s">
        <v>1336</v>
      </c>
      <c r="E375" s="16">
        <f t="array" ref="E375">XLOOKUP(C375,'DATA TK PANEN'!D:D,'DATA TK PANEN'!H:H)</f>
        <v>133.07</v>
      </c>
      <c r="F375" s="10" t="str">
        <f>IFERROR(__xludf.DUMMYFUNCTION("XLOOKUP(C375,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5" s="10" t="str">
        <f>IFERROR(__xludf.DUMMYFUNCTION("XLOOKUP($C375,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5" s="10" t="str">
        <f>IFERROR(__xludf.DUMMYFUNCTION("XLOOKUP($C375,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5" s="18"/>
      <c r="J375" s="18"/>
      <c r="K375" s="10" t="str">
        <f>IFERROR(__xludf.DUMMYFUNCTION("XLOOKUP($C375,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5" s="10" t="str">
        <f>IFERROR(__xludf.DUMMYFUNCTION("XLOOKUP($C375,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5" s="8"/>
      <c r="N375" s="8"/>
      <c r="O375" s="8"/>
      <c r="P375" s="8"/>
      <c r="Q375" s="8"/>
      <c r="R375" s="8"/>
      <c r="S375" s="8"/>
      <c r="T375" s="8"/>
      <c r="U375" s="8"/>
    </row>
    <row r="376">
      <c r="A376" s="10" t="s">
        <v>1069</v>
      </c>
      <c r="B376" s="10" t="s">
        <v>1315</v>
      </c>
      <c r="C376" s="12" t="s">
        <v>1339</v>
      </c>
      <c r="D376" s="13" t="s">
        <v>1341</v>
      </c>
      <c r="E376" s="16">
        <f t="array" ref="E376">XLOOKUP(C376,'DATA TK PANEN'!D:D,'DATA TK PANEN'!H:H)</f>
        <v>56.83</v>
      </c>
      <c r="F376" s="10" t="str">
        <f>IFERROR(__xludf.DUMMYFUNCTION("XLOOKUP(C376,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6" s="10" t="str">
        <f>IFERROR(__xludf.DUMMYFUNCTION("XLOOKUP($C376,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6" s="10" t="str">
        <f>IFERROR(__xludf.DUMMYFUNCTION("XLOOKUP($C376,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6" s="18"/>
      <c r="J376" s="18"/>
      <c r="K376" s="10" t="str">
        <f>IFERROR(__xludf.DUMMYFUNCTION("XLOOKUP($C376,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6" s="10" t="str">
        <f>IFERROR(__xludf.DUMMYFUNCTION("XLOOKUP($C376,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6" s="8"/>
      <c r="N376" s="8"/>
      <c r="O376" s="8"/>
      <c r="P376" s="8"/>
      <c r="Q376" s="8"/>
      <c r="R376" s="8"/>
      <c r="S376" s="8"/>
      <c r="T376" s="8"/>
      <c r="U376" s="8"/>
    </row>
    <row r="377">
      <c r="A377" s="10" t="s">
        <v>1069</v>
      </c>
      <c r="B377" s="10" t="s">
        <v>1315</v>
      </c>
      <c r="C377" s="12" t="s">
        <v>1343</v>
      </c>
      <c r="D377" s="13" t="s">
        <v>1344</v>
      </c>
      <c r="E377" s="16" t="str">
        <f t="array" ref="E377">XLOOKUP(C377,'DATA TK PANEN'!D:D,'DATA TK PANEN'!H:H)</f>
        <v>Tidak Ditemukan</v>
      </c>
      <c r="F377" s="10" t="str">
        <f>IFERROR(__xludf.DUMMYFUNCTION("XLOOKUP(C377,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7" s="10" t="str">
        <f>IFERROR(__xludf.DUMMYFUNCTION("XLOOKUP($C377,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7" s="10" t="str">
        <f>IFERROR(__xludf.DUMMYFUNCTION("XLOOKUP($C377,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7" s="18"/>
      <c r="J377" s="18"/>
      <c r="K377" s="10" t="str">
        <f>IFERROR(__xludf.DUMMYFUNCTION("XLOOKUP($C377,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7" s="10" t="str">
        <f>IFERROR(__xludf.DUMMYFUNCTION("XLOOKUP($C377,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7" s="8"/>
      <c r="N377" s="8"/>
      <c r="O377" s="8"/>
      <c r="P377" s="8"/>
      <c r="Q377" s="8"/>
      <c r="R377" s="8"/>
      <c r="S377" s="8"/>
      <c r="T377" s="8"/>
      <c r="U377" s="8"/>
    </row>
    <row r="378">
      <c r="A378" s="10" t="s">
        <v>1069</v>
      </c>
      <c r="B378" s="10" t="s">
        <v>1315</v>
      </c>
      <c r="C378" s="12" t="s">
        <v>1348</v>
      </c>
      <c r="D378" s="13" t="s">
        <v>1350</v>
      </c>
      <c r="E378" s="16">
        <f t="array" ref="E378">XLOOKUP(C378,'DATA TK PANEN'!D:D,'DATA TK PANEN'!H:H)</f>
        <v>11.85</v>
      </c>
      <c r="F378" s="10" t="str">
        <f>IFERROR(__xludf.DUMMYFUNCTION("XLOOKUP(C378,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78" s="10" t="str">
        <f>IFERROR(__xludf.DUMMYFUNCTION("XLOOKUP($C378,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8" s="10" t="str">
        <f>IFERROR(__xludf.DUMMYFUNCTION("XLOOKUP($C378,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8" s="18"/>
      <c r="J378" s="18"/>
      <c r="K378" s="10" t="str">
        <f>IFERROR(__xludf.DUMMYFUNCTION("XLOOKUP($C378,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8" s="10" t="str">
        <f>IFERROR(__xludf.DUMMYFUNCTION("XLOOKUP($C378,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8" s="8"/>
      <c r="N378" s="8"/>
      <c r="O378" s="8"/>
      <c r="P378" s="8"/>
      <c r="Q378" s="8"/>
      <c r="R378" s="8"/>
      <c r="S378" s="8"/>
      <c r="T378" s="8"/>
      <c r="U378" s="8"/>
    </row>
    <row r="379">
      <c r="A379" s="10" t="s">
        <v>1069</v>
      </c>
      <c r="B379" s="10" t="s">
        <v>1315</v>
      </c>
      <c r="C379" s="12" t="s">
        <v>1352</v>
      </c>
      <c r="D379" s="13" t="s">
        <v>1353</v>
      </c>
      <c r="E379" s="16">
        <f t="array" ref="E379">XLOOKUP(C379,'DATA TK PANEN'!D:D,'DATA TK PANEN'!H:H)</f>
        <v>2.07</v>
      </c>
      <c r="F379" s="10">
        <f>IFERROR(__xludf.DUMMYFUNCTION("XLOOKUP(C379,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379" s="10" t="str">
        <f>IFERROR(__xludf.DUMMYFUNCTION("XLOOKUP($C379,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79" s="10" t="str">
        <f>IFERROR(__xludf.DUMMYFUNCTION("XLOOKUP($C379,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79" s="18"/>
      <c r="J379" s="18"/>
      <c r="K379" s="10" t="str">
        <f>IFERROR(__xludf.DUMMYFUNCTION("XLOOKUP($C379,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79" s="10" t="str">
        <f>IFERROR(__xludf.DUMMYFUNCTION("XLOOKUP($C379,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79" s="8"/>
      <c r="N379" s="8"/>
      <c r="O379" s="8"/>
      <c r="P379" s="8"/>
      <c r="Q379" s="8"/>
      <c r="R379" s="8"/>
      <c r="S379" s="8"/>
      <c r="T379" s="8"/>
      <c r="U379" s="8"/>
    </row>
    <row r="380">
      <c r="A380" s="10" t="s">
        <v>1069</v>
      </c>
      <c r="B380" s="10" t="s">
        <v>1315</v>
      </c>
      <c r="C380" s="12" t="s">
        <v>1356</v>
      </c>
      <c r="D380" s="13" t="s">
        <v>1357</v>
      </c>
      <c r="E380" s="16">
        <f t="array" ref="E380">XLOOKUP(C380,'DATA TK PANEN'!D:D,'DATA TK PANEN'!H:H)</f>
        <v>0.2</v>
      </c>
      <c r="F380" s="10" t="str">
        <f>IFERROR(__xludf.DUMMYFUNCTION("XLOOKUP(C380,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0" s="10" t="str">
        <f>IFERROR(__xludf.DUMMYFUNCTION("XLOOKUP($C380,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0" s="10" t="str">
        <f>IFERROR(__xludf.DUMMYFUNCTION("XLOOKUP($C380,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0" s="18"/>
      <c r="J380" s="18"/>
      <c r="K380" s="10" t="str">
        <f>IFERROR(__xludf.DUMMYFUNCTION("XLOOKUP($C380,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0" s="10" t="str">
        <f>IFERROR(__xludf.DUMMYFUNCTION("XLOOKUP($C380,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0" s="8"/>
      <c r="N380" s="8"/>
      <c r="O380" s="8"/>
      <c r="P380" s="8"/>
      <c r="Q380" s="8"/>
      <c r="R380" s="8"/>
      <c r="S380" s="8"/>
      <c r="T380" s="8"/>
      <c r="U380" s="8"/>
    </row>
    <row r="381">
      <c r="A381" s="10" t="s">
        <v>1069</v>
      </c>
      <c r="B381" s="10" t="s">
        <v>1315</v>
      </c>
      <c r="C381" s="12" t="s">
        <v>1360</v>
      </c>
      <c r="D381" s="13" t="s">
        <v>1361</v>
      </c>
      <c r="E381" s="16">
        <f t="array" ref="E381">XLOOKUP(C381,'DATA TK PANEN'!D:D,'DATA TK PANEN'!H:H)</f>
        <v>0.26</v>
      </c>
      <c r="F381" s="10" t="str">
        <f>IFERROR(__xludf.DUMMYFUNCTION("XLOOKUP(C381,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1" s="10" t="str">
        <f>IFERROR(__xludf.DUMMYFUNCTION("XLOOKUP($C381,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1" s="10" t="str">
        <f>IFERROR(__xludf.DUMMYFUNCTION("XLOOKUP($C381,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1" s="18"/>
      <c r="J381" s="18"/>
      <c r="K381" s="10" t="str">
        <f>IFERROR(__xludf.DUMMYFUNCTION("XLOOKUP($C381,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1" s="10" t="str">
        <f>IFERROR(__xludf.DUMMYFUNCTION("XLOOKUP($C381,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1" s="8"/>
      <c r="N381" s="8"/>
      <c r="O381" s="8"/>
      <c r="P381" s="8"/>
      <c r="Q381" s="8"/>
      <c r="R381" s="8"/>
      <c r="S381" s="8"/>
      <c r="T381" s="8"/>
      <c r="U381" s="8"/>
    </row>
    <row r="382">
      <c r="A382" s="10" t="s">
        <v>1069</v>
      </c>
      <c r="B382" s="10" t="s">
        <v>1315</v>
      </c>
      <c r="C382" s="12" t="s">
        <v>1364</v>
      </c>
      <c r="D382" s="13" t="s">
        <v>1365</v>
      </c>
      <c r="E382" s="16" t="str">
        <f t="array" ref="E382">XLOOKUP(C382,'DATA TK PANEN'!D:D,'DATA TK PANEN'!H:H)</f>
        <v>Tidak Ditemukan</v>
      </c>
      <c r="F382" s="10" t="str">
        <f>IFERROR(__xludf.DUMMYFUNCTION("XLOOKUP(C382,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2" s="10" t="str">
        <f>IFERROR(__xludf.DUMMYFUNCTION("XLOOKUP($C382,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2" s="10" t="str">
        <f>IFERROR(__xludf.DUMMYFUNCTION("XLOOKUP($C382,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2" s="18"/>
      <c r="J382" s="18"/>
      <c r="K382" s="10" t="str">
        <f>IFERROR(__xludf.DUMMYFUNCTION("XLOOKUP($C382,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2" s="10" t="str">
        <f>IFERROR(__xludf.DUMMYFUNCTION("XLOOKUP($C382,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2" s="8"/>
      <c r="N382" s="8"/>
      <c r="O382" s="8"/>
      <c r="P382" s="8"/>
      <c r="Q382" s="8"/>
      <c r="R382" s="8"/>
      <c r="S382" s="8"/>
      <c r="T382" s="8"/>
      <c r="U382" s="8"/>
    </row>
    <row r="383">
      <c r="A383" s="10" t="s">
        <v>1069</v>
      </c>
      <c r="B383" s="10" t="s">
        <v>1315</v>
      </c>
      <c r="C383" s="12" t="s">
        <v>1369</v>
      </c>
      <c r="D383" s="13" t="s">
        <v>1370</v>
      </c>
      <c r="E383" s="16">
        <f t="array" ref="E383">XLOOKUP(C383,'DATA TK PANEN'!D:D,'DATA TK PANEN'!H:H)</f>
        <v>63.09</v>
      </c>
      <c r="F383" s="10" t="str">
        <f>IFERROR(__xludf.DUMMYFUNCTION("XLOOKUP(C383,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3" s="10" t="str">
        <f>IFERROR(__xludf.DUMMYFUNCTION("XLOOKUP($C383,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3" s="10" t="str">
        <f>IFERROR(__xludf.DUMMYFUNCTION("XLOOKUP($C383,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3" s="18"/>
      <c r="J383" s="18"/>
      <c r="K383" s="10" t="str">
        <f>IFERROR(__xludf.DUMMYFUNCTION("XLOOKUP($C383,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3" s="10" t="str">
        <f>IFERROR(__xludf.DUMMYFUNCTION("XLOOKUP($C383,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3" s="8"/>
      <c r="N383" s="8"/>
      <c r="O383" s="8"/>
      <c r="P383" s="8"/>
      <c r="Q383" s="8"/>
      <c r="R383" s="8"/>
      <c r="S383" s="8"/>
      <c r="T383" s="8"/>
      <c r="U383" s="8"/>
    </row>
    <row r="384">
      <c r="A384" s="10" t="s">
        <v>1069</v>
      </c>
      <c r="B384" s="10" t="s">
        <v>1315</v>
      </c>
      <c r="C384" s="12" t="s">
        <v>1371</v>
      </c>
      <c r="D384" s="13" t="s">
        <v>1372</v>
      </c>
      <c r="E384" s="16">
        <f t="array" ref="E384">XLOOKUP(C384,'DATA TK PANEN'!D:D,'DATA TK PANEN'!H:H)</f>
        <v>79.65</v>
      </c>
      <c r="F384" s="10" t="str">
        <f>IFERROR(__xludf.DUMMYFUNCTION("XLOOKUP(C384,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4" s="10" t="str">
        <f>IFERROR(__xludf.DUMMYFUNCTION("XLOOKUP($C384,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4" s="10" t="str">
        <f>IFERROR(__xludf.DUMMYFUNCTION("XLOOKUP($C384,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4" s="18"/>
      <c r="J384" s="18"/>
      <c r="K384" s="10" t="str">
        <f>IFERROR(__xludf.DUMMYFUNCTION("XLOOKUP($C384,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4" s="10" t="str">
        <f>IFERROR(__xludf.DUMMYFUNCTION("XLOOKUP($C384,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4" s="8"/>
      <c r="N384" s="8"/>
      <c r="O384" s="8"/>
      <c r="P384" s="8"/>
      <c r="Q384" s="8"/>
      <c r="R384" s="8"/>
      <c r="S384" s="8"/>
      <c r="T384" s="8"/>
      <c r="U384" s="8"/>
    </row>
    <row r="385">
      <c r="A385" s="10" t="s">
        <v>1069</v>
      </c>
      <c r="B385" s="10" t="s">
        <v>1315</v>
      </c>
      <c r="C385" s="12" t="s">
        <v>1375</v>
      </c>
      <c r="D385" s="13" t="s">
        <v>1376</v>
      </c>
      <c r="E385" s="16" t="str">
        <f t="array" ref="E385">XLOOKUP(C385,'DATA TK PANEN'!D:D,'DATA TK PANEN'!H:H)</f>
        <v>Tidak Ditemukan</v>
      </c>
      <c r="F385" s="10" t="str">
        <f>IFERROR(__xludf.DUMMYFUNCTION("XLOOKUP(C385,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5" s="10" t="str">
        <f>IFERROR(__xludf.DUMMYFUNCTION("XLOOKUP($C385,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5" s="10" t="str">
        <f>IFERROR(__xludf.DUMMYFUNCTION("XLOOKUP($C385,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5" s="18"/>
      <c r="J385" s="18"/>
      <c r="K385" s="10" t="str">
        <f>IFERROR(__xludf.DUMMYFUNCTION("XLOOKUP($C385,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5" s="10" t="str">
        <f>IFERROR(__xludf.DUMMYFUNCTION("XLOOKUP($C385,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5" s="8"/>
      <c r="N385" s="8"/>
      <c r="O385" s="8"/>
      <c r="P385" s="8"/>
      <c r="Q385" s="8"/>
      <c r="R385" s="8"/>
      <c r="S385" s="8"/>
      <c r="T385" s="8"/>
      <c r="U385" s="8"/>
    </row>
    <row r="386">
      <c r="A386" s="10" t="s">
        <v>1069</v>
      </c>
      <c r="B386" s="10" t="s">
        <v>1315</v>
      </c>
      <c r="C386" s="12" t="s">
        <v>1378</v>
      </c>
      <c r="D386" s="13" t="s">
        <v>1379</v>
      </c>
      <c r="E386" s="16" t="str">
        <f t="array" ref="E386">XLOOKUP(C386,'DATA TK PANEN'!D:D,'DATA TK PANEN'!H:H)</f>
        <v>Tidak Ditemukan</v>
      </c>
      <c r="F386" s="10" t="str">
        <f>IFERROR(__xludf.DUMMYFUNCTION("XLOOKUP(C386,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6" s="10" t="str">
        <f>IFERROR(__xludf.DUMMYFUNCTION("XLOOKUP($C386,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6" s="10" t="str">
        <f>IFERROR(__xludf.DUMMYFUNCTION("XLOOKUP($C386,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6" s="18"/>
      <c r="J386" s="18"/>
      <c r="K386" s="10" t="str">
        <f>IFERROR(__xludf.DUMMYFUNCTION("XLOOKUP($C386,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6" s="10" t="str">
        <f>IFERROR(__xludf.DUMMYFUNCTION("XLOOKUP($C386,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6" s="8"/>
      <c r="N386" s="8"/>
      <c r="O386" s="8"/>
      <c r="P386" s="8"/>
      <c r="Q386" s="8"/>
      <c r="R386" s="8"/>
      <c r="S386" s="8"/>
      <c r="T386" s="8"/>
      <c r="U386" s="8"/>
    </row>
    <row r="387">
      <c r="A387" s="10" t="s">
        <v>1069</v>
      </c>
      <c r="B387" s="10" t="s">
        <v>1315</v>
      </c>
      <c r="C387" s="12" t="s">
        <v>1381</v>
      </c>
      <c r="D387" s="13" t="s">
        <v>1382</v>
      </c>
      <c r="E387" s="16" t="str">
        <f t="array" ref="E387">XLOOKUP(C387,'DATA TK PANEN'!D:D,'DATA TK PANEN'!H:H)</f>
        <v>Tidak Ditemukan</v>
      </c>
      <c r="F387" s="10" t="str">
        <f>IFERROR(__xludf.DUMMYFUNCTION("XLOOKUP(C387,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7" s="10" t="str">
        <f>IFERROR(__xludf.DUMMYFUNCTION("XLOOKUP($C387,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7" s="10" t="str">
        <f>IFERROR(__xludf.DUMMYFUNCTION("XLOOKUP($C387,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7" s="18"/>
      <c r="J387" s="18"/>
      <c r="K387" s="10" t="str">
        <f>IFERROR(__xludf.DUMMYFUNCTION("XLOOKUP($C387,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7" s="10" t="str">
        <f>IFERROR(__xludf.DUMMYFUNCTION("XLOOKUP($C387,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7" s="8"/>
      <c r="N387" s="8"/>
      <c r="O387" s="8"/>
      <c r="P387" s="8"/>
      <c r="Q387" s="8"/>
      <c r="R387" s="8"/>
      <c r="S387" s="8"/>
      <c r="T387" s="8"/>
      <c r="U387" s="8"/>
    </row>
    <row r="388">
      <c r="A388" s="10" t="s">
        <v>1069</v>
      </c>
      <c r="B388" s="10" t="s">
        <v>1315</v>
      </c>
      <c r="C388" s="12" t="s">
        <v>1385</v>
      </c>
      <c r="D388" s="13" t="s">
        <v>1386</v>
      </c>
      <c r="E388" s="16" t="str">
        <f t="array" ref="E388">XLOOKUP(C388,'DATA TK PANEN'!D:D,'DATA TK PANEN'!H:H)</f>
        <v>Tidak Ditemukan</v>
      </c>
      <c r="F388" s="10" t="str">
        <f>IFERROR(__xludf.DUMMYFUNCTION("XLOOKUP(C388,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88" s="10" t="str">
        <f>IFERROR(__xludf.DUMMYFUNCTION("XLOOKUP($C388,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88" s="10" t="str">
        <f>IFERROR(__xludf.DUMMYFUNCTION("XLOOKUP($C388,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8" s="18"/>
      <c r="J388" s="18"/>
      <c r="K388" s="10" t="str">
        <f>IFERROR(__xludf.DUMMYFUNCTION("XLOOKUP($C388,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8" s="10" t="str">
        <f>IFERROR(__xludf.DUMMYFUNCTION("XLOOKUP($C388,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8" s="8"/>
      <c r="N388" s="8"/>
      <c r="O388" s="8"/>
      <c r="P388" s="8"/>
      <c r="Q388" s="8"/>
      <c r="R388" s="8"/>
      <c r="S388" s="8"/>
      <c r="T388" s="8"/>
      <c r="U388" s="8"/>
    </row>
    <row r="389">
      <c r="A389" s="10" t="s">
        <v>1069</v>
      </c>
      <c r="B389" s="10" t="s">
        <v>1315</v>
      </c>
      <c r="C389" s="12" t="s">
        <v>1388</v>
      </c>
      <c r="D389" s="13" t="s">
        <v>1389</v>
      </c>
      <c r="E389" s="16">
        <f t="array" ref="E389">XLOOKUP(C389,'DATA TK PANEN'!D:D,'DATA TK PANEN'!H:H)</f>
        <v>460.44</v>
      </c>
      <c r="F389" s="10">
        <f>IFERROR(__xludf.DUMMYFUNCTION("XLOOKUP(C389,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(AUTO)'!S6:S""))"),28.0)</f>
        <v>28</v>
      </c>
      <c r="G389" s="10">
        <f>IFERROR(__xludf.DUMMYFUNCTION("XLOOKUP($C389,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389" s="10" t="str">
        <f>IFERROR(__xludf.DUMMYFUNCTION("XLOOKUP($C389,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89" s="18"/>
      <c r="J389" s="18"/>
      <c r="K389" s="10" t="str">
        <f>IFERROR(__xludf.DUMMYFUNCTION("XLOOKUP($C389,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89" s="10" t="str">
        <f>IFERROR(__xludf.DUMMYFUNCTION("XLOOKUP($C389,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89" s="8"/>
      <c r="N389" s="8"/>
      <c r="O389" s="8"/>
      <c r="P389" s="8"/>
      <c r="Q389" s="8"/>
      <c r="R389" s="8"/>
      <c r="S389" s="8"/>
      <c r="T389" s="8"/>
      <c r="U389" s="8"/>
    </row>
    <row r="390">
      <c r="A390" s="10" t="s">
        <v>1069</v>
      </c>
      <c r="B390" s="10" t="s">
        <v>1315</v>
      </c>
      <c r="C390" s="12" t="s">
        <v>1391</v>
      </c>
      <c r="D390" s="13" t="s">
        <v>1392</v>
      </c>
      <c r="E390" s="16">
        <f t="array" ref="E390">XLOOKUP(C390,'DATA TK PANEN'!D:D,'DATA TK PANEN'!H:H)</f>
        <v>0.1</v>
      </c>
      <c r="F390" s="10" t="str">
        <f>IFERROR(__xludf.DUMMYFUNCTION("XLOOKUP(C390,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90" s="10" t="str">
        <f>IFERROR(__xludf.DUMMYFUNCTION("XLOOKUP($C390,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0" s="10" t="str">
        <f>IFERROR(__xludf.DUMMYFUNCTION("XLOOKUP($C390,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0" s="18"/>
      <c r="J390" s="18"/>
      <c r="K390" s="10" t="str">
        <f>IFERROR(__xludf.DUMMYFUNCTION("XLOOKUP($C390,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0" s="10" t="str">
        <f>IFERROR(__xludf.DUMMYFUNCTION("XLOOKUP($C390,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0" s="8"/>
      <c r="N390" s="8"/>
      <c r="O390" s="8"/>
      <c r="P390" s="8"/>
      <c r="Q390" s="8"/>
      <c r="R390" s="8"/>
      <c r="S390" s="8"/>
      <c r="T390" s="8"/>
      <c r="U390" s="8"/>
    </row>
    <row r="391">
      <c r="A391" s="10" t="s">
        <v>1069</v>
      </c>
      <c r="B391" s="10" t="s">
        <v>1315</v>
      </c>
      <c r="C391" s="12" t="s">
        <v>1395</v>
      </c>
      <c r="D391" s="13" t="s">
        <v>1396</v>
      </c>
      <c r="E391" s="16">
        <f t="array" ref="E391">XLOOKUP(C391,'DATA TK PANEN'!D:D,'DATA TK PANEN'!H:H)</f>
        <v>9.23</v>
      </c>
      <c r="F391" s="10">
        <f>IFERROR(__xludf.DUMMYFUNCTION("XLOOKUP(C391,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391" s="10" t="str">
        <f>IFERROR(__xludf.DUMMYFUNCTION("XLOOKUP($C391,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1" s="10" t="str">
        <f>IFERROR(__xludf.DUMMYFUNCTION("XLOOKUP($C391,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1" s="18"/>
      <c r="J391" s="18"/>
      <c r="K391" s="10" t="str">
        <f>IFERROR(__xludf.DUMMYFUNCTION("XLOOKUP($C391,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1" s="10" t="str">
        <f>IFERROR(__xludf.DUMMYFUNCTION("XLOOKUP($C391,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1" s="8"/>
      <c r="N391" s="8"/>
      <c r="O391" s="8"/>
      <c r="P391" s="8"/>
      <c r="Q391" s="8"/>
      <c r="R391" s="8"/>
      <c r="S391" s="8"/>
      <c r="T391" s="8"/>
      <c r="U391" s="8"/>
    </row>
    <row r="392">
      <c r="A392" s="10" t="s">
        <v>1069</v>
      </c>
      <c r="B392" s="10" t="s">
        <v>1315</v>
      </c>
      <c r="C392" s="12" t="s">
        <v>1397</v>
      </c>
      <c r="D392" s="13" t="s">
        <v>1399</v>
      </c>
      <c r="E392" s="16">
        <f t="array" ref="E392">XLOOKUP(C392,'DATA TK PANEN'!D:D,'DATA TK PANEN'!H:H)</f>
        <v>7</v>
      </c>
      <c r="F392" s="10" t="str">
        <f>IFERROR(__xludf.DUMMYFUNCTION("XLOOKUP(C392,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92" s="10" t="str">
        <f>IFERROR(__xludf.DUMMYFUNCTION("XLOOKUP($C392,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2" s="10" t="str">
        <f>IFERROR(__xludf.DUMMYFUNCTION("XLOOKUP($C392,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2" s="18"/>
      <c r="J392" s="18"/>
      <c r="K392" s="10" t="str">
        <f>IFERROR(__xludf.DUMMYFUNCTION("XLOOKUP($C392,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2" s="10" t="str">
        <f>IFERROR(__xludf.DUMMYFUNCTION("XLOOKUP($C392,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2" s="8"/>
      <c r="N392" s="8"/>
      <c r="O392" s="8"/>
      <c r="P392" s="8"/>
      <c r="Q392" s="8"/>
      <c r="R392" s="8"/>
      <c r="S392" s="8"/>
      <c r="T392" s="8"/>
      <c r="U392" s="8"/>
    </row>
    <row r="393">
      <c r="A393" s="10" t="s">
        <v>1069</v>
      </c>
      <c r="B393" s="10" t="s">
        <v>1315</v>
      </c>
      <c r="C393" s="12" t="s">
        <v>1401</v>
      </c>
      <c r="D393" s="13" t="s">
        <v>1402</v>
      </c>
      <c r="E393" s="16">
        <f t="array" ref="E393">XLOOKUP(C393,'DATA TK PANEN'!D:D,'DATA TK PANEN'!H:H)</f>
        <v>97.29</v>
      </c>
      <c r="F393" s="10" t="str">
        <f>IFERROR(__xludf.DUMMYFUNCTION("XLOOKUP(C393,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93" s="10" t="str">
        <f>IFERROR(__xludf.DUMMYFUNCTION("XLOOKUP($C393,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3" s="10" t="str">
        <f>IFERROR(__xludf.DUMMYFUNCTION("XLOOKUP($C393,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3" s="18"/>
      <c r="J393" s="18"/>
      <c r="K393" s="10" t="str">
        <f>IFERROR(__xludf.DUMMYFUNCTION("XLOOKUP($C393,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3" s="10" t="str">
        <f>IFERROR(__xludf.DUMMYFUNCTION("XLOOKUP($C393,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3" s="8"/>
      <c r="N393" s="8"/>
      <c r="O393" s="8"/>
      <c r="P393" s="8"/>
      <c r="Q393" s="8"/>
      <c r="R393" s="8"/>
      <c r="S393" s="8"/>
      <c r="T393" s="8"/>
      <c r="U393" s="8"/>
    </row>
    <row r="394">
      <c r="A394" s="10" t="s">
        <v>1069</v>
      </c>
      <c r="B394" s="10" t="s">
        <v>1315</v>
      </c>
      <c r="C394" s="12" t="s">
        <v>1405</v>
      </c>
      <c r="D394" s="13" t="s">
        <v>1406</v>
      </c>
      <c r="E394" s="16">
        <f t="array" ref="E394">XLOOKUP(C394,'DATA TK PANEN'!D:D,'DATA TK PANEN'!H:H)</f>
        <v>147</v>
      </c>
      <c r="F394" s="10">
        <f>IFERROR(__xludf.DUMMYFUNCTION("XLOOKUP(C394,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394" s="10">
        <f>IFERROR(__xludf.DUMMYFUNCTION("XLOOKUP($C394,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394" s="10">
        <f>IFERROR(__xludf.DUMMYFUNCTION("XLOOKUP($C394,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394" s="18"/>
      <c r="J394" s="18"/>
      <c r="K394" s="10">
        <f>IFERROR(__xludf.DUMMYFUNCTION("XLOOKUP($C394,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394" s="10">
        <f>IFERROR(__xludf.DUMMYFUNCTION("XLOOKUP($C394,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94" s="8"/>
      <c r="N394" s="8"/>
      <c r="O394" s="8"/>
      <c r="P394" s="8"/>
      <c r="Q394" s="8"/>
      <c r="R394" s="8"/>
      <c r="S394" s="8"/>
      <c r="T394" s="8"/>
      <c r="U394" s="8"/>
    </row>
    <row r="395">
      <c r="A395" s="10" t="s">
        <v>1069</v>
      </c>
      <c r="B395" s="10" t="s">
        <v>1315</v>
      </c>
      <c r="C395" s="12" t="s">
        <v>1407</v>
      </c>
      <c r="D395" s="13" t="s">
        <v>1409</v>
      </c>
      <c r="E395" s="16">
        <f t="array" ref="E395">XLOOKUP(C395,'DATA TK PANEN'!D:D,'DATA TK PANEN'!H:H)</f>
        <v>15</v>
      </c>
      <c r="F395" s="10">
        <f>IFERROR(__xludf.DUMMYFUNCTION("XLOOKUP(C395,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395" s="10">
        <f>IFERROR(__xludf.DUMMYFUNCTION("XLOOKUP($C395,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395" s="10">
        <f>IFERROR(__xludf.DUMMYFUNCTION("XLOOKUP($C395,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395" s="18"/>
      <c r="J395" s="18"/>
      <c r="K395" s="10">
        <f>IFERROR(__xludf.DUMMYFUNCTION("XLOOKUP($C395,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395" s="10">
        <f>IFERROR(__xludf.DUMMYFUNCTION("XLOOKUP($C395,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95" s="8"/>
      <c r="N395" s="8"/>
      <c r="O395" s="8"/>
      <c r="P395" s="8"/>
      <c r="Q395" s="8"/>
      <c r="R395" s="8"/>
      <c r="S395" s="8"/>
      <c r="T395" s="8"/>
      <c r="U395" s="8"/>
    </row>
    <row r="396">
      <c r="A396" s="10" t="s">
        <v>1069</v>
      </c>
      <c r="B396" s="10" t="s">
        <v>1315</v>
      </c>
      <c r="C396" s="12" t="s">
        <v>1411</v>
      </c>
      <c r="D396" s="13" t="s">
        <v>1412</v>
      </c>
      <c r="E396" s="16" t="str">
        <f t="array" ref="E396">XLOOKUP(C396,'DATA TK PANEN'!D:D,'DATA TK PANEN'!H:H)</f>
        <v>Tidak Ditemukan</v>
      </c>
      <c r="F396" s="10" t="str">
        <f>IFERROR(__xludf.DUMMYFUNCTION("XLOOKUP(C396,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396" s="10" t="str">
        <f>IFERROR(__xludf.DUMMYFUNCTION("XLOOKUP($C396,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6" s="10" t="str">
        <f>IFERROR(__xludf.DUMMYFUNCTION("XLOOKUP($C396,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6" s="18"/>
      <c r="J396" s="18"/>
      <c r="K396" s="10" t="str">
        <f>IFERROR(__xludf.DUMMYFUNCTION("XLOOKUP($C396,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6" s="10" t="str">
        <f>IFERROR(__xludf.DUMMYFUNCTION("XLOOKUP($C396,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6" s="8"/>
      <c r="N396" s="8"/>
      <c r="O396" s="8"/>
      <c r="P396" s="8"/>
      <c r="Q396" s="8"/>
      <c r="R396" s="8"/>
      <c r="S396" s="8"/>
      <c r="T396" s="8"/>
      <c r="U396" s="8"/>
    </row>
    <row r="397">
      <c r="A397" s="10" t="s">
        <v>1069</v>
      </c>
      <c r="B397" s="10" t="s">
        <v>1315</v>
      </c>
      <c r="C397" s="12" t="s">
        <v>1413</v>
      </c>
      <c r="D397" s="13" t="s">
        <v>1415</v>
      </c>
      <c r="E397" s="16">
        <f t="array" ref="E397">XLOOKUP(C397,'DATA TK PANEN'!D:D,'DATA TK PANEN'!H:H)</f>
        <v>11.43</v>
      </c>
      <c r="F397" s="10">
        <f>IFERROR(__xludf.DUMMYFUNCTION("XLOOKUP(C397,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397" s="10" t="str">
        <f>IFERROR(__xludf.DUMMYFUNCTION("XLOOKUP($C397,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7" s="10" t="str">
        <f>IFERROR(__xludf.DUMMYFUNCTION("XLOOKUP($C397,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7" s="18"/>
      <c r="J397" s="18"/>
      <c r="K397" s="10" t="str">
        <f>IFERROR(__xludf.DUMMYFUNCTION("XLOOKUP($C397,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7" s="10" t="str">
        <f>IFERROR(__xludf.DUMMYFUNCTION("XLOOKUP($C397,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7" s="8"/>
      <c r="N397" s="8"/>
      <c r="O397" s="8"/>
      <c r="P397" s="8"/>
      <c r="Q397" s="8"/>
      <c r="R397" s="8"/>
      <c r="S397" s="8"/>
      <c r="T397" s="8"/>
      <c r="U397" s="8"/>
    </row>
    <row r="398">
      <c r="A398" s="10" t="s">
        <v>1069</v>
      </c>
      <c r="B398" s="10" t="s">
        <v>1315</v>
      </c>
      <c r="C398" s="12" t="s">
        <v>1418</v>
      </c>
      <c r="D398" s="13" t="s">
        <v>1419</v>
      </c>
      <c r="E398" s="16">
        <f t="array" ref="E398">XLOOKUP(C398,'DATA TK PANEN'!D:D,'DATA TK PANEN'!H:H)</f>
        <v>117.2</v>
      </c>
      <c r="F398" s="10">
        <f>IFERROR(__xludf.DUMMYFUNCTION("XLOOKUP(C398,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398" s="10" t="str">
        <f>IFERROR(__xludf.DUMMYFUNCTION("XLOOKUP($C398,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398" s="10" t="str">
        <f>IFERROR(__xludf.DUMMYFUNCTION("XLOOKUP($C398,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398" s="18"/>
      <c r="J398" s="18"/>
      <c r="K398" s="10" t="str">
        <f>IFERROR(__xludf.DUMMYFUNCTION("XLOOKUP($C398,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398" s="10" t="str">
        <f>IFERROR(__xludf.DUMMYFUNCTION("XLOOKUP($C398,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398" s="8"/>
      <c r="N398" s="8"/>
      <c r="O398" s="8"/>
      <c r="P398" s="8"/>
      <c r="Q398" s="8"/>
      <c r="R398" s="8"/>
      <c r="S398" s="8"/>
      <c r="T398" s="8"/>
      <c r="U398" s="8"/>
    </row>
    <row r="399">
      <c r="A399" s="10" t="s">
        <v>1069</v>
      </c>
      <c r="B399" s="10" t="s">
        <v>1315</v>
      </c>
      <c r="C399" s="12" t="s">
        <v>1421</v>
      </c>
      <c r="D399" s="13" t="s">
        <v>1423</v>
      </c>
      <c r="E399" s="16">
        <f t="array" ref="E399">XLOOKUP(C399,'DATA TK PANEN'!D:D,'DATA TK PANEN'!H:H)</f>
        <v>68.08</v>
      </c>
      <c r="F399" s="10">
        <f>IFERROR(__xludf.DUMMYFUNCTION("XLOOKUP(C399,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399" s="10">
        <f>IFERROR(__xludf.DUMMYFUNCTION("XLOOKUP($C399,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399" s="10">
        <f>IFERROR(__xludf.DUMMYFUNCTION("XLOOKUP($C399,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399" s="18"/>
      <c r="J399" s="18"/>
      <c r="K399" s="10">
        <f>IFERROR(__xludf.DUMMYFUNCTION("XLOOKUP($C399,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399" s="10">
        <f>IFERROR(__xludf.DUMMYFUNCTION("XLOOKUP($C399,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399" s="8"/>
      <c r="N399" s="8"/>
      <c r="O399" s="8"/>
      <c r="P399" s="8"/>
      <c r="Q399" s="8"/>
      <c r="R399" s="8"/>
      <c r="S399" s="8"/>
      <c r="T399" s="8"/>
      <c r="U399" s="8"/>
    </row>
    <row r="400">
      <c r="A400" s="10" t="s">
        <v>1069</v>
      </c>
      <c r="B400" s="10" t="s">
        <v>1315</v>
      </c>
      <c r="C400" s="12" t="s">
        <v>1426</v>
      </c>
      <c r="D400" s="13" t="s">
        <v>1427</v>
      </c>
      <c r="E400" s="16">
        <f t="array" ref="E400">XLOOKUP(C400,'DATA TK PANEN'!D:D,'DATA TK PANEN'!H:H)</f>
        <v>315</v>
      </c>
      <c r="F400" s="10">
        <f>IFERROR(__xludf.DUMMYFUNCTION("XLOOKUP(C400,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400" s="10">
        <f>IFERROR(__xludf.DUMMYFUNCTION("XLOOKUP($C400,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400" s="10">
        <f>IFERROR(__xludf.DUMMYFUNCTION("XLOOKUP($C400,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00" s="18"/>
      <c r="J400" s="18"/>
      <c r="K400" s="10">
        <f>IFERROR(__xludf.DUMMYFUNCTION("XLOOKUP($C400,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400" s="10">
        <f>IFERROR(__xludf.DUMMYFUNCTION("XLOOKUP($C400,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00" s="8"/>
      <c r="N400" s="8"/>
      <c r="O400" s="8"/>
      <c r="P400" s="8"/>
      <c r="Q400" s="8"/>
      <c r="R400" s="8"/>
      <c r="S400" s="8"/>
      <c r="T400" s="8"/>
      <c r="U400" s="8"/>
    </row>
    <row r="401">
      <c r="A401" s="10" t="s">
        <v>1069</v>
      </c>
      <c r="B401" s="10" t="s">
        <v>1315</v>
      </c>
      <c r="C401" s="12" t="s">
        <v>1430</v>
      </c>
      <c r="D401" s="13" t="s">
        <v>1431</v>
      </c>
      <c r="E401" s="16">
        <f t="array" ref="E401">XLOOKUP(C401,'DATA TK PANEN'!D:D,'DATA TK PANEN'!H:H)</f>
        <v>0</v>
      </c>
      <c r="F401" s="10" t="str">
        <f>IFERROR(__xludf.DUMMYFUNCTION("XLOOKUP(C401,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1" s="10" t="str">
        <f>IFERROR(__xludf.DUMMYFUNCTION("XLOOKUP($C401,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1" s="10" t="str">
        <f>IFERROR(__xludf.DUMMYFUNCTION("XLOOKUP($C401,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1" s="18"/>
      <c r="J401" s="18"/>
      <c r="K401" s="10" t="str">
        <f>IFERROR(__xludf.DUMMYFUNCTION("XLOOKUP($C401,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1" s="10" t="str">
        <f>IFERROR(__xludf.DUMMYFUNCTION("XLOOKUP($C401,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1" s="8"/>
      <c r="N401" s="8"/>
      <c r="O401" s="8"/>
      <c r="P401" s="8"/>
      <c r="Q401" s="8"/>
      <c r="R401" s="8"/>
      <c r="S401" s="8"/>
      <c r="T401" s="8"/>
      <c r="U401" s="8"/>
    </row>
    <row r="402">
      <c r="A402" s="10" t="s">
        <v>1069</v>
      </c>
      <c r="B402" s="10" t="s">
        <v>1315</v>
      </c>
      <c r="C402" s="12" t="s">
        <v>1433</v>
      </c>
      <c r="D402" s="13" t="s">
        <v>1434</v>
      </c>
      <c r="E402" s="16">
        <f t="array" ref="E402">XLOOKUP(C402,'DATA TK PANEN'!D:D,'DATA TK PANEN'!H:H)</f>
        <v>655.94</v>
      </c>
      <c r="F402" s="10" t="str">
        <f>IFERROR(__xludf.DUMMYFUNCTION("XLOOKUP(C402,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2" s="10" t="str">
        <f>IFERROR(__xludf.DUMMYFUNCTION("XLOOKUP($C402,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2" s="10" t="str">
        <f>IFERROR(__xludf.DUMMYFUNCTION("XLOOKUP($C402,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2" s="18"/>
      <c r="J402" s="18"/>
      <c r="K402" s="10" t="str">
        <f>IFERROR(__xludf.DUMMYFUNCTION("XLOOKUP($C402,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2" s="10" t="str">
        <f>IFERROR(__xludf.DUMMYFUNCTION("XLOOKUP($C402,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2" s="8"/>
      <c r="N402" s="8"/>
      <c r="O402" s="8"/>
      <c r="P402" s="8"/>
      <c r="Q402" s="8"/>
      <c r="R402" s="8"/>
      <c r="S402" s="8"/>
      <c r="T402" s="8"/>
      <c r="U402" s="8"/>
    </row>
    <row r="403">
      <c r="A403" s="10" t="s">
        <v>1069</v>
      </c>
      <c r="B403" s="10" t="s">
        <v>1315</v>
      </c>
      <c r="C403" s="12" t="s">
        <v>1436</v>
      </c>
      <c r="D403" s="13" t="s">
        <v>1437</v>
      </c>
      <c r="E403" s="16">
        <f t="array" ref="E403">XLOOKUP(C403,'DATA TK PANEN'!D:D,'DATA TK PANEN'!H:H)</f>
        <v>1.17</v>
      </c>
      <c r="F403" s="10" t="str">
        <f>IFERROR(__xludf.DUMMYFUNCTION("XLOOKUP(C403,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3" s="10" t="str">
        <f>IFERROR(__xludf.DUMMYFUNCTION("XLOOKUP($C403,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3" s="10" t="str">
        <f>IFERROR(__xludf.DUMMYFUNCTION("XLOOKUP($C403,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3" s="18"/>
      <c r="J403" s="18"/>
      <c r="K403" s="10" t="str">
        <f>IFERROR(__xludf.DUMMYFUNCTION("XLOOKUP($C403,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3" s="10" t="str">
        <f>IFERROR(__xludf.DUMMYFUNCTION("XLOOKUP($C403,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3" s="8"/>
      <c r="N403" s="8"/>
      <c r="O403" s="8"/>
      <c r="P403" s="8"/>
      <c r="Q403" s="8"/>
      <c r="R403" s="8"/>
      <c r="S403" s="8"/>
      <c r="T403" s="8"/>
      <c r="U403" s="8"/>
    </row>
    <row r="404">
      <c r="A404" s="10" t="s">
        <v>1069</v>
      </c>
      <c r="B404" s="10" t="s">
        <v>1315</v>
      </c>
      <c r="C404" s="12" t="s">
        <v>1439</v>
      </c>
      <c r="D404" s="13" t="s">
        <v>1440</v>
      </c>
      <c r="E404" s="16">
        <f t="array" ref="E404">XLOOKUP(C404,'DATA TK PANEN'!D:D,'DATA TK PANEN'!H:H)</f>
        <v>94.96</v>
      </c>
      <c r="F404" s="10" t="str">
        <f>IFERROR(__xludf.DUMMYFUNCTION("XLOOKUP(C404,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4" s="10" t="str">
        <f>IFERROR(__xludf.DUMMYFUNCTION("XLOOKUP($C404,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4" s="10" t="str">
        <f>IFERROR(__xludf.DUMMYFUNCTION("XLOOKUP($C404,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4" s="18"/>
      <c r="J404" s="18"/>
      <c r="K404" s="10" t="str">
        <f>IFERROR(__xludf.DUMMYFUNCTION("XLOOKUP($C404,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4" s="10" t="str">
        <f>IFERROR(__xludf.DUMMYFUNCTION("XLOOKUP($C404,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4" s="8"/>
      <c r="N404" s="8"/>
      <c r="O404" s="8"/>
      <c r="P404" s="8"/>
      <c r="Q404" s="8"/>
      <c r="R404" s="8"/>
      <c r="S404" s="8"/>
      <c r="T404" s="8"/>
      <c r="U404" s="8"/>
    </row>
    <row r="405">
      <c r="A405" s="10" t="s">
        <v>1069</v>
      </c>
      <c r="B405" s="10" t="s">
        <v>1315</v>
      </c>
      <c r="C405" s="12" t="s">
        <v>1442</v>
      </c>
      <c r="D405" s="13" t="s">
        <v>1443</v>
      </c>
      <c r="E405" s="16" t="str">
        <f t="array" ref="E405">XLOOKUP(C405,'DATA TK PANEN'!D:D,'DATA TK PANEN'!H:H)</f>
        <v>Tidak Ditemukan</v>
      </c>
      <c r="F405" s="10" t="str">
        <f>IFERROR(__xludf.DUMMYFUNCTION("XLOOKUP(C405,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5" s="10" t="str">
        <f>IFERROR(__xludf.DUMMYFUNCTION("XLOOKUP($C405,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5" s="10" t="str">
        <f>IFERROR(__xludf.DUMMYFUNCTION("XLOOKUP($C405,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5" s="18"/>
      <c r="J405" s="18"/>
      <c r="K405" s="10" t="str">
        <f>IFERROR(__xludf.DUMMYFUNCTION("XLOOKUP($C405,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5" s="10" t="str">
        <f>IFERROR(__xludf.DUMMYFUNCTION("XLOOKUP($C405,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5" s="8"/>
      <c r="N405" s="8"/>
      <c r="O405" s="8"/>
      <c r="P405" s="8"/>
      <c r="Q405" s="8"/>
      <c r="R405" s="8"/>
      <c r="S405" s="8"/>
      <c r="T405" s="8"/>
      <c r="U405" s="8"/>
    </row>
    <row r="406">
      <c r="A406" s="10" t="s">
        <v>1069</v>
      </c>
      <c r="B406" s="10" t="s">
        <v>1315</v>
      </c>
      <c r="C406" s="12" t="s">
        <v>1446</v>
      </c>
      <c r="D406" s="13" t="s">
        <v>1448</v>
      </c>
      <c r="E406" s="16">
        <f t="array" ref="E406">XLOOKUP(C406,'DATA TK PANEN'!D:D,'DATA TK PANEN'!H:H)</f>
        <v>15.04</v>
      </c>
      <c r="F406" s="10" t="str">
        <f>IFERROR(__xludf.DUMMYFUNCTION("XLOOKUP(C406,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6" s="10" t="str">
        <f>IFERROR(__xludf.DUMMYFUNCTION("XLOOKUP($C406,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6" s="10" t="str">
        <f>IFERROR(__xludf.DUMMYFUNCTION("XLOOKUP($C406,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6" s="18"/>
      <c r="J406" s="18"/>
      <c r="K406" s="10" t="str">
        <f>IFERROR(__xludf.DUMMYFUNCTION("XLOOKUP($C406,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6" s="10" t="str">
        <f>IFERROR(__xludf.DUMMYFUNCTION("XLOOKUP($C406,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6" s="8"/>
      <c r="N406" s="8"/>
      <c r="O406" s="8"/>
      <c r="P406" s="8"/>
      <c r="Q406" s="8"/>
      <c r="R406" s="8"/>
      <c r="S406" s="8"/>
      <c r="T406" s="8"/>
      <c r="U406" s="8"/>
    </row>
    <row r="407">
      <c r="A407" s="10" t="s">
        <v>1069</v>
      </c>
      <c r="B407" s="10" t="s">
        <v>1315</v>
      </c>
      <c r="C407" s="12" t="s">
        <v>1450</v>
      </c>
      <c r="D407" s="13" t="s">
        <v>1452</v>
      </c>
      <c r="E407" s="16" t="str">
        <f t="array" ref="E407">XLOOKUP(C407,'DATA TK PANEN'!D:D,'DATA TK PANEN'!H:H)</f>
        <v>Tidak Ditemukan</v>
      </c>
      <c r="F407" s="10" t="str">
        <f>IFERROR(__xludf.DUMMYFUNCTION("XLOOKUP(C407,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7" s="10" t="str">
        <f>IFERROR(__xludf.DUMMYFUNCTION("XLOOKUP($C407,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7" s="10" t="str">
        <f>IFERROR(__xludf.DUMMYFUNCTION("XLOOKUP($C407,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7" s="18"/>
      <c r="J407" s="18"/>
      <c r="K407" s="10" t="str">
        <f>IFERROR(__xludf.DUMMYFUNCTION("XLOOKUP($C407,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7" s="10" t="str">
        <f>IFERROR(__xludf.DUMMYFUNCTION("XLOOKUP($C407,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7" s="8"/>
      <c r="N407" s="8"/>
      <c r="O407" s="8"/>
      <c r="P407" s="8"/>
      <c r="Q407" s="8"/>
      <c r="R407" s="8"/>
      <c r="S407" s="8"/>
      <c r="T407" s="8"/>
      <c r="U407" s="8"/>
    </row>
    <row r="408">
      <c r="A408" s="10" t="s">
        <v>1069</v>
      </c>
      <c r="B408" s="10" t="s">
        <v>1315</v>
      </c>
      <c r="C408" s="12" t="s">
        <v>1455</v>
      </c>
      <c r="D408" s="13" t="s">
        <v>1456</v>
      </c>
      <c r="E408" s="16" t="str">
        <f t="array" ref="E408">XLOOKUP(C408,'DATA TK PANEN'!D:D,'DATA TK PANEN'!H:H)</f>
        <v>Tidak Ditemukan</v>
      </c>
      <c r="F408" s="10" t="str">
        <f>IFERROR(__xludf.DUMMYFUNCTION("XLOOKUP(C408,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8" s="10" t="str">
        <f>IFERROR(__xludf.DUMMYFUNCTION("XLOOKUP($C408,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8" s="10" t="str">
        <f>IFERROR(__xludf.DUMMYFUNCTION("XLOOKUP($C408,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8" s="18"/>
      <c r="J408" s="18"/>
      <c r="K408" s="10" t="str">
        <f>IFERROR(__xludf.DUMMYFUNCTION("XLOOKUP($C408,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8" s="10" t="str">
        <f>IFERROR(__xludf.DUMMYFUNCTION("XLOOKUP($C408,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8" s="8"/>
      <c r="N408" s="8"/>
      <c r="O408" s="8"/>
      <c r="P408" s="8"/>
      <c r="Q408" s="8"/>
      <c r="R408" s="8"/>
      <c r="S408" s="8"/>
      <c r="T408" s="8"/>
      <c r="U408" s="8"/>
    </row>
    <row r="409">
      <c r="A409" s="10" t="s">
        <v>1069</v>
      </c>
      <c r="B409" s="10" t="s">
        <v>1315</v>
      </c>
      <c r="C409" s="12" t="s">
        <v>1459</v>
      </c>
      <c r="D409" s="13" t="s">
        <v>1460</v>
      </c>
      <c r="E409" s="16">
        <f t="array" ref="E409">XLOOKUP(C409,'DATA TK PANEN'!D:D,'DATA TK PANEN'!H:H)</f>
        <v>138.3</v>
      </c>
      <c r="F409" s="10" t="str">
        <f>IFERROR(__xludf.DUMMYFUNCTION("XLOOKUP(C409,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09" s="10" t="str">
        <f>IFERROR(__xludf.DUMMYFUNCTION("XLOOKUP($C409,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09" s="10" t="str">
        <f>IFERROR(__xludf.DUMMYFUNCTION("XLOOKUP($C409,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09" s="18"/>
      <c r="J409" s="18"/>
      <c r="K409" s="10" t="str">
        <f>IFERROR(__xludf.DUMMYFUNCTION("XLOOKUP($C409,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09" s="10" t="str">
        <f>IFERROR(__xludf.DUMMYFUNCTION("XLOOKUP($C409,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09" s="8"/>
      <c r="N409" s="8"/>
      <c r="O409" s="8"/>
      <c r="P409" s="8"/>
      <c r="Q409" s="8"/>
      <c r="R409" s="8"/>
      <c r="S409" s="8"/>
      <c r="T409" s="8"/>
      <c r="U409" s="8"/>
    </row>
    <row r="410">
      <c r="A410" s="10" t="s">
        <v>1069</v>
      </c>
      <c r="B410" s="10" t="s">
        <v>1315</v>
      </c>
      <c r="C410" s="12" t="s">
        <v>1463</v>
      </c>
      <c r="D410" s="13" t="s">
        <v>1464</v>
      </c>
      <c r="E410" s="16">
        <f t="array" ref="E410">XLOOKUP(C410,'DATA TK PANEN'!D:D,'DATA TK PANEN'!H:H)</f>
        <v>336.49</v>
      </c>
      <c r="F410" s="10">
        <f>IFERROR(__xludf.DUMMYFUNCTION("XLOOKUP(C410,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410" s="10">
        <f>IFERROR(__xludf.DUMMYFUNCTION("XLOOKUP($C410,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410" s="10">
        <f>IFERROR(__xludf.DUMMYFUNCTION("XLOOKUP($C410,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(AUTO)'!V6:V""))"),25.0)</f>
        <v>25</v>
      </c>
      <c r="I410" s="18"/>
      <c r="J410" s="18"/>
      <c r="K410" s="10">
        <f>IFERROR(__xludf.DUMMYFUNCTION("XLOOKUP($C410,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10" s="10" t="str">
        <f>IFERROR(__xludf.DUMMYFUNCTION("XLOOKUP($C410,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0" s="8"/>
      <c r="N410" s="8"/>
      <c r="O410" s="8"/>
      <c r="P410" s="8"/>
      <c r="Q410" s="8"/>
      <c r="R410" s="8"/>
      <c r="S410" s="8"/>
      <c r="T410" s="8"/>
      <c r="U410" s="8"/>
    </row>
    <row r="411">
      <c r="A411" s="10" t="s">
        <v>1069</v>
      </c>
      <c r="B411" s="10" t="s">
        <v>1315</v>
      </c>
      <c r="C411" s="12" t="s">
        <v>1468</v>
      </c>
      <c r="D411" s="13" t="s">
        <v>1469</v>
      </c>
      <c r="E411" s="16" t="str">
        <f t="array" ref="E411">XLOOKUP(C411,'DATA TK PANEN'!D:D,'DATA TK PANEN'!H:H)</f>
        <v>Tidak Ditemukan</v>
      </c>
      <c r="F411" s="10" t="str">
        <f>IFERROR(__xludf.DUMMYFUNCTION("XLOOKUP(C411,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1" s="10" t="str">
        <f>IFERROR(__xludf.DUMMYFUNCTION("XLOOKUP($C411,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1" s="10" t="str">
        <f>IFERROR(__xludf.DUMMYFUNCTION("XLOOKUP($C411,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1" s="18"/>
      <c r="J411" s="18"/>
      <c r="K411" s="10" t="str">
        <f>IFERROR(__xludf.DUMMYFUNCTION("XLOOKUP($C411,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1" s="10" t="str">
        <f>IFERROR(__xludf.DUMMYFUNCTION("XLOOKUP($C411,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1" s="8"/>
      <c r="N411" s="8"/>
      <c r="O411" s="8"/>
      <c r="P411" s="8"/>
      <c r="Q411" s="8"/>
      <c r="R411" s="8"/>
      <c r="S411" s="8"/>
      <c r="T411" s="8"/>
      <c r="U411" s="8"/>
    </row>
    <row r="412">
      <c r="A412" s="10" t="s">
        <v>1069</v>
      </c>
      <c r="B412" s="10" t="s">
        <v>1315</v>
      </c>
      <c r="C412" s="12" t="s">
        <v>1473</v>
      </c>
      <c r="D412" s="13" t="s">
        <v>1474</v>
      </c>
      <c r="E412" s="16" t="str">
        <f t="array" ref="E412">XLOOKUP(C412,'DATA TK PANEN'!D:D,'DATA TK PANEN'!H:H)</f>
        <v>Tidak Ditemukan</v>
      </c>
      <c r="F412" s="10" t="str">
        <f>IFERROR(__xludf.DUMMYFUNCTION("XLOOKUP(C412,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2" s="10" t="str">
        <f>IFERROR(__xludf.DUMMYFUNCTION("XLOOKUP($C412,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2" s="10" t="str">
        <f>IFERROR(__xludf.DUMMYFUNCTION("XLOOKUP($C412,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2" s="18"/>
      <c r="J412" s="18"/>
      <c r="K412" s="10" t="str">
        <f>IFERROR(__xludf.DUMMYFUNCTION("XLOOKUP($C412,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2" s="10" t="str">
        <f>IFERROR(__xludf.DUMMYFUNCTION("XLOOKUP($C412,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2" s="8"/>
      <c r="N412" s="8"/>
      <c r="O412" s="8"/>
      <c r="P412" s="8"/>
      <c r="Q412" s="8"/>
      <c r="R412" s="8"/>
      <c r="S412" s="8"/>
      <c r="T412" s="8"/>
      <c r="U412" s="8"/>
    </row>
    <row r="413">
      <c r="A413" s="10" t="s">
        <v>1069</v>
      </c>
      <c r="B413" s="10" t="s">
        <v>1315</v>
      </c>
      <c r="C413" s="12" t="s">
        <v>1478</v>
      </c>
      <c r="D413" s="13" t="s">
        <v>1479</v>
      </c>
      <c r="E413" s="16">
        <f t="array" ref="E413">XLOOKUP(C413,'DATA TK PANEN'!D:D,'DATA TK PANEN'!H:H)</f>
        <v>375.84</v>
      </c>
      <c r="F413" s="10" t="str">
        <f>IFERROR(__xludf.DUMMYFUNCTION("XLOOKUP(C413,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3" s="10" t="str">
        <f>IFERROR(__xludf.DUMMYFUNCTION("XLOOKUP($C413,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3" s="10" t="str">
        <f>IFERROR(__xludf.DUMMYFUNCTION("XLOOKUP($C413,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3" s="18"/>
      <c r="J413" s="18"/>
      <c r="K413" s="10" t="str">
        <f>IFERROR(__xludf.DUMMYFUNCTION("XLOOKUP($C413,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3" s="10" t="str">
        <f>IFERROR(__xludf.DUMMYFUNCTION("XLOOKUP($C413,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3" s="8"/>
      <c r="N413" s="8"/>
      <c r="O413" s="8"/>
      <c r="P413" s="8"/>
      <c r="Q413" s="8"/>
      <c r="R413" s="8"/>
      <c r="S413" s="8"/>
      <c r="T413" s="8"/>
      <c r="U413" s="8"/>
    </row>
    <row r="414">
      <c r="A414" s="10" t="s">
        <v>1069</v>
      </c>
      <c r="B414" s="10" t="s">
        <v>1315</v>
      </c>
      <c r="C414" s="12" t="s">
        <v>1482</v>
      </c>
      <c r="D414" s="13" t="s">
        <v>1483</v>
      </c>
      <c r="E414" s="16">
        <f t="array" ref="E414">XLOOKUP(C414,'DATA TK PANEN'!D:D,'DATA TK PANEN'!H:H)</f>
        <v>480.73</v>
      </c>
      <c r="F414" s="10" t="str">
        <f>IFERROR(__xludf.DUMMYFUNCTION("XLOOKUP(C414,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4" s="10" t="str">
        <f>IFERROR(__xludf.DUMMYFUNCTION("XLOOKUP($C414,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4" s="10" t="str">
        <f>IFERROR(__xludf.DUMMYFUNCTION("XLOOKUP($C414,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4" s="18"/>
      <c r="J414" s="18"/>
      <c r="K414" s="10" t="str">
        <f>IFERROR(__xludf.DUMMYFUNCTION("XLOOKUP($C414,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4" s="10" t="str">
        <f>IFERROR(__xludf.DUMMYFUNCTION("XLOOKUP($C414,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4" s="8"/>
      <c r="N414" s="8"/>
      <c r="O414" s="8"/>
      <c r="P414" s="8"/>
      <c r="Q414" s="8"/>
      <c r="R414" s="8"/>
      <c r="S414" s="8"/>
      <c r="T414" s="8"/>
      <c r="U414" s="8"/>
    </row>
    <row r="415">
      <c r="A415" s="10" t="s">
        <v>1069</v>
      </c>
      <c r="B415" s="10" t="s">
        <v>1315</v>
      </c>
      <c r="C415" s="12" t="s">
        <v>1486</v>
      </c>
      <c r="D415" s="13" t="s">
        <v>1487</v>
      </c>
      <c r="E415" s="16" t="str">
        <f t="array" ref="E415">XLOOKUP(C415,'DATA TK PANEN'!D:D,'DATA TK PANEN'!H:H)</f>
        <v>Tidak Ditemukan</v>
      </c>
      <c r="F415" s="10" t="str">
        <f>IFERROR(__xludf.DUMMYFUNCTION("XLOOKUP(C415,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5" s="10" t="str">
        <f>IFERROR(__xludf.DUMMYFUNCTION("XLOOKUP($C415,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5" s="10" t="str">
        <f>IFERROR(__xludf.DUMMYFUNCTION("XLOOKUP($C415,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5" s="18"/>
      <c r="J415" s="18"/>
      <c r="K415" s="10" t="str">
        <f>IFERROR(__xludf.DUMMYFUNCTION("XLOOKUP($C415,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5" s="10" t="str">
        <f>IFERROR(__xludf.DUMMYFUNCTION("XLOOKUP($C415,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5" s="8"/>
      <c r="N415" s="8"/>
      <c r="O415" s="8"/>
      <c r="P415" s="8"/>
      <c r="Q415" s="8"/>
      <c r="R415" s="8"/>
      <c r="S415" s="8"/>
      <c r="T415" s="8"/>
      <c r="U415" s="8"/>
    </row>
    <row r="416">
      <c r="A416" s="10" t="s">
        <v>1069</v>
      </c>
      <c r="B416" s="10" t="s">
        <v>1315</v>
      </c>
      <c r="C416" s="12" t="s">
        <v>1491</v>
      </c>
      <c r="D416" s="13" t="s">
        <v>1492</v>
      </c>
      <c r="E416" s="16" t="str">
        <f t="array" ref="E416">XLOOKUP(C416,'DATA TK PANEN'!D:D,'DATA TK PANEN'!H:H)</f>
        <v>Tidak Ditemukan</v>
      </c>
      <c r="F416" s="10" t="str">
        <f>IFERROR(__xludf.DUMMYFUNCTION("XLOOKUP(C416,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6" s="10" t="str">
        <f>IFERROR(__xludf.DUMMYFUNCTION("XLOOKUP($C416,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6" s="10" t="str">
        <f>IFERROR(__xludf.DUMMYFUNCTION("XLOOKUP($C416,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6" s="18"/>
      <c r="J416" s="18"/>
      <c r="K416" s="10" t="str">
        <f>IFERROR(__xludf.DUMMYFUNCTION("XLOOKUP($C416,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6" s="10" t="str">
        <f>IFERROR(__xludf.DUMMYFUNCTION("XLOOKUP($C416,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6" s="8"/>
      <c r="N416" s="8"/>
      <c r="O416" s="8"/>
      <c r="P416" s="8"/>
      <c r="Q416" s="8"/>
      <c r="R416" s="8"/>
      <c r="S416" s="8"/>
      <c r="T416" s="8"/>
      <c r="U416" s="8"/>
    </row>
    <row r="417">
      <c r="A417" s="10" t="s">
        <v>1069</v>
      </c>
      <c r="B417" s="10" t="s">
        <v>1315</v>
      </c>
      <c r="C417" s="12" t="s">
        <v>1496</v>
      </c>
      <c r="D417" s="13" t="s">
        <v>1497</v>
      </c>
      <c r="E417" s="16">
        <f t="array" ref="E417">XLOOKUP(C417,'DATA TK PANEN'!D:D,'DATA TK PANEN'!H:H)</f>
        <v>11.03</v>
      </c>
      <c r="F417" s="10">
        <f>IFERROR(__xludf.DUMMYFUNCTION("XLOOKUP(C417,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417" s="10">
        <f>IFERROR(__xludf.DUMMYFUNCTION("XLOOKUP($C417,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(AUTO)'!T6:T""))"),11.0)</f>
        <v>11</v>
      </c>
      <c r="H417" s="10">
        <f>IFERROR(__xludf.DUMMYFUNCTION("XLOOKUP($C417,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417" s="18"/>
      <c r="J417" s="18"/>
      <c r="K417" s="10">
        <f>IFERROR(__xludf.DUMMYFUNCTION("XLOOKUP($C417,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17" s="10">
        <f>IFERROR(__xludf.DUMMYFUNCTION("XLOOKUP($C417,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17" s="8"/>
      <c r="N417" s="8"/>
      <c r="O417" s="8"/>
      <c r="P417" s="8"/>
      <c r="Q417" s="8"/>
      <c r="R417" s="8"/>
      <c r="S417" s="8"/>
      <c r="T417" s="8"/>
      <c r="U417" s="8"/>
    </row>
    <row r="418">
      <c r="A418" s="10" t="s">
        <v>1069</v>
      </c>
      <c r="B418" s="10" t="s">
        <v>1315</v>
      </c>
      <c r="C418" s="12" t="s">
        <v>1500</v>
      </c>
      <c r="D418" s="13" t="s">
        <v>1501</v>
      </c>
      <c r="E418" s="16">
        <f t="array" ref="E418">XLOOKUP(C418,'DATA TK PANEN'!D:D,'DATA TK PANEN'!H:H)</f>
        <v>95</v>
      </c>
      <c r="F418" s="10">
        <f>IFERROR(__xludf.DUMMYFUNCTION("XLOOKUP(C418,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418" s="10">
        <f>IFERROR(__xludf.DUMMYFUNCTION("XLOOKUP($C418,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418" s="10">
        <f>IFERROR(__xludf.DUMMYFUNCTION("XLOOKUP($C418,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418" s="18"/>
      <c r="J418" s="18"/>
      <c r="K418" s="10">
        <f>IFERROR(__xludf.DUMMYFUNCTION("XLOOKUP($C418,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418" s="10">
        <f>IFERROR(__xludf.DUMMYFUNCTION("XLOOKUP($C418,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18" s="8"/>
      <c r="N418" s="8"/>
      <c r="O418" s="8"/>
      <c r="P418" s="8"/>
      <c r="Q418" s="8"/>
      <c r="R418" s="8"/>
      <c r="S418" s="8"/>
      <c r="T418" s="8"/>
      <c r="U418" s="8"/>
    </row>
    <row r="419">
      <c r="A419" s="10" t="s">
        <v>1069</v>
      </c>
      <c r="B419" s="10" t="s">
        <v>1315</v>
      </c>
      <c r="C419" s="12" t="s">
        <v>1502</v>
      </c>
      <c r="D419" s="13" t="s">
        <v>1503</v>
      </c>
      <c r="E419" s="16">
        <f t="array" ref="E419">XLOOKUP(C419,'DATA TK PANEN'!D:D,'DATA TK PANEN'!H:H)</f>
        <v>32.07</v>
      </c>
      <c r="F419" s="10" t="str">
        <f>IFERROR(__xludf.DUMMYFUNCTION("XLOOKUP(C419,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19" s="10" t="str">
        <f>IFERROR(__xludf.DUMMYFUNCTION("XLOOKUP($C419,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19" s="10" t="str">
        <f>IFERROR(__xludf.DUMMYFUNCTION("XLOOKUP($C419,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19" s="18"/>
      <c r="J419" s="18"/>
      <c r="K419" s="10" t="str">
        <f>IFERROR(__xludf.DUMMYFUNCTION("XLOOKUP($C419,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19" s="10" t="str">
        <f>IFERROR(__xludf.DUMMYFUNCTION("XLOOKUP($C419,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19" s="8"/>
      <c r="N419" s="8"/>
      <c r="O419" s="8"/>
      <c r="P419" s="8"/>
      <c r="Q419" s="8"/>
      <c r="R419" s="8"/>
      <c r="S419" s="8"/>
      <c r="T419" s="8"/>
      <c r="U419" s="8"/>
    </row>
    <row r="420">
      <c r="A420" s="10" t="s">
        <v>1069</v>
      </c>
      <c r="B420" s="10" t="s">
        <v>1315</v>
      </c>
      <c r="C420" s="12" t="s">
        <v>1505</v>
      </c>
      <c r="D420" s="13" t="s">
        <v>1506</v>
      </c>
      <c r="E420" s="16">
        <f t="array" ref="E420">XLOOKUP(C420,'DATA TK PANEN'!D:D,'DATA TK PANEN'!H:H)</f>
        <v>306.07</v>
      </c>
      <c r="F420" s="10">
        <f>IFERROR(__xludf.DUMMYFUNCTION("XLOOKUP(C420,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(AUTO)'!S6:S""))"),18.0)</f>
        <v>18</v>
      </c>
      <c r="G420" s="10">
        <f>IFERROR(__xludf.DUMMYFUNCTION("XLOOKUP($C420,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(AUTO)'!T6:T""))"),17.0)</f>
        <v>17</v>
      </c>
      <c r="H420" s="10">
        <f>IFERROR(__xludf.DUMMYFUNCTION("XLOOKUP($C420,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(AUTO)'!V6:V""))"),18.0)</f>
        <v>18</v>
      </c>
      <c r="I420" s="18"/>
      <c r="J420" s="18"/>
      <c r="K420" s="10">
        <f>IFERROR(__xludf.DUMMYFUNCTION("XLOOKUP($C420,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20" s="10">
        <f>IFERROR(__xludf.DUMMYFUNCTION("XLOOKUP($C420,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20" s="8"/>
      <c r="N420" s="8"/>
      <c r="O420" s="8"/>
      <c r="P420" s="8"/>
      <c r="Q420" s="8"/>
      <c r="R420" s="8"/>
      <c r="S420" s="8"/>
      <c r="T420" s="8"/>
      <c r="U420" s="8"/>
    </row>
    <row r="421">
      <c r="A421" s="10" t="s">
        <v>1069</v>
      </c>
      <c r="B421" s="10" t="s">
        <v>1315</v>
      </c>
      <c r="C421" s="12" t="s">
        <v>1509</v>
      </c>
      <c r="D421" s="13" t="s">
        <v>1510</v>
      </c>
      <c r="E421" s="16">
        <f t="array" ref="E421">XLOOKUP(C421,'DATA TK PANEN'!D:D,'DATA TK PANEN'!H:H)</f>
        <v>1754.05</v>
      </c>
      <c r="F421" s="10" t="str">
        <f>IFERROR(__xludf.DUMMYFUNCTION("XLOOKUP(C421,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1" s="10" t="str">
        <f>IFERROR(__xludf.DUMMYFUNCTION("XLOOKUP($C421,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1" s="10" t="str">
        <f>IFERROR(__xludf.DUMMYFUNCTION("XLOOKUP($C421,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1" s="18"/>
      <c r="J421" s="18"/>
      <c r="K421" s="10" t="str">
        <f>IFERROR(__xludf.DUMMYFUNCTION("XLOOKUP($C421,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1" s="10" t="str">
        <f>IFERROR(__xludf.DUMMYFUNCTION("XLOOKUP($C421,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1" s="8"/>
      <c r="N421" s="8"/>
      <c r="O421" s="8"/>
      <c r="P421" s="8"/>
      <c r="Q421" s="8"/>
      <c r="R421" s="8"/>
      <c r="S421" s="8"/>
      <c r="T421" s="8"/>
      <c r="U421" s="8"/>
    </row>
    <row r="422">
      <c r="A422" s="10" t="s">
        <v>1069</v>
      </c>
      <c r="B422" s="10" t="s">
        <v>1315</v>
      </c>
      <c r="C422" s="12" t="s">
        <v>1513</v>
      </c>
      <c r="D422" s="13" t="s">
        <v>1514</v>
      </c>
      <c r="E422" s="16" t="str">
        <f t="array" ref="E422">XLOOKUP(C422,'DATA TK PANEN'!D:D,'DATA TK PANEN'!H:H)</f>
        <v>Tidak Ditemukan</v>
      </c>
      <c r="F422" s="10" t="str">
        <f>IFERROR(__xludf.DUMMYFUNCTION("XLOOKUP(C422,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2" s="10" t="str">
        <f>IFERROR(__xludf.DUMMYFUNCTION("XLOOKUP($C422,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2" s="10" t="str">
        <f>IFERROR(__xludf.DUMMYFUNCTION("XLOOKUP($C422,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2" s="18"/>
      <c r="J422" s="18"/>
      <c r="K422" s="10" t="str">
        <f>IFERROR(__xludf.DUMMYFUNCTION("XLOOKUP($C422,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2" s="10" t="str">
        <f>IFERROR(__xludf.DUMMYFUNCTION("XLOOKUP($C422,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2" s="8"/>
      <c r="N422" s="8"/>
      <c r="O422" s="8"/>
      <c r="P422" s="8"/>
      <c r="Q422" s="8"/>
      <c r="R422" s="8"/>
      <c r="S422" s="8"/>
      <c r="T422" s="8"/>
      <c r="U422" s="8"/>
    </row>
    <row r="423">
      <c r="A423" s="10" t="s">
        <v>1069</v>
      </c>
      <c r="B423" s="10" t="s">
        <v>1315</v>
      </c>
      <c r="C423" s="12" t="s">
        <v>1517</v>
      </c>
      <c r="D423" s="13" t="s">
        <v>1519</v>
      </c>
      <c r="E423" s="16" t="str">
        <f t="array" ref="E423">XLOOKUP(C423,'DATA TK PANEN'!D:D,'DATA TK PANEN'!H:H)</f>
        <v>Tidak Ditemukan</v>
      </c>
      <c r="F423" s="10" t="str">
        <f>IFERROR(__xludf.DUMMYFUNCTION("XLOOKUP(C423,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3" s="10" t="str">
        <f>IFERROR(__xludf.DUMMYFUNCTION("XLOOKUP($C423,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3" s="10" t="str">
        <f>IFERROR(__xludf.DUMMYFUNCTION("XLOOKUP($C423,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3" s="18"/>
      <c r="J423" s="18"/>
      <c r="K423" s="10" t="str">
        <f>IFERROR(__xludf.DUMMYFUNCTION("XLOOKUP($C423,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3" s="10" t="str">
        <f>IFERROR(__xludf.DUMMYFUNCTION("XLOOKUP($C423,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3" s="8"/>
      <c r="N423" s="8"/>
      <c r="O423" s="8"/>
      <c r="P423" s="8"/>
      <c r="Q423" s="8"/>
      <c r="R423" s="8"/>
      <c r="S423" s="8"/>
      <c r="T423" s="8"/>
      <c r="U423" s="8"/>
    </row>
    <row r="424">
      <c r="A424" s="10" t="s">
        <v>1069</v>
      </c>
      <c r="B424" s="10" t="s">
        <v>1315</v>
      </c>
      <c r="C424" s="12" t="s">
        <v>1522</v>
      </c>
      <c r="D424" s="13" t="s">
        <v>1524</v>
      </c>
      <c r="E424" s="16">
        <f t="array" ref="E424">XLOOKUP(C424,'DATA TK PANEN'!D:D,'DATA TK PANEN'!H:H)</f>
        <v>36.57</v>
      </c>
      <c r="F424" s="10">
        <f>IFERROR(__xludf.DUMMYFUNCTION("XLOOKUP(C424,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424" s="10">
        <f>IFERROR(__xludf.DUMMYFUNCTION("XLOOKUP($C424,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424" s="10">
        <f>IFERROR(__xludf.DUMMYFUNCTION("XLOOKUP($C424,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424" s="18"/>
      <c r="J424" s="18"/>
      <c r="K424" s="10">
        <f>IFERROR(__xludf.DUMMYFUNCTION("XLOOKUP($C424,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24" s="10">
        <f>IFERROR(__xludf.DUMMYFUNCTION("XLOOKUP($C424,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24" s="8"/>
      <c r="N424" s="8"/>
      <c r="O424" s="8"/>
      <c r="P424" s="8"/>
      <c r="Q424" s="8"/>
      <c r="R424" s="8"/>
      <c r="S424" s="8"/>
      <c r="T424" s="8"/>
      <c r="U424" s="8"/>
    </row>
    <row r="425">
      <c r="A425" s="10" t="s">
        <v>1069</v>
      </c>
      <c r="B425" s="10" t="s">
        <v>1315</v>
      </c>
      <c r="C425" s="12" t="s">
        <v>1526</v>
      </c>
      <c r="D425" s="13" t="s">
        <v>1527</v>
      </c>
      <c r="E425" s="16">
        <f t="array" ref="E425">XLOOKUP(C425,'DATA TK PANEN'!D:D,'DATA TK PANEN'!H:H)</f>
        <v>187</v>
      </c>
      <c r="F425" s="10">
        <f>IFERROR(__xludf.DUMMYFUNCTION("XLOOKUP(C425,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425" s="10">
        <f>IFERROR(__xludf.DUMMYFUNCTION("XLOOKUP($C425,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425" s="10">
        <f>IFERROR(__xludf.DUMMYFUNCTION("XLOOKUP($C425,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425" s="18"/>
      <c r="J425" s="18"/>
      <c r="K425" s="10">
        <f>IFERROR(__xludf.DUMMYFUNCTION("XLOOKUP($C425,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25" s="10">
        <f>IFERROR(__xludf.DUMMYFUNCTION("XLOOKUP($C425,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25" s="8"/>
      <c r="N425" s="8"/>
      <c r="O425" s="8"/>
      <c r="P425" s="8"/>
      <c r="Q425" s="8"/>
      <c r="R425" s="8"/>
      <c r="S425" s="8"/>
      <c r="T425" s="8"/>
      <c r="U425" s="8"/>
    </row>
    <row r="426">
      <c r="A426" s="10" t="s">
        <v>1069</v>
      </c>
      <c r="B426" s="10" t="s">
        <v>1315</v>
      </c>
      <c r="C426" s="12" t="s">
        <v>1530</v>
      </c>
      <c r="D426" s="13" t="s">
        <v>1531</v>
      </c>
      <c r="E426" s="16" t="str">
        <f t="array" ref="E426">XLOOKUP(C426,'DATA TK PANEN'!D:D,'DATA TK PANEN'!H:H)</f>
        <v>Tidak Ditemukan</v>
      </c>
      <c r="F426" s="10" t="str">
        <f>IFERROR(__xludf.DUMMYFUNCTION("XLOOKUP(C426,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6" s="10" t="str">
        <f>IFERROR(__xludf.DUMMYFUNCTION("XLOOKUP($C426,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6" s="10" t="str">
        <f>IFERROR(__xludf.DUMMYFUNCTION("XLOOKUP($C426,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6" s="18"/>
      <c r="J426" s="18"/>
      <c r="K426" s="10" t="str">
        <f>IFERROR(__xludf.DUMMYFUNCTION("XLOOKUP($C426,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6" s="10" t="str">
        <f>IFERROR(__xludf.DUMMYFUNCTION("XLOOKUP($C426,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6" s="8"/>
      <c r="N426" s="8"/>
      <c r="O426" s="8"/>
      <c r="P426" s="8"/>
      <c r="Q426" s="8"/>
      <c r="R426" s="8"/>
      <c r="S426" s="8"/>
      <c r="T426" s="8"/>
      <c r="U426" s="8"/>
    </row>
    <row r="427">
      <c r="A427" s="10" t="s">
        <v>1069</v>
      </c>
      <c r="B427" s="10" t="s">
        <v>1315</v>
      </c>
      <c r="C427" s="12" t="s">
        <v>1533</v>
      </c>
      <c r="D427" s="13" t="s">
        <v>1534</v>
      </c>
      <c r="E427" s="16" t="str">
        <f t="array" ref="E427">XLOOKUP(C427,'DATA TK PANEN'!D:D,'DATA TK PANEN'!H:H)</f>
        <v>Tidak Ditemukan</v>
      </c>
      <c r="F427" s="10" t="str">
        <f>IFERROR(__xludf.DUMMYFUNCTION("XLOOKUP(C427,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7" s="10" t="str">
        <f>IFERROR(__xludf.DUMMYFUNCTION("XLOOKUP($C427,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7" s="10" t="str">
        <f>IFERROR(__xludf.DUMMYFUNCTION("XLOOKUP($C427,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7" s="18"/>
      <c r="J427" s="18"/>
      <c r="K427" s="10" t="str">
        <f>IFERROR(__xludf.DUMMYFUNCTION("XLOOKUP($C427,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7" s="10" t="str">
        <f>IFERROR(__xludf.DUMMYFUNCTION("XLOOKUP($C427,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7" s="8"/>
      <c r="N427" s="8"/>
      <c r="O427" s="8"/>
      <c r="P427" s="8"/>
      <c r="Q427" s="8"/>
      <c r="R427" s="8"/>
      <c r="S427" s="8"/>
      <c r="T427" s="8"/>
      <c r="U427" s="8"/>
    </row>
    <row r="428">
      <c r="A428" s="10" t="s">
        <v>1069</v>
      </c>
      <c r="B428" s="10" t="s">
        <v>1315</v>
      </c>
      <c r="C428" s="12" t="s">
        <v>1536</v>
      </c>
      <c r="D428" s="13" t="s">
        <v>1537</v>
      </c>
      <c r="E428" s="16">
        <f t="array" ref="E428">XLOOKUP(C428,'DATA TK PANEN'!D:D,'DATA TK PANEN'!H:H)</f>
        <v>658.81</v>
      </c>
      <c r="F428" s="10">
        <f>IFERROR(__xludf.DUMMYFUNCTION("XLOOKUP(C428,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(AUTO)'!S6:S""))"),40.0)</f>
        <v>40</v>
      </c>
      <c r="G428" s="10">
        <f>IFERROR(__xludf.DUMMYFUNCTION("XLOOKUP($C428,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(AUTO)'!T6:T""))"),14.0)</f>
        <v>14</v>
      </c>
      <c r="H428" s="10">
        <f>IFERROR(__xludf.DUMMYFUNCTION("XLOOKUP($C428,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428" s="18"/>
      <c r="J428" s="18"/>
      <c r="K428" s="10">
        <f>IFERROR(__xludf.DUMMYFUNCTION("XLOOKUP($C428,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428" s="10">
        <f>IFERROR(__xludf.DUMMYFUNCTION("XLOOKUP($C428,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(AUTO)'!X6:X""))"),6.0)</f>
        <v>6</v>
      </c>
      <c r="M428" s="8"/>
      <c r="N428" s="8"/>
      <c r="O428" s="8"/>
      <c r="P428" s="8"/>
      <c r="Q428" s="8"/>
      <c r="R428" s="8"/>
      <c r="S428" s="8"/>
      <c r="T428" s="8"/>
      <c r="U428" s="8"/>
    </row>
    <row r="429">
      <c r="A429" s="10" t="s">
        <v>1069</v>
      </c>
      <c r="B429" s="10" t="s">
        <v>1315</v>
      </c>
      <c r="C429" s="12" t="s">
        <v>1538</v>
      </c>
      <c r="D429" s="13" t="s">
        <v>1539</v>
      </c>
      <c r="E429" s="16">
        <f t="array" ref="E429">XLOOKUP(C429,'DATA TK PANEN'!D:D,'DATA TK PANEN'!H:H)</f>
        <v>97.52</v>
      </c>
      <c r="F429" s="10" t="str">
        <f>IFERROR(__xludf.DUMMYFUNCTION("XLOOKUP(C429,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29" s="10" t="str">
        <f>IFERROR(__xludf.DUMMYFUNCTION("XLOOKUP($C429,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29" s="10" t="str">
        <f>IFERROR(__xludf.DUMMYFUNCTION("XLOOKUP($C429,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29" s="18"/>
      <c r="J429" s="18"/>
      <c r="K429" s="10" t="str">
        <f>IFERROR(__xludf.DUMMYFUNCTION("XLOOKUP($C429,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29" s="10" t="str">
        <f>IFERROR(__xludf.DUMMYFUNCTION("XLOOKUP($C429,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29" s="8"/>
      <c r="N429" s="8"/>
      <c r="O429" s="8"/>
      <c r="P429" s="8"/>
      <c r="Q429" s="8"/>
      <c r="R429" s="8"/>
      <c r="S429" s="8"/>
      <c r="T429" s="8"/>
      <c r="U429" s="8"/>
    </row>
    <row r="430">
      <c r="A430" s="10" t="s">
        <v>1069</v>
      </c>
      <c r="B430" s="10" t="s">
        <v>1315</v>
      </c>
      <c r="C430" s="12" t="s">
        <v>1541</v>
      </c>
      <c r="D430" s="13" t="s">
        <v>1542</v>
      </c>
      <c r="E430" s="16">
        <f t="array" ref="E430">XLOOKUP(C430,'DATA TK PANEN'!D:D,'DATA TK PANEN'!H:H)</f>
        <v>87.83</v>
      </c>
      <c r="F430" s="10" t="str">
        <f>IFERROR(__xludf.DUMMYFUNCTION("XLOOKUP(C430,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30" s="10" t="str">
        <f>IFERROR(__xludf.DUMMYFUNCTION("XLOOKUP($C430,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30" s="10" t="str">
        <f>IFERROR(__xludf.DUMMYFUNCTION("XLOOKUP($C430,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30" s="18"/>
      <c r="J430" s="18"/>
      <c r="K430" s="10" t="str">
        <f>IFERROR(__xludf.DUMMYFUNCTION("XLOOKUP($C430,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30" s="10" t="str">
        <f>IFERROR(__xludf.DUMMYFUNCTION("XLOOKUP($C430,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30" s="8"/>
      <c r="N430" s="8"/>
      <c r="O430" s="8"/>
      <c r="P430" s="8"/>
      <c r="Q430" s="8"/>
      <c r="R430" s="8"/>
      <c r="S430" s="8"/>
      <c r="T430" s="8"/>
      <c r="U430" s="8"/>
    </row>
    <row r="431">
      <c r="A431" s="10" t="s">
        <v>1069</v>
      </c>
      <c r="B431" s="10" t="s">
        <v>1315</v>
      </c>
      <c r="C431" s="12" t="s">
        <v>1545</v>
      </c>
      <c r="D431" s="13" t="s">
        <v>1546</v>
      </c>
      <c r="E431" s="16" t="str">
        <f t="array" ref="E431">XLOOKUP(C431,'DATA TK PANEN'!D:D,'DATA TK PANEN'!H:H)</f>
        <v>Tidak Ditemukan</v>
      </c>
      <c r="F431" s="10" t="str">
        <f>IFERROR(__xludf.DUMMYFUNCTION("XLOOKUP(C431,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31" s="10" t="str">
        <f>IFERROR(__xludf.DUMMYFUNCTION("XLOOKUP($C431,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31" s="10" t="str">
        <f>IFERROR(__xludf.DUMMYFUNCTION("XLOOKUP($C431,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31" s="18"/>
      <c r="J431" s="18"/>
      <c r="K431" s="10" t="str">
        <f>IFERROR(__xludf.DUMMYFUNCTION("XLOOKUP($C431,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31" s="10" t="str">
        <f>IFERROR(__xludf.DUMMYFUNCTION("XLOOKUP($C431,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31" s="8"/>
      <c r="N431" s="8"/>
      <c r="O431" s="8"/>
      <c r="P431" s="8"/>
      <c r="Q431" s="8"/>
      <c r="R431" s="8"/>
      <c r="S431" s="8"/>
      <c r="T431" s="8"/>
      <c r="U431" s="8"/>
    </row>
    <row r="432">
      <c r="A432" s="10" t="s">
        <v>1069</v>
      </c>
      <c r="B432" s="10" t="s">
        <v>1315</v>
      </c>
      <c r="C432" s="12" t="s">
        <v>1549</v>
      </c>
      <c r="D432" s="13" t="s">
        <v>1551</v>
      </c>
      <c r="E432" s="16">
        <f t="array" ref="E432">XLOOKUP(C432,'DATA TK PANEN'!D:D,'DATA TK PANEN'!H:H)</f>
        <v>114.47</v>
      </c>
      <c r="F432" s="10" t="str">
        <f>IFERROR(__xludf.DUMMYFUNCTION("XLOOKUP(C432,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32" s="10" t="str">
        <f>IFERROR(__xludf.DUMMYFUNCTION("XLOOKUP($C432,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32" s="10" t="str">
        <f>IFERROR(__xludf.DUMMYFUNCTION("XLOOKUP($C432,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32" s="18"/>
      <c r="J432" s="18"/>
      <c r="K432" s="10" t="str">
        <f>IFERROR(__xludf.DUMMYFUNCTION("XLOOKUP($C432,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32" s="10" t="str">
        <f>IFERROR(__xludf.DUMMYFUNCTION("XLOOKUP($C432,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32" s="8"/>
      <c r="N432" s="8"/>
      <c r="O432" s="8"/>
      <c r="P432" s="8"/>
      <c r="Q432" s="8"/>
      <c r="R432" s="8"/>
      <c r="S432" s="8"/>
      <c r="T432" s="8"/>
      <c r="U432" s="8"/>
    </row>
    <row r="433">
      <c r="A433" s="10" t="s">
        <v>1069</v>
      </c>
      <c r="B433" s="10" t="s">
        <v>1315</v>
      </c>
      <c r="C433" s="12" t="s">
        <v>1555</v>
      </c>
      <c r="D433" s="13" t="s">
        <v>1557</v>
      </c>
      <c r="E433" s="16">
        <f t="array" ref="E433">XLOOKUP(C433,'DATA TK PANEN'!D:D,'DATA TK PANEN'!H:H)</f>
        <v>5.56</v>
      </c>
      <c r="F433" s="10" t="str">
        <f>IFERROR(__xludf.DUMMYFUNCTION("XLOOKUP(C433,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33" s="10" t="str">
        <f>IFERROR(__xludf.DUMMYFUNCTION("XLOOKUP($C433,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33" s="10" t="str">
        <f>IFERROR(__xludf.DUMMYFUNCTION("XLOOKUP($C433,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33" s="18"/>
      <c r="J433" s="18"/>
      <c r="K433" s="10" t="str">
        <f>IFERROR(__xludf.DUMMYFUNCTION("XLOOKUP($C433,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33" s="10" t="str">
        <f>IFERROR(__xludf.DUMMYFUNCTION("XLOOKUP($C433,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33" s="8"/>
      <c r="N433" s="8"/>
      <c r="O433" s="8"/>
      <c r="P433" s="8"/>
      <c r="Q433" s="8"/>
      <c r="R433" s="8"/>
      <c r="S433" s="8"/>
      <c r="T433" s="8"/>
      <c r="U433" s="8"/>
    </row>
    <row r="434">
      <c r="A434" s="10" t="s">
        <v>1069</v>
      </c>
      <c r="B434" s="10" t="s">
        <v>1315</v>
      </c>
      <c r="C434" s="12" t="s">
        <v>1561</v>
      </c>
      <c r="D434" s="13" t="s">
        <v>1562</v>
      </c>
      <c r="E434" s="16">
        <f t="array" ref="E434">XLOOKUP(C434,'DATA TK PANEN'!D:D,'DATA TK PANEN'!H:H)</f>
        <v>180</v>
      </c>
      <c r="F434" s="10">
        <f>IFERROR(__xludf.DUMMYFUNCTION("XLOOKUP(C434,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434" s="10">
        <f>IFERROR(__xludf.DUMMYFUNCTION("XLOOKUP($C434,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434" s="10">
        <f>IFERROR(__xludf.DUMMYFUNCTION("XLOOKUP($C434,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434" s="18"/>
      <c r="J434" s="18"/>
      <c r="K434" s="10">
        <f>IFERROR(__xludf.DUMMYFUNCTION("XLOOKUP($C434,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34" s="10">
        <f>IFERROR(__xludf.DUMMYFUNCTION("XLOOKUP($C434,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34" s="8"/>
      <c r="N434" s="8"/>
      <c r="O434" s="8"/>
      <c r="P434" s="8"/>
      <c r="Q434" s="8"/>
      <c r="R434" s="8"/>
      <c r="S434" s="8"/>
      <c r="T434" s="8"/>
      <c r="U434" s="8"/>
    </row>
    <row r="435">
      <c r="A435" s="10" t="s">
        <v>1069</v>
      </c>
      <c r="B435" s="10" t="s">
        <v>1315</v>
      </c>
      <c r="C435" s="12" t="s">
        <v>1566</v>
      </c>
      <c r="D435" s="13" t="s">
        <v>1567</v>
      </c>
      <c r="E435" s="16">
        <f t="array" ref="E435">XLOOKUP(C435,'DATA TK PANEN'!D:D,'DATA TK PANEN'!H:H)</f>
        <v>91.66</v>
      </c>
      <c r="F435" s="10">
        <f>IFERROR(__xludf.DUMMYFUNCTION("XLOOKUP(C435,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(AUTO)'!S6:S""))"),5.0)</f>
        <v>5</v>
      </c>
      <c r="G435" s="10">
        <f>IFERROR(__xludf.DUMMYFUNCTION("XLOOKUP($C435,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435" s="10">
        <f>IFERROR(__xludf.DUMMYFUNCTION("XLOOKUP($C435,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435" s="18"/>
      <c r="J435" s="18"/>
      <c r="K435" s="10">
        <f>IFERROR(__xludf.DUMMYFUNCTION("XLOOKUP($C435,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435" s="10">
        <f>IFERROR(__xludf.DUMMYFUNCTION("XLOOKUP($C435,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35" s="8"/>
      <c r="N435" s="8"/>
      <c r="O435" s="8"/>
      <c r="P435" s="8"/>
      <c r="Q435" s="8"/>
      <c r="R435" s="8"/>
      <c r="S435" s="8"/>
      <c r="T435" s="8"/>
      <c r="U435" s="8"/>
    </row>
    <row r="436">
      <c r="A436" s="10" t="s">
        <v>1069</v>
      </c>
      <c r="B436" s="10" t="s">
        <v>1315</v>
      </c>
      <c r="C436" s="12" t="s">
        <v>1571</v>
      </c>
      <c r="D436" s="13" t="s">
        <v>1572</v>
      </c>
      <c r="E436" s="16">
        <f t="array" ref="E436">XLOOKUP(C436,'DATA TK PANEN'!D:D,'DATA TK PANEN'!H:H)</f>
        <v>190</v>
      </c>
      <c r="F436" s="10" t="str">
        <f>IFERROR(__xludf.DUMMYFUNCTION("XLOOKUP(C436,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36" s="10" t="str">
        <f>IFERROR(__xludf.DUMMYFUNCTION("XLOOKUP($C436,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36" s="10" t="str">
        <f>IFERROR(__xludf.DUMMYFUNCTION("XLOOKUP($C436,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36" s="18"/>
      <c r="J436" s="18"/>
      <c r="K436" s="10" t="str">
        <f>IFERROR(__xludf.DUMMYFUNCTION("XLOOKUP($C436,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36" s="10" t="str">
        <f>IFERROR(__xludf.DUMMYFUNCTION("XLOOKUP($C436,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36" s="8"/>
      <c r="N436" s="8"/>
      <c r="O436" s="8"/>
      <c r="P436" s="8"/>
      <c r="Q436" s="8"/>
      <c r="R436" s="8"/>
      <c r="S436" s="8"/>
      <c r="T436" s="8"/>
      <c r="U436" s="8"/>
    </row>
    <row r="437">
      <c r="A437" s="10" t="s">
        <v>1575</v>
      </c>
      <c r="B437" s="10" t="s">
        <v>1576</v>
      </c>
      <c r="C437" s="12" t="s">
        <v>1577</v>
      </c>
      <c r="D437" s="13" t="s">
        <v>1578</v>
      </c>
      <c r="E437" s="16">
        <f t="array" ref="E437">XLOOKUP(C437,'DATA TK PANEN'!D:D,'DATA TK PANEN'!H:H)</f>
        <v>371</v>
      </c>
      <c r="F437" s="10">
        <f>IFERROR(__xludf.DUMMYFUNCTION("XLOOKUP(C437,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(AUTO)'!S6:S""))"),22.0)</f>
        <v>22</v>
      </c>
      <c r="G437" s="10">
        <f>IFERROR(__xludf.DUMMYFUNCTION("XLOOKUP($C437,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(AUTO)'!T6:T""))"),14.0)</f>
        <v>14</v>
      </c>
      <c r="H437" s="10">
        <f>IFERROR(__xludf.DUMMYFUNCTION("XLOOKUP($C437,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437" s="18"/>
      <c r="J437" s="18"/>
      <c r="K437" s="10">
        <f>IFERROR(__xludf.DUMMYFUNCTION("XLOOKUP($C437,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37" s="10">
        <f>IFERROR(__xludf.DUMMYFUNCTION("XLOOKUP($C437,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437" s="8"/>
      <c r="N437" s="8"/>
      <c r="O437" s="8"/>
      <c r="P437" s="8"/>
      <c r="Q437" s="8"/>
      <c r="R437" s="8"/>
      <c r="S437" s="8"/>
      <c r="T437" s="8"/>
      <c r="U437" s="8"/>
    </row>
    <row r="438">
      <c r="A438" s="10" t="s">
        <v>1575</v>
      </c>
      <c r="B438" s="10" t="s">
        <v>1576</v>
      </c>
      <c r="C438" s="12" t="s">
        <v>1581</v>
      </c>
      <c r="D438" s="13" t="s">
        <v>1582</v>
      </c>
      <c r="E438" s="16">
        <f t="array" ref="E438">XLOOKUP(C438,'DATA TK PANEN'!D:D,'DATA TK PANEN'!H:H)</f>
        <v>395.74</v>
      </c>
      <c r="F438" s="10">
        <f>IFERROR(__xludf.DUMMYFUNCTION("XLOOKUP(C438,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(AUTO)'!S6:S""))"),24.0)</f>
        <v>24</v>
      </c>
      <c r="G438" s="10">
        <f>IFERROR(__xludf.DUMMYFUNCTION("XLOOKUP($C438,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(AUTO)'!T6:T""))"),24.0)</f>
        <v>24</v>
      </c>
      <c r="H438" s="10">
        <f>IFERROR(__xludf.DUMMYFUNCTION("XLOOKUP($C438,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438" s="18"/>
      <c r="J438" s="18"/>
      <c r="K438" s="10">
        <f>IFERROR(__xludf.DUMMYFUNCTION("XLOOKUP($C438,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438" s="10">
        <f>IFERROR(__xludf.DUMMYFUNCTION("XLOOKUP($C438,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(AUTO)'!X6:X""))"),7.0)</f>
        <v>7</v>
      </c>
      <c r="M438" s="8"/>
      <c r="N438" s="8"/>
      <c r="O438" s="8"/>
      <c r="P438" s="8"/>
      <c r="Q438" s="8"/>
      <c r="R438" s="8"/>
      <c r="S438" s="8"/>
      <c r="T438" s="8"/>
      <c r="U438" s="8"/>
    </row>
    <row r="439">
      <c r="A439" s="10" t="s">
        <v>1575</v>
      </c>
      <c r="B439" s="10" t="s">
        <v>1576</v>
      </c>
      <c r="C439" s="12" t="s">
        <v>1585</v>
      </c>
      <c r="D439" s="13" t="s">
        <v>1586</v>
      </c>
      <c r="E439" s="16">
        <f t="array" ref="E439">XLOOKUP(C439,'DATA TK PANEN'!D:D,'DATA TK PANEN'!H:H)</f>
        <v>275.43</v>
      </c>
      <c r="F439" s="10">
        <f>IFERROR(__xludf.DUMMYFUNCTION("XLOOKUP(C439,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439" s="10">
        <f>IFERROR(__xludf.DUMMYFUNCTION("XLOOKUP($C439,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439" s="10">
        <f>IFERROR(__xludf.DUMMYFUNCTION("XLOOKUP($C439,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439" s="18"/>
      <c r="J439" s="18"/>
      <c r="K439" s="10">
        <f>IFERROR(__xludf.DUMMYFUNCTION("XLOOKUP($C439,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439" s="10">
        <f>IFERROR(__xludf.DUMMYFUNCTION("XLOOKUP($C439,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439" s="8"/>
      <c r="N439" s="8"/>
      <c r="O439" s="8"/>
      <c r="P439" s="8"/>
      <c r="Q439" s="8"/>
      <c r="R439" s="8"/>
      <c r="S439" s="8"/>
      <c r="T439" s="8"/>
      <c r="U439" s="8"/>
    </row>
    <row r="440">
      <c r="A440" s="10" t="s">
        <v>1575</v>
      </c>
      <c r="B440" s="10" t="s">
        <v>1576</v>
      </c>
      <c r="C440" s="12" t="s">
        <v>1589</v>
      </c>
      <c r="D440" s="13" t="s">
        <v>1590</v>
      </c>
      <c r="E440" s="16">
        <f t="array" ref="E440">XLOOKUP(C440,'DATA TK PANEN'!D:D,'DATA TK PANEN'!H:H)</f>
        <v>35.89</v>
      </c>
      <c r="F440" s="10">
        <f>IFERROR(__xludf.DUMMYFUNCTION("XLOOKUP(C440,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440" s="10">
        <f>IFERROR(__xludf.DUMMYFUNCTION("XLOOKUP($C440,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(AUTO)'!T6:T""))"),1.0)</f>
        <v>1</v>
      </c>
      <c r="H440" s="10">
        <f>IFERROR(__xludf.DUMMYFUNCTION("XLOOKUP($C440,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(AUTO)'!V6:V""))"),1.0)</f>
        <v>1</v>
      </c>
      <c r="I440" s="18"/>
      <c r="J440" s="18"/>
      <c r="K440" s="10">
        <f>IFERROR(__xludf.DUMMYFUNCTION("XLOOKUP($C440,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440" s="10">
        <f>IFERROR(__xludf.DUMMYFUNCTION("XLOOKUP($C440,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40" s="8"/>
      <c r="N440" s="8"/>
      <c r="O440" s="8"/>
      <c r="P440" s="8"/>
      <c r="Q440" s="8"/>
      <c r="R440" s="8"/>
      <c r="S440" s="8"/>
      <c r="T440" s="8"/>
      <c r="U440" s="8"/>
    </row>
    <row r="441">
      <c r="A441" s="10" t="s">
        <v>1575</v>
      </c>
      <c r="B441" s="10" t="s">
        <v>1576</v>
      </c>
      <c r="C441" s="12" t="s">
        <v>1593</v>
      </c>
      <c r="D441" s="13" t="s">
        <v>1594</v>
      </c>
      <c r="E441" s="16">
        <f t="array" ref="E441">XLOOKUP(C441,'DATA TK PANEN'!D:D,'DATA TK PANEN'!H:H)</f>
        <v>284.77</v>
      </c>
      <c r="F441" s="10">
        <f>IFERROR(__xludf.DUMMYFUNCTION("XLOOKUP(C441,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(AUTO)'!S6:S""))"),17.0)</f>
        <v>17</v>
      </c>
      <c r="G441" s="10">
        <f>IFERROR(__xludf.DUMMYFUNCTION("XLOOKUP($C441,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441" s="10">
        <f>IFERROR(__xludf.DUMMYFUNCTION("XLOOKUP($C441,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441" s="18"/>
      <c r="J441" s="18"/>
      <c r="K441" s="10">
        <f>IFERROR(__xludf.DUMMYFUNCTION("XLOOKUP($C441,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441" s="10">
        <f>IFERROR(__xludf.DUMMYFUNCTION("XLOOKUP($C441,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441" s="8"/>
      <c r="N441" s="8"/>
      <c r="O441" s="8"/>
      <c r="P441" s="8"/>
      <c r="Q441" s="8"/>
      <c r="R441" s="8"/>
      <c r="S441" s="8"/>
      <c r="T441" s="8"/>
      <c r="U441" s="8"/>
    </row>
    <row r="442">
      <c r="A442" s="10" t="s">
        <v>1575</v>
      </c>
      <c r="B442" s="10" t="s">
        <v>1576</v>
      </c>
      <c r="C442" s="12" t="s">
        <v>1596</v>
      </c>
      <c r="D442" s="13" t="s">
        <v>1598</v>
      </c>
      <c r="E442" s="16">
        <f t="array" ref="E442">XLOOKUP(C442,'DATA TK PANEN'!D:D,'DATA TK PANEN'!H:H)</f>
        <v>0</v>
      </c>
      <c r="F442" s="10" t="str">
        <f>IFERROR(__xludf.DUMMYFUNCTION("XLOOKUP(C442,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42" s="10" t="str">
        <f>IFERROR(__xludf.DUMMYFUNCTION("XLOOKUP($C442,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42" s="10">
        <f>IFERROR(__xludf.DUMMYFUNCTION("XLOOKUP($C442,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42" s="18"/>
      <c r="J442" s="18"/>
      <c r="K442" s="10">
        <f>IFERROR(__xludf.DUMMYFUNCTION("XLOOKUP($C442,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42" s="10">
        <f>IFERROR(__xludf.DUMMYFUNCTION("XLOOKUP($C442,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42" s="8"/>
      <c r="N442" s="8"/>
      <c r="O442" s="8"/>
      <c r="P442" s="8"/>
      <c r="Q442" s="8"/>
      <c r="R442" s="8"/>
      <c r="S442" s="8"/>
      <c r="T442" s="8"/>
      <c r="U442" s="8"/>
    </row>
    <row r="443">
      <c r="A443" s="10" t="s">
        <v>1575</v>
      </c>
      <c r="B443" s="10" t="s">
        <v>1576</v>
      </c>
      <c r="C443" s="12" t="s">
        <v>1600</v>
      </c>
      <c r="D443" s="13" t="s">
        <v>1601</v>
      </c>
      <c r="E443" s="16">
        <f t="array" ref="E443">XLOOKUP(C443,'DATA TK PANEN'!D:D,'DATA TK PANEN'!H:H)</f>
        <v>3409.23</v>
      </c>
      <c r="F443" s="10">
        <f>IFERROR(__xludf.DUMMYFUNCTION("XLOOKUP(C443,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(AUTO)'!S6:S""))"),203.0)</f>
        <v>203</v>
      </c>
      <c r="G443" s="10">
        <f>IFERROR(__xludf.DUMMYFUNCTION("XLOOKUP($C443,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(AUTO)'!T6:T""))"),110.0)</f>
        <v>110</v>
      </c>
      <c r="H443" s="10">
        <f>IFERROR(__xludf.DUMMYFUNCTION("XLOOKUP($C443,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(AUTO)'!V6:V""))"),110.0)</f>
        <v>110</v>
      </c>
      <c r="I443" s="18"/>
      <c r="J443" s="18"/>
      <c r="K443" s="10">
        <f>IFERROR(__xludf.DUMMYFUNCTION("XLOOKUP($C443,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(AUTO)'!W6:W""))"),40.0)</f>
        <v>40</v>
      </c>
      <c r="L443" s="10">
        <f>IFERROR(__xludf.DUMMYFUNCTION("XLOOKUP($C443,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(AUTO)'!X6:X""))"),20.0)</f>
        <v>20</v>
      </c>
      <c r="M443" s="8"/>
      <c r="N443" s="8"/>
      <c r="O443" s="8"/>
      <c r="P443" s="8"/>
      <c r="Q443" s="8"/>
      <c r="R443" s="8"/>
      <c r="S443" s="8"/>
      <c r="T443" s="8"/>
      <c r="U443" s="8"/>
    </row>
    <row r="444">
      <c r="A444" s="10" t="s">
        <v>1575</v>
      </c>
      <c r="B444" s="10" t="s">
        <v>1604</v>
      </c>
      <c r="C444" s="12" t="s">
        <v>1605</v>
      </c>
      <c r="D444" s="13" t="s">
        <v>1607</v>
      </c>
      <c r="E444" s="16">
        <f t="array" ref="E444">XLOOKUP(C444,'DATA TK PANEN'!D:D,'DATA TK PANEN'!H:H)</f>
        <v>0</v>
      </c>
      <c r="F444" s="10" t="str">
        <f>IFERROR(__xludf.DUMMYFUNCTION("XLOOKUP(C444,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44" s="10" t="str">
        <f>IFERROR(__xludf.DUMMYFUNCTION("XLOOKUP($C444,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44" s="10" t="str">
        <f>IFERROR(__xludf.DUMMYFUNCTION("XLOOKUP($C444,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44" s="18"/>
      <c r="J444" s="18"/>
      <c r="K444" s="10" t="str">
        <f>IFERROR(__xludf.DUMMYFUNCTION("XLOOKUP($C444,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44" s="10" t="str">
        <f>IFERROR(__xludf.DUMMYFUNCTION("XLOOKUP($C444,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44" s="8"/>
      <c r="N444" s="8"/>
      <c r="O444" s="8"/>
      <c r="P444" s="8"/>
      <c r="Q444" s="8"/>
      <c r="R444" s="8"/>
      <c r="S444" s="8"/>
      <c r="T444" s="8"/>
      <c r="U444" s="8"/>
    </row>
    <row r="445">
      <c r="A445" s="10" t="s">
        <v>1575</v>
      </c>
      <c r="B445" s="10" t="s">
        <v>1604</v>
      </c>
      <c r="C445" s="12" t="s">
        <v>1610</v>
      </c>
      <c r="D445" s="13" t="s">
        <v>1611</v>
      </c>
      <c r="E445" s="16">
        <f t="array" ref="E445">XLOOKUP(C445,'DATA TK PANEN'!D:D,'DATA TK PANEN'!H:H)</f>
        <v>221</v>
      </c>
      <c r="F445" s="10">
        <f>IFERROR(__xludf.DUMMYFUNCTION("XLOOKUP(C445,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445" s="10">
        <f>IFERROR(__xludf.DUMMYFUNCTION("XLOOKUP($C445,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445" s="10">
        <f>IFERROR(__xludf.DUMMYFUNCTION("XLOOKUP($C445,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445" s="18"/>
      <c r="J445" s="18"/>
      <c r="K445" s="10" t="str">
        <f>IFERROR(__xludf.DUMMYFUNCTION("XLOOKUP($C445,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45" s="10" t="str">
        <f>IFERROR(__xludf.DUMMYFUNCTION("XLOOKUP($C445,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45" s="8"/>
      <c r="N445" s="8"/>
      <c r="O445" s="8"/>
      <c r="P445" s="8"/>
      <c r="Q445" s="8"/>
      <c r="R445" s="8"/>
      <c r="S445" s="8"/>
      <c r="T445" s="8"/>
      <c r="U445" s="8"/>
    </row>
    <row r="446">
      <c r="A446" s="10" t="s">
        <v>1575</v>
      </c>
      <c r="B446" s="10" t="s">
        <v>1604</v>
      </c>
      <c r="C446" s="12" t="s">
        <v>1613</v>
      </c>
      <c r="D446" s="13" t="s">
        <v>1614</v>
      </c>
      <c r="E446" s="16">
        <f t="array" ref="E446">XLOOKUP(C446,'DATA TK PANEN'!D:D,'DATA TK PANEN'!H:H)</f>
        <v>0</v>
      </c>
      <c r="F446" s="10">
        <f>IFERROR(__xludf.DUMMYFUNCTION("XLOOKUP(C446,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446" s="10">
        <f>IFERROR(__xludf.DUMMYFUNCTION("XLOOKUP($C446,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46" s="10" t="str">
        <f>IFERROR(__xludf.DUMMYFUNCTION("XLOOKUP($C446,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46" s="18"/>
      <c r="J446" s="18"/>
      <c r="K446" s="10" t="str">
        <f>IFERROR(__xludf.DUMMYFUNCTION("XLOOKUP($C446,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46" s="10" t="str">
        <f>IFERROR(__xludf.DUMMYFUNCTION("XLOOKUP($C446,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46" s="8"/>
      <c r="N446" s="8"/>
      <c r="O446" s="8"/>
      <c r="P446" s="8"/>
      <c r="Q446" s="8"/>
      <c r="R446" s="8"/>
      <c r="S446" s="8"/>
      <c r="T446" s="8"/>
      <c r="U446" s="8"/>
    </row>
    <row r="447">
      <c r="A447" s="10" t="s">
        <v>1575</v>
      </c>
      <c r="B447" s="10" t="s">
        <v>1604</v>
      </c>
      <c r="C447" s="12" t="s">
        <v>1616</v>
      </c>
      <c r="D447" s="13" t="s">
        <v>1618</v>
      </c>
      <c r="E447" s="16">
        <f t="array" ref="E447">XLOOKUP(C447,'DATA TK PANEN'!D:D,'DATA TK PANEN'!H:H)</f>
        <v>0</v>
      </c>
      <c r="F447" s="10">
        <f>IFERROR(__xludf.DUMMYFUNCTION("XLOOKUP(C447,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447" s="10">
        <f>IFERROR(__xludf.DUMMYFUNCTION("XLOOKUP($C447,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47" s="10" t="str">
        <f>IFERROR(__xludf.DUMMYFUNCTION("XLOOKUP($C447,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47" s="18"/>
      <c r="J447" s="18"/>
      <c r="K447" s="10" t="str">
        <f>IFERROR(__xludf.DUMMYFUNCTION("XLOOKUP($C447,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47" s="10" t="str">
        <f>IFERROR(__xludf.DUMMYFUNCTION("XLOOKUP($C447,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47" s="8"/>
      <c r="N447" s="8"/>
      <c r="O447" s="8"/>
      <c r="P447" s="8"/>
      <c r="Q447" s="8"/>
      <c r="R447" s="8"/>
      <c r="S447" s="8"/>
      <c r="T447" s="8"/>
      <c r="U447" s="8"/>
    </row>
    <row r="448">
      <c r="A448" s="10" t="s">
        <v>1575</v>
      </c>
      <c r="B448" s="10" t="s">
        <v>1604</v>
      </c>
      <c r="C448" s="12" t="s">
        <v>1621</v>
      </c>
      <c r="D448" s="13" t="s">
        <v>1622</v>
      </c>
      <c r="E448" s="16">
        <f t="array" ref="E448">XLOOKUP(C448,'DATA TK PANEN'!D:D,'DATA TK PANEN'!H:H)</f>
        <v>441.38</v>
      </c>
      <c r="F448" s="10">
        <f>IFERROR(__xludf.DUMMYFUNCTION("XLOOKUP(C448,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(AUTO)'!S6:S""))"),26.0)</f>
        <v>26</v>
      </c>
      <c r="G448" s="10">
        <f>IFERROR(__xludf.DUMMYFUNCTION("XLOOKUP($C448,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(AUTO)'!T6:T""))"),17.0)</f>
        <v>17</v>
      </c>
      <c r="H448" s="10">
        <f>IFERROR(__xludf.DUMMYFUNCTION("XLOOKUP($C448,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(AUTO)'!V6:V""))"),17.0)</f>
        <v>17</v>
      </c>
      <c r="I448" s="18"/>
      <c r="J448" s="18"/>
      <c r="K448" s="10">
        <f>IFERROR(__xludf.DUMMYFUNCTION("XLOOKUP($C448,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(AUTO)'!W6:W""))"),9.0)</f>
        <v>9</v>
      </c>
      <c r="L448" s="10" t="str">
        <f>IFERROR(__xludf.DUMMYFUNCTION("XLOOKUP($C448,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48" s="8"/>
      <c r="N448" s="8"/>
      <c r="O448" s="8"/>
      <c r="P448" s="8"/>
      <c r="Q448" s="8"/>
      <c r="R448" s="8"/>
      <c r="S448" s="8"/>
      <c r="T448" s="8"/>
      <c r="U448" s="8"/>
    </row>
    <row r="449">
      <c r="A449" s="10" t="s">
        <v>1575</v>
      </c>
      <c r="B449" s="10" t="s">
        <v>1604</v>
      </c>
      <c r="C449" s="12" t="s">
        <v>1625</v>
      </c>
      <c r="D449" s="13" t="s">
        <v>1627</v>
      </c>
      <c r="E449" s="16">
        <f t="array" ref="E449">XLOOKUP(C449,'DATA TK PANEN'!D:D,'DATA TK PANEN'!H:H)</f>
        <v>129.81</v>
      </c>
      <c r="F449" s="10">
        <f>IFERROR(__xludf.DUMMYFUNCTION("XLOOKUP(C449,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449" s="10">
        <f>IFERROR(__xludf.DUMMYFUNCTION("XLOOKUP($C449,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449" s="10">
        <f>IFERROR(__xludf.DUMMYFUNCTION("XLOOKUP($C449,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449" s="18"/>
      <c r="J449" s="18"/>
      <c r="K449" s="10" t="str">
        <f>IFERROR(__xludf.DUMMYFUNCTION("XLOOKUP($C449,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49" s="10">
        <f>IFERROR(__xludf.DUMMYFUNCTION("XLOOKUP($C449,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449" s="8"/>
      <c r="N449" s="8"/>
      <c r="O449" s="8"/>
      <c r="P449" s="8"/>
      <c r="Q449" s="8"/>
      <c r="R449" s="8"/>
      <c r="S449" s="8"/>
      <c r="T449" s="8"/>
      <c r="U449" s="8"/>
    </row>
    <row r="450">
      <c r="A450" s="10" t="s">
        <v>1575</v>
      </c>
      <c r="B450" s="10" t="s">
        <v>1604</v>
      </c>
      <c r="C450" s="12" t="s">
        <v>1630</v>
      </c>
      <c r="D450" s="13" t="s">
        <v>1631</v>
      </c>
      <c r="E450" s="16">
        <f t="array" ref="E450">XLOOKUP(C450,'DATA TK PANEN'!D:D,'DATA TK PANEN'!H:H)</f>
        <v>1009.79</v>
      </c>
      <c r="F450" s="10">
        <f>IFERROR(__xludf.DUMMYFUNCTION("XLOOKUP(C450,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(AUTO)'!S6:S""))"),61.0)</f>
        <v>61</v>
      </c>
      <c r="G450" s="10">
        <f>IFERROR(__xludf.DUMMYFUNCTION("XLOOKUP($C450,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(AUTO)'!T6:T""))"),24.0)</f>
        <v>24</v>
      </c>
      <c r="H450" s="10">
        <f>IFERROR(__xludf.DUMMYFUNCTION("XLOOKUP($C450,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(AUTO)'!V6:V""))"),30.0)</f>
        <v>30</v>
      </c>
      <c r="I450" s="18"/>
      <c r="J450" s="18"/>
      <c r="K450" s="10">
        <f>IFERROR(__xludf.DUMMYFUNCTION("XLOOKUP($C450,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450" s="10">
        <f>IFERROR(__xludf.DUMMYFUNCTION("XLOOKUP($C450,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450" s="8"/>
      <c r="N450" s="8"/>
      <c r="O450" s="8"/>
      <c r="P450" s="8"/>
      <c r="Q450" s="8"/>
      <c r="R450" s="8"/>
      <c r="S450" s="8"/>
      <c r="T450" s="8"/>
      <c r="U450" s="8"/>
    </row>
    <row r="451">
      <c r="A451" s="10" t="s">
        <v>1575</v>
      </c>
      <c r="B451" s="10" t="s">
        <v>1604</v>
      </c>
      <c r="C451" s="12" t="s">
        <v>1636</v>
      </c>
      <c r="D451" s="13" t="s">
        <v>1638</v>
      </c>
      <c r="E451" s="16">
        <f t="array" ref="E451">XLOOKUP(C451,'DATA TK PANEN'!D:D,'DATA TK PANEN'!H:H)</f>
        <v>13.21</v>
      </c>
      <c r="F451" s="10">
        <f>IFERROR(__xludf.DUMMYFUNCTION("XLOOKUP(C451,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451" s="10">
        <f>IFERROR(__xludf.DUMMYFUNCTION("XLOOKUP($C451,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451" s="10">
        <f>IFERROR(__xludf.DUMMYFUNCTION("XLOOKUP($C451,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451" s="18"/>
      <c r="J451" s="18"/>
      <c r="K451" s="10">
        <f>IFERROR(__xludf.DUMMYFUNCTION("XLOOKUP($C451,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51" s="10">
        <f>IFERROR(__xludf.DUMMYFUNCTION("XLOOKUP($C451,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51" s="8"/>
      <c r="N451" s="8"/>
      <c r="O451" s="8"/>
      <c r="P451" s="8"/>
      <c r="Q451" s="8"/>
      <c r="R451" s="8"/>
      <c r="S451" s="8"/>
      <c r="T451" s="8"/>
      <c r="U451" s="8"/>
    </row>
    <row r="452">
      <c r="A452" s="10" t="s">
        <v>1575</v>
      </c>
      <c r="B452" s="10" t="s">
        <v>1604</v>
      </c>
      <c r="C452" s="12" t="s">
        <v>1640</v>
      </c>
      <c r="D452" s="13" t="s">
        <v>1641</v>
      </c>
      <c r="E452" s="16">
        <f t="array" ref="E452">XLOOKUP(C452,'DATA TK PANEN'!D:D,'DATA TK PANEN'!H:H)</f>
        <v>585</v>
      </c>
      <c r="F452" s="10">
        <f>IFERROR(__xludf.DUMMYFUNCTION("XLOOKUP(C452,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(AUTO)'!S6:S""))"),35.0)</f>
        <v>35</v>
      </c>
      <c r="G452" s="10">
        <f>IFERROR(__xludf.DUMMYFUNCTION("XLOOKUP($C452,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452" s="10">
        <f>IFERROR(__xludf.DUMMYFUNCTION("XLOOKUP($C452,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452" s="18"/>
      <c r="J452" s="18"/>
      <c r="K452" s="10">
        <f>IFERROR(__xludf.DUMMYFUNCTION("XLOOKUP($C452,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452" s="10">
        <f>IFERROR(__xludf.DUMMYFUNCTION("XLOOKUP($C452,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452" s="8"/>
      <c r="N452" s="8"/>
      <c r="O452" s="8"/>
      <c r="P452" s="8"/>
      <c r="Q452" s="8"/>
      <c r="R452" s="8"/>
      <c r="S452" s="8"/>
      <c r="T452" s="8"/>
      <c r="U452" s="8"/>
    </row>
    <row r="453">
      <c r="A453" s="10" t="s">
        <v>1575</v>
      </c>
      <c r="B453" s="10" t="s">
        <v>1604</v>
      </c>
      <c r="C453" s="12" t="s">
        <v>1644</v>
      </c>
      <c r="D453" s="13" t="s">
        <v>1645</v>
      </c>
      <c r="E453" s="16">
        <f t="array" ref="E453">XLOOKUP(C453,'DATA TK PANEN'!D:D,'DATA TK PANEN'!H:H)</f>
        <v>445.04</v>
      </c>
      <c r="F453" s="10">
        <f>IFERROR(__xludf.DUMMYFUNCTION("XLOOKUP(C453,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(AUTO)'!S6:S""))"),27.0)</f>
        <v>27</v>
      </c>
      <c r="G453" s="10">
        <f>IFERROR(__xludf.DUMMYFUNCTION("XLOOKUP($C453,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453" s="10">
        <f>IFERROR(__xludf.DUMMYFUNCTION("XLOOKUP($C453,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453" s="18"/>
      <c r="J453" s="18"/>
      <c r="K453" s="10">
        <f>IFERROR(__xludf.DUMMYFUNCTION("XLOOKUP($C453,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(AUTO)'!W6:W""))"),7.0)</f>
        <v>7</v>
      </c>
      <c r="L453" s="10">
        <f>IFERROR(__xludf.DUMMYFUNCTION("XLOOKUP($C453,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453" s="8"/>
      <c r="N453" s="8"/>
      <c r="O453" s="8"/>
      <c r="P453" s="8"/>
      <c r="Q453" s="8"/>
      <c r="R453" s="8"/>
      <c r="S453" s="8"/>
      <c r="T453" s="8"/>
      <c r="U453" s="8"/>
    </row>
    <row r="454">
      <c r="A454" s="10" t="s">
        <v>1575</v>
      </c>
      <c r="B454" s="10" t="s">
        <v>1604</v>
      </c>
      <c r="C454" s="12" t="s">
        <v>1649</v>
      </c>
      <c r="D454" s="13" t="s">
        <v>1650</v>
      </c>
      <c r="E454" s="16">
        <f t="array" ref="E454">XLOOKUP(C454,'DATA TK PANEN'!D:D,'DATA TK PANEN'!H:H)</f>
        <v>1.06</v>
      </c>
      <c r="F454" s="10">
        <f>IFERROR(__xludf.DUMMYFUNCTION("XLOOKUP(C454,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454" s="10">
        <f>IFERROR(__xludf.DUMMYFUNCTION("XLOOKUP($C454,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54" s="10">
        <f>IFERROR(__xludf.DUMMYFUNCTION("XLOOKUP($C454,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54" s="18"/>
      <c r="J454" s="18"/>
      <c r="K454" s="10" t="str">
        <f>IFERROR(__xludf.DUMMYFUNCTION("XLOOKUP($C454,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54" s="10" t="str">
        <f>IFERROR(__xludf.DUMMYFUNCTION("XLOOKUP($C454,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54" s="8"/>
      <c r="N454" s="8"/>
      <c r="O454" s="8"/>
      <c r="P454" s="8"/>
      <c r="Q454" s="8"/>
      <c r="R454" s="8"/>
      <c r="S454" s="8"/>
      <c r="T454" s="8"/>
      <c r="U454" s="8"/>
    </row>
    <row r="455">
      <c r="A455" s="10" t="s">
        <v>1575</v>
      </c>
      <c r="B455" s="10" t="s">
        <v>1604</v>
      </c>
      <c r="C455" s="12" t="s">
        <v>1653</v>
      </c>
      <c r="D455" s="13" t="s">
        <v>1654</v>
      </c>
      <c r="E455" s="16">
        <f t="array" ref="E455">XLOOKUP(C455,'DATA TK PANEN'!D:D,'DATA TK PANEN'!H:H)</f>
        <v>9.3</v>
      </c>
      <c r="F455" s="10">
        <f>IFERROR(__xludf.DUMMYFUNCTION("XLOOKUP(C455,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455" s="10">
        <f>IFERROR(__xludf.DUMMYFUNCTION("XLOOKUP($C455,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55" s="10">
        <f>IFERROR(__xludf.DUMMYFUNCTION("XLOOKUP($C455,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55" s="18"/>
      <c r="J455" s="18"/>
      <c r="K455" s="10" t="str">
        <f>IFERROR(__xludf.DUMMYFUNCTION("XLOOKUP($C455,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55" s="10" t="str">
        <f>IFERROR(__xludf.DUMMYFUNCTION("XLOOKUP($C455,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55" s="8"/>
      <c r="N455" s="8"/>
      <c r="O455" s="8"/>
      <c r="P455" s="8"/>
      <c r="Q455" s="8"/>
      <c r="R455" s="8"/>
      <c r="S455" s="8"/>
      <c r="T455" s="8"/>
      <c r="U455" s="8"/>
    </row>
    <row r="456">
      <c r="A456" s="10" t="s">
        <v>1575</v>
      </c>
      <c r="B456" s="10" t="s">
        <v>1657</v>
      </c>
      <c r="C456" s="12" t="s">
        <v>1659</v>
      </c>
      <c r="D456" s="13" t="s">
        <v>1660</v>
      </c>
      <c r="E456" s="16">
        <f t="array" ref="E456">XLOOKUP(C456,'DATA TK PANEN'!D:D,'DATA TK PANEN'!H:H)</f>
        <v>370</v>
      </c>
      <c r="F456" s="10">
        <f>IFERROR(__xludf.DUMMYFUNCTION("XLOOKUP(C456,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(AUTO)'!S6:S""))"),22.2)</f>
        <v>22.2</v>
      </c>
      <c r="G456" s="10">
        <f>IFERROR(__xludf.DUMMYFUNCTION("XLOOKUP($C456,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56" s="10">
        <f>IFERROR(__xludf.DUMMYFUNCTION("XLOOKUP($C456,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56" s="18"/>
      <c r="J456" s="18"/>
      <c r="K456" s="10" t="str">
        <f>IFERROR(__xludf.DUMMYFUNCTION("XLOOKUP($C456,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56" s="10">
        <f>IFERROR(__xludf.DUMMYFUNCTION("XLOOKUP($C456,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(AUTO)'!X6:X""))"),22.0)</f>
        <v>22</v>
      </c>
      <c r="M456" s="8"/>
      <c r="N456" s="8"/>
      <c r="O456" s="8"/>
      <c r="P456" s="8"/>
      <c r="Q456" s="8"/>
      <c r="R456" s="8"/>
      <c r="S456" s="8"/>
      <c r="T456" s="8"/>
      <c r="U456" s="8"/>
    </row>
    <row r="457">
      <c r="A457" s="10" t="s">
        <v>1575</v>
      </c>
      <c r="B457" s="10" t="s">
        <v>1657</v>
      </c>
      <c r="C457" s="12" t="s">
        <v>1664</v>
      </c>
      <c r="D457" s="13" t="s">
        <v>1665</v>
      </c>
      <c r="E457" s="16">
        <f t="array" ref="E457">XLOOKUP(C457,'DATA TK PANEN'!D:D,'DATA TK PANEN'!H:H)</f>
        <v>209.4</v>
      </c>
      <c r="F457" s="10">
        <f>IFERROR(__xludf.DUMMYFUNCTION("XLOOKUP(C457,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(AUTO)'!S6:S""))"),12.564)</f>
        <v>12.564</v>
      </c>
      <c r="G457" s="10">
        <f>IFERROR(__xludf.DUMMYFUNCTION("XLOOKUP($C457,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457" s="10">
        <f>IFERROR(__xludf.DUMMYFUNCTION("XLOOKUP($C457,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457" s="18"/>
      <c r="J457" s="18"/>
      <c r="K457" s="10" t="str">
        <f>IFERROR(__xludf.DUMMYFUNCTION("XLOOKUP($C457,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57" s="10">
        <f>IFERROR(__xludf.DUMMYFUNCTION("XLOOKUP($C457,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(AUTO)'!X6:X""))"),13.0)</f>
        <v>13</v>
      </c>
      <c r="M457" s="8"/>
      <c r="N457" s="8"/>
      <c r="O457" s="8"/>
      <c r="P457" s="8"/>
      <c r="Q457" s="8"/>
      <c r="R457" s="8"/>
      <c r="S457" s="8"/>
      <c r="T457" s="8"/>
      <c r="U457" s="8"/>
    </row>
    <row r="458">
      <c r="A458" s="10" t="s">
        <v>1575</v>
      </c>
      <c r="B458" s="10" t="s">
        <v>1657</v>
      </c>
      <c r="C458" s="12" t="s">
        <v>1668</v>
      </c>
      <c r="D458" s="13" t="s">
        <v>1669</v>
      </c>
      <c r="E458" s="16">
        <f t="array" ref="E458">XLOOKUP(C458,'DATA TK PANEN'!D:D,'DATA TK PANEN'!H:H)</f>
        <v>118.29</v>
      </c>
      <c r="F458" s="10">
        <f>IFERROR(__xludf.DUMMYFUNCTION("XLOOKUP(C458,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(AUTO)'!S6:S""))"),7.0974)</f>
        <v>7.0974</v>
      </c>
      <c r="G458" s="10">
        <f>IFERROR(__xludf.DUMMYFUNCTION("XLOOKUP($C458,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458" s="10">
        <f>IFERROR(__xludf.DUMMYFUNCTION("XLOOKUP($C458,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458" s="18"/>
      <c r="J458" s="18"/>
      <c r="K458" s="10">
        <f>IFERROR(__xludf.DUMMYFUNCTION("XLOOKUP($C458,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458" s="10" t="str">
        <f>IFERROR(__xludf.DUMMYFUNCTION("XLOOKUP($C458,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58" s="8"/>
      <c r="N458" s="8"/>
      <c r="O458" s="8"/>
      <c r="P458" s="8"/>
      <c r="Q458" s="8"/>
      <c r="R458" s="8"/>
      <c r="S458" s="8"/>
      <c r="T458" s="8"/>
      <c r="U458" s="8"/>
    </row>
    <row r="459">
      <c r="A459" s="10" t="s">
        <v>1575</v>
      </c>
      <c r="B459" s="10" t="s">
        <v>1671</v>
      </c>
      <c r="C459" s="12" t="s">
        <v>1672</v>
      </c>
      <c r="D459" s="13" t="s">
        <v>1674</v>
      </c>
      <c r="E459" s="16">
        <f t="array" ref="E459">XLOOKUP(C459,'DATA TK PANEN'!D:D,'DATA TK PANEN'!H:H)</f>
        <v>0</v>
      </c>
      <c r="F459" s="10" t="str">
        <f>IFERROR(__xludf.DUMMYFUNCTION("XLOOKUP(C459,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59" s="10" t="str">
        <f>IFERROR(__xludf.DUMMYFUNCTION("XLOOKUP($C459,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59" s="10" t="str">
        <f>IFERROR(__xludf.DUMMYFUNCTION("XLOOKUP($C459,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59" s="18"/>
      <c r="J459" s="18"/>
      <c r="K459" s="10" t="str">
        <f>IFERROR(__xludf.DUMMYFUNCTION("XLOOKUP($C459,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59" s="10" t="str">
        <f>IFERROR(__xludf.DUMMYFUNCTION("XLOOKUP($C459,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59" s="8"/>
      <c r="N459" s="8"/>
      <c r="O459" s="8"/>
      <c r="P459" s="8"/>
      <c r="Q459" s="8"/>
      <c r="R459" s="8"/>
      <c r="S459" s="8"/>
      <c r="T459" s="8"/>
      <c r="U459" s="8"/>
    </row>
    <row r="460">
      <c r="A460" s="10" t="s">
        <v>1575</v>
      </c>
      <c r="B460" s="10" t="s">
        <v>1671</v>
      </c>
      <c r="C460" s="12" t="s">
        <v>1676</v>
      </c>
      <c r="D460" s="13" t="s">
        <v>1677</v>
      </c>
      <c r="E460" s="16">
        <f t="array" ref="E460">XLOOKUP(C460,'DATA TK PANEN'!D:D,'DATA TK PANEN'!H:H)</f>
        <v>261.75</v>
      </c>
      <c r="F460" s="10">
        <f>IFERROR(__xludf.DUMMYFUNCTION("XLOOKUP(C460,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460" s="10">
        <f>IFERROR(__xludf.DUMMYFUNCTION("XLOOKUP($C460,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460" s="10">
        <f>IFERROR(__xludf.DUMMYFUNCTION("XLOOKUP($C460,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460" s="18"/>
      <c r="J460" s="18"/>
      <c r="K460" s="10">
        <f>IFERROR(__xludf.DUMMYFUNCTION("XLOOKUP($C460,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60" s="10">
        <f>IFERROR(__xludf.DUMMYFUNCTION("XLOOKUP($C460,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60" s="8"/>
      <c r="N460" s="8"/>
      <c r="O460" s="8"/>
      <c r="P460" s="8"/>
      <c r="Q460" s="8"/>
      <c r="R460" s="8"/>
      <c r="S460" s="8"/>
      <c r="T460" s="8"/>
      <c r="U460" s="8"/>
    </row>
    <row r="461">
      <c r="A461" s="10" t="s">
        <v>1575</v>
      </c>
      <c r="B461" s="10" t="s">
        <v>1671</v>
      </c>
      <c r="C461" s="12" t="s">
        <v>1680</v>
      </c>
      <c r="D461" s="13" t="s">
        <v>1682</v>
      </c>
      <c r="E461" s="16">
        <f t="array" ref="E461">XLOOKUP(C461,'DATA TK PANEN'!D:D,'DATA TK PANEN'!H:H)</f>
        <v>97</v>
      </c>
      <c r="F461" s="10">
        <f>IFERROR(__xludf.DUMMYFUNCTION("XLOOKUP(C461,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461" s="10">
        <f>IFERROR(__xludf.DUMMYFUNCTION("XLOOKUP($C461,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461" s="10">
        <f>IFERROR(__xludf.DUMMYFUNCTION("XLOOKUP($C461,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461" s="18"/>
      <c r="J461" s="18"/>
      <c r="K461" s="10">
        <f>IFERROR(__xludf.DUMMYFUNCTION("XLOOKUP($C461,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61" s="10">
        <f>IFERROR(__xludf.DUMMYFUNCTION("XLOOKUP($C461,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61" s="8"/>
      <c r="N461" s="8"/>
      <c r="O461" s="8"/>
      <c r="P461" s="8"/>
      <c r="Q461" s="8"/>
      <c r="R461" s="8"/>
      <c r="S461" s="8"/>
      <c r="T461" s="8"/>
      <c r="U461" s="8"/>
    </row>
    <row r="462">
      <c r="A462" s="10" t="s">
        <v>1575</v>
      </c>
      <c r="B462" s="10" t="s">
        <v>1671</v>
      </c>
      <c r="C462" s="12" t="s">
        <v>1685</v>
      </c>
      <c r="D462" s="13" t="s">
        <v>1686</v>
      </c>
      <c r="E462" s="16" t="str">
        <f t="array" ref="E462">XLOOKUP(C462,'DATA TK PANEN'!D:D,'DATA TK PANEN'!H:H)</f>
        <v>Tidak Ditemukan</v>
      </c>
      <c r="F462" s="10" t="str">
        <f>IFERROR(__xludf.DUMMYFUNCTION("XLOOKUP(C462,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2" s="10" t="str">
        <f>IFERROR(__xludf.DUMMYFUNCTION("XLOOKUP($C462,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2" s="10" t="str">
        <f>IFERROR(__xludf.DUMMYFUNCTION("XLOOKUP($C462,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2" s="18"/>
      <c r="J462" s="18"/>
      <c r="K462" s="10" t="str">
        <f>IFERROR(__xludf.DUMMYFUNCTION("XLOOKUP($C462,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2" s="10" t="str">
        <f>IFERROR(__xludf.DUMMYFUNCTION("XLOOKUP($C462,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2" s="8"/>
      <c r="N462" s="8"/>
      <c r="O462" s="8"/>
      <c r="P462" s="8"/>
      <c r="Q462" s="8"/>
      <c r="R462" s="8"/>
      <c r="S462" s="8"/>
      <c r="T462" s="8"/>
      <c r="U462" s="8"/>
    </row>
    <row r="463">
      <c r="A463" s="10" t="s">
        <v>1575</v>
      </c>
      <c r="B463" s="10" t="s">
        <v>1671</v>
      </c>
      <c r="C463" s="12" t="s">
        <v>1689</v>
      </c>
      <c r="D463" s="13" t="s">
        <v>1690</v>
      </c>
      <c r="E463" s="16">
        <f t="array" ref="E463">XLOOKUP(C463,'DATA TK PANEN'!D:D,'DATA TK PANEN'!H:H)</f>
        <v>0</v>
      </c>
      <c r="F463" s="10" t="str">
        <f>IFERROR(__xludf.DUMMYFUNCTION("XLOOKUP(C463,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3" s="10" t="str">
        <f>IFERROR(__xludf.DUMMYFUNCTION("XLOOKUP($C463,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3" s="10" t="str">
        <f>IFERROR(__xludf.DUMMYFUNCTION("XLOOKUP($C463,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3" s="18"/>
      <c r="J463" s="18"/>
      <c r="K463" s="10" t="str">
        <f>IFERROR(__xludf.DUMMYFUNCTION("XLOOKUP($C463,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3" s="10" t="str">
        <f>IFERROR(__xludf.DUMMYFUNCTION("XLOOKUP($C463,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3" s="8"/>
      <c r="N463" s="8"/>
      <c r="O463" s="8"/>
      <c r="P463" s="8"/>
      <c r="Q463" s="8"/>
      <c r="R463" s="8"/>
      <c r="S463" s="8"/>
      <c r="T463" s="8"/>
      <c r="U463" s="8"/>
    </row>
    <row r="464">
      <c r="A464" s="10" t="s">
        <v>1575</v>
      </c>
      <c r="B464" s="10" t="s">
        <v>1671</v>
      </c>
      <c r="C464" s="12" t="s">
        <v>1693</v>
      </c>
      <c r="D464" s="13" t="s">
        <v>1694</v>
      </c>
      <c r="E464" s="16">
        <f t="array" ref="E464">XLOOKUP(C464,'DATA TK PANEN'!D:D,'DATA TK PANEN'!H:H)</f>
        <v>0</v>
      </c>
      <c r="F464" s="10" t="str">
        <f>IFERROR(__xludf.DUMMYFUNCTION("XLOOKUP(C464,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4" s="10" t="str">
        <f>IFERROR(__xludf.DUMMYFUNCTION("XLOOKUP($C464,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4" s="10" t="str">
        <f>IFERROR(__xludf.DUMMYFUNCTION("XLOOKUP($C464,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4" s="18"/>
      <c r="J464" s="18"/>
      <c r="K464" s="10" t="str">
        <f>IFERROR(__xludf.DUMMYFUNCTION("XLOOKUP($C464,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4" s="10" t="str">
        <f>IFERROR(__xludf.DUMMYFUNCTION("XLOOKUP($C464,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4" s="8"/>
      <c r="N464" s="8"/>
      <c r="O464" s="8"/>
      <c r="P464" s="8"/>
      <c r="Q464" s="8"/>
      <c r="R464" s="8"/>
      <c r="S464" s="8"/>
      <c r="T464" s="8"/>
      <c r="U464" s="8"/>
    </row>
    <row r="465">
      <c r="A465" s="10" t="s">
        <v>1575</v>
      </c>
      <c r="B465" s="10" t="s">
        <v>1671</v>
      </c>
      <c r="C465" s="12" t="s">
        <v>1697</v>
      </c>
      <c r="D465" s="13" t="s">
        <v>1698</v>
      </c>
      <c r="E465" s="16">
        <f t="array" ref="E465">XLOOKUP(C465,'DATA TK PANEN'!D:D,'DATA TK PANEN'!H:H)</f>
        <v>0</v>
      </c>
      <c r="F465" s="10" t="str">
        <f>IFERROR(__xludf.DUMMYFUNCTION("XLOOKUP(C465,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5" s="10" t="str">
        <f>IFERROR(__xludf.DUMMYFUNCTION("XLOOKUP($C465,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5" s="10" t="str">
        <f>IFERROR(__xludf.DUMMYFUNCTION("XLOOKUP($C465,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5" s="18"/>
      <c r="J465" s="18"/>
      <c r="K465" s="10" t="str">
        <f>IFERROR(__xludf.DUMMYFUNCTION("XLOOKUP($C465,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5" s="10" t="str">
        <f>IFERROR(__xludf.DUMMYFUNCTION("XLOOKUP($C465,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5" s="8"/>
      <c r="N465" s="8"/>
      <c r="O465" s="8"/>
      <c r="P465" s="8"/>
      <c r="Q465" s="8"/>
      <c r="R465" s="8"/>
      <c r="S465" s="8"/>
      <c r="T465" s="8"/>
      <c r="U465" s="8"/>
    </row>
    <row r="466">
      <c r="A466" s="10" t="s">
        <v>1575</v>
      </c>
      <c r="B466" s="10" t="s">
        <v>1671</v>
      </c>
      <c r="C466" s="12" t="s">
        <v>1701</v>
      </c>
      <c r="D466" s="13" t="s">
        <v>1703</v>
      </c>
      <c r="E466" s="16">
        <f t="array" ref="E466">XLOOKUP(C466,'DATA TK PANEN'!D:D,'DATA TK PANEN'!H:H)</f>
        <v>0</v>
      </c>
      <c r="F466" s="10" t="str">
        <f>IFERROR(__xludf.DUMMYFUNCTION("XLOOKUP(C466,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6" s="10" t="str">
        <f>IFERROR(__xludf.DUMMYFUNCTION("XLOOKUP($C466,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6" s="10" t="str">
        <f>IFERROR(__xludf.DUMMYFUNCTION("XLOOKUP($C466,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6" s="18"/>
      <c r="J466" s="18"/>
      <c r="K466" s="10" t="str">
        <f>IFERROR(__xludf.DUMMYFUNCTION("XLOOKUP($C466,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6" s="10" t="str">
        <f>IFERROR(__xludf.DUMMYFUNCTION("XLOOKUP($C466,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6" s="8"/>
      <c r="N466" s="8"/>
      <c r="O466" s="8"/>
      <c r="P466" s="8"/>
      <c r="Q466" s="8"/>
      <c r="R466" s="8"/>
      <c r="S466" s="8"/>
      <c r="T466" s="8"/>
      <c r="U466" s="8"/>
    </row>
    <row r="467">
      <c r="A467" s="10" t="s">
        <v>1575</v>
      </c>
      <c r="B467" s="10" t="s">
        <v>1671</v>
      </c>
      <c r="C467" s="12" t="s">
        <v>1706</v>
      </c>
      <c r="D467" s="13" t="s">
        <v>1707</v>
      </c>
      <c r="E467" s="16">
        <f t="array" ref="E467">XLOOKUP(C467,'DATA TK PANEN'!D:D,'DATA TK PANEN'!H:H)</f>
        <v>0</v>
      </c>
      <c r="F467" s="10" t="str">
        <f>IFERROR(__xludf.DUMMYFUNCTION("XLOOKUP(C467,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7" s="10" t="str">
        <f>IFERROR(__xludf.DUMMYFUNCTION("XLOOKUP($C467,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7" s="10" t="str">
        <f>IFERROR(__xludf.DUMMYFUNCTION("XLOOKUP($C467,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7" s="18"/>
      <c r="J467" s="18"/>
      <c r="K467" s="10" t="str">
        <f>IFERROR(__xludf.DUMMYFUNCTION("XLOOKUP($C467,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7" s="10" t="str">
        <f>IFERROR(__xludf.DUMMYFUNCTION("XLOOKUP($C467,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7" s="8"/>
      <c r="N467" s="8"/>
      <c r="O467" s="8"/>
      <c r="P467" s="8"/>
      <c r="Q467" s="8"/>
      <c r="R467" s="8"/>
      <c r="S467" s="8"/>
      <c r="T467" s="8"/>
      <c r="U467" s="8"/>
    </row>
    <row r="468">
      <c r="A468" s="10" t="s">
        <v>1575</v>
      </c>
      <c r="B468" s="10" t="s">
        <v>1671</v>
      </c>
      <c r="C468" s="12" t="s">
        <v>1709</v>
      </c>
      <c r="D468" s="13" t="s">
        <v>1710</v>
      </c>
      <c r="E468" s="16">
        <f t="array" ref="E468">XLOOKUP(C468,'DATA TK PANEN'!D:D,'DATA TK PANEN'!H:H)</f>
        <v>0</v>
      </c>
      <c r="F468" s="10" t="str">
        <f>IFERROR(__xludf.DUMMYFUNCTION("XLOOKUP(C468,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8" s="10" t="str">
        <f>IFERROR(__xludf.DUMMYFUNCTION("XLOOKUP($C468,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8" s="10" t="str">
        <f>IFERROR(__xludf.DUMMYFUNCTION("XLOOKUP($C468,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8" s="18"/>
      <c r="J468" s="18"/>
      <c r="K468" s="10" t="str">
        <f>IFERROR(__xludf.DUMMYFUNCTION("XLOOKUP($C468,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8" s="10" t="str">
        <f>IFERROR(__xludf.DUMMYFUNCTION("XLOOKUP($C468,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8" s="8"/>
      <c r="N468" s="8"/>
      <c r="O468" s="8"/>
      <c r="P468" s="8"/>
      <c r="Q468" s="8"/>
      <c r="R468" s="8"/>
      <c r="S468" s="8"/>
      <c r="T468" s="8"/>
      <c r="U468" s="8"/>
    </row>
    <row r="469">
      <c r="A469" s="10" t="s">
        <v>1575</v>
      </c>
      <c r="B469" s="10" t="s">
        <v>1671</v>
      </c>
      <c r="C469" s="12" t="s">
        <v>1713</v>
      </c>
      <c r="D469" s="13" t="s">
        <v>1714</v>
      </c>
      <c r="E469" s="16" t="str">
        <f t="array" ref="E469">XLOOKUP(C469,'DATA TK PANEN'!D:D,'DATA TK PANEN'!H:H)</f>
        <v>Tidak Ditemukan</v>
      </c>
      <c r="F469" s="10" t="str">
        <f>IFERROR(__xludf.DUMMYFUNCTION("XLOOKUP(C469,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69" s="10" t="str">
        <f>IFERROR(__xludf.DUMMYFUNCTION("XLOOKUP($C469,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69" s="10" t="str">
        <f>IFERROR(__xludf.DUMMYFUNCTION("XLOOKUP($C469,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69" s="18"/>
      <c r="J469" s="18"/>
      <c r="K469" s="10" t="str">
        <f>IFERROR(__xludf.DUMMYFUNCTION("XLOOKUP($C469,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69" s="10" t="str">
        <f>IFERROR(__xludf.DUMMYFUNCTION("XLOOKUP($C469,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69" s="8"/>
      <c r="N469" s="8"/>
      <c r="O469" s="8"/>
      <c r="P469" s="8"/>
      <c r="Q469" s="8"/>
      <c r="R469" s="8"/>
      <c r="S469" s="8"/>
      <c r="T469" s="8"/>
      <c r="U469" s="8"/>
    </row>
    <row r="470">
      <c r="A470" s="10" t="s">
        <v>1575</v>
      </c>
      <c r="B470" s="10" t="s">
        <v>1671</v>
      </c>
      <c r="C470" s="12" t="s">
        <v>1716</v>
      </c>
      <c r="D470" s="13" t="s">
        <v>1717</v>
      </c>
      <c r="E470" s="16">
        <f t="array" ref="E470">XLOOKUP(C470,'DATA TK PANEN'!D:D,'DATA TK PANEN'!H:H)</f>
        <v>0</v>
      </c>
      <c r="F470" s="10" t="str">
        <f>IFERROR(__xludf.DUMMYFUNCTION("XLOOKUP(C470,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0" s="10" t="str">
        <f>IFERROR(__xludf.DUMMYFUNCTION("XLOOKUP($C470,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0" s="10" t="str">
        <f>IFERROR(__xludf.DUMMYFUNCTION("XLOOKUP($C470,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0" s="18"/>
      <c r="J470" s="18"/>
      <c r="K470" s="10" t="str">
        <f>IFERROR(__xludf.DUMMYFUNCTION("XLOOKUP($C470,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0" s="10" t="str">
        <f>IFERROR(__xludf.DUMMYFUNCTION("XLOOKUP($C470,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0" s="8"/>
      <c r="N470" s="8"/>
      <c r="O470" s="8"/>
      <c r="P470" s="8"/>
      <c r="Q470" s="8"/>
      <c r="R470" s="8"/>
      <c r="S470" s="8"/>
      <c r="T470" s="8"/>
      <c r="U470" s="8"/>
    </row>
    <row r="471">
      <c r="A471" s="10" t="s">
        <v>1575</v>
      </c>
      <c r="B471" s="10" t="s">
        <v>1671</v>
      </c>
      <c r="C471" s="12" t="s">
        <v>1719</v>
      </c>
      <c r="D471" s="13" t="s">
        <v>1721</v>
      </c>
      <c r="E471" s="16" t="str">
        <f t="array" ref="E471">XLOOKUP(C471,'DATA TK PANEN'!D:D,'DATA TK PANEN'!H:H)</f>
        <v>Tidak Ditemukan</v>
      </c>
      <c r="F471" s="10" t="str">
        <f>IFERROR(__xludf.DUMMYFUNCTION("XLOOKUP(C471,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1" s="10" t="str">
        <f>IFERROR(__xludf.DUMMYFUNCTION("XLOOKUP($C471,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1" s="10" t="str">
        <f>IFERROR(__xludf.DUMMYFUNCTION("XLOOKUP($C471,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1" s="18"/>
      <c r="J471" s="18"/>
      <c r="K471" s="10" t="str">
        <f>IFERROR(__xludf.DUMMYFUNCTION("XLOOKUP($C471,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1" s="10" t="str">
        <f>IFERROR(__xludf.DUMMYFUNCTION("XLOOKUP($C471,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1" s="8"/>
      <c r="N471" s="8"/>
      <c r="O471" s="8"/>
      <c r="P471" s="8"/>
      <c r="Q471" s="8"/>
      <c r="R471" s="8"/>
      <c r="S471" s="8"/>
      <c r="T471" s="8"/>
      <c r="U471" s="8"/>
    </row>
    <row r="472">
      <c r="A472" s="10" t="s">
        <v>1575</v>
      </c>
      <c r="B472" s="10" t="s">
        <v>1671</v>
      </c>
      <c r="C472" s="12" t="s">
        <v>1723</v>
      </c>
      <c r="D472" s="13" t="s">
        <v>1724</v>
      </c>
      <c r="E472" s="16">
        <f t="array" ref="E472">XLOOKUP(C472,'DATA TK PANEN'!D:D,'DATA TK PANEN'!H:H)</f>
        <v>130</v>
      </c>
      <c r="F472" s="10">
        <f>IFERROR(__xludf.DUMMYFUNCTION("XLOOKUP(C472,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472" s="10">
        <f>IFERROR(__xludf.DUMMYFUNCTION("XLOOKUP($C472,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472" s="10">
        <f>IFERROR(__xludf.DUMMYFUNCTION("XLOOKUP($C472,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472" s="18"/>
      <c r="J472" s="18"/>
      <c r="K472" s="10">
        <f>IFERROR(__xludf.DUMMYFUNCTION("XLOOKUP($C472,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72" s="10">
        <f>IFERROR(__xludf.DUMMYFUNCTION("XLOOKUP($C472,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72" s="8"/>
      <c r="N472" s="8"/>
      <c r="O472" s="8"/>
      <c r="P472" s="8"/>
      <c r="Q472" s="8"/>
      <c r="R472" s="8"/>
      <c r="S472" s="8"/>
      <c r="T472" s="8"/>
      <c r="U472" s="8"/>
    </row>
    <row r="473">
      <c r="A473" s="10" t="s">
        <v>1575</v>
      </c>
      <c r="B473" s="10" t="s">
        <v>1671</v>
      </c>
      <c r="C473" s="12" t="s">
        <v>1727</v>
      </c>
      <c r="D473" s="13" t="s">
        <v>1728</v>
      </c>
      <c r="E473" s="16">
        <f t="array" ref="E473">XLOOKUP(C473,'DATA TK PANEN'!D:D,'DATA TK PANEN'!H:H)</f>
        <v>0</v>
      </c>
      <c r="F473" s="10" t="str">
        <f>IFERROR(__xludf.DUMMYFUNCTION("XLOOKUP(C473,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3" s="10" t="str">
        <f>IFERROR(__xludf.DUMMYFUNCTION("XLOOKUP($C473,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3" s="10" t="str">
        <f>IFERROR(__xludf.DUMMYFUNCTION("XLOOKUP($C473,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3" s="18"/>
      <c r="J473" s="18"/>
      <c r="K473" s="10" t="str">
        <f>IFERROR(__xludf.DUMMYFUNCTION("XLOOKUP($C473,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3" s="10" t="str">
        <f>IFERROR(__xludf.DUMMYFUNCTION("XLOOKUP($C473,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3" s="8"/>
      <c r="N473" s="8"/>
      <c r="O473" s="8"/>
      <c r="P473" s="8"/>
      <c r="Q473" s="8"/>
      <c r="R473" s="8"/>
      <c r="S473" s="8"/>
      <c r="T473" s="8"/>
      <c r="U473" s="8"/>
    </row>
    <row r="474">
      <c r="A474" s="10" t="s">
        <v>1575</v>
      </c>
      <c r="B474" s="10" t="s">
        <v>1671</v>
      </c>
      <c r="C474" s="12" t="s">
        <v>1731</v>
      </c>
      <c r="D474" s="13" t="s">
        <v>1733</v>
      </c>
      <c r="E474" s="16">
        <f t="array" ref="E474">XLOOKUP(C474,'DATA TK PANEN'!D:D,'DATA TK PANEN'!H:H)</f>
        <v>0</v>
      </c>
      <c r="F474" s="10" t="str">
        <f>IFERROR(__xludf.DUMMYFUNCTION("XLOOKUP(C474,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4" s="10" t="str">
        <f>IFERROR(__xludf.DUMMYFUNCTION("XLOOKUP($C474,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4" s="10" t="str">
        <f>IFERROR(__xludf.DUMMYFUNCTION("XLOOKUP($C474,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4" s="18"/>
      <c r="J474" s="18"/>
      <c r="K474" s="10" t="str">
        <f>IFERROR(__xludf.DUMMYFUNCTION("XLOOKUP($C474,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4" s="10" t="str">
        <f>IFERROR(__xludf.DUMMYFUNCTION("XLOOKUP($C474,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4" s="8"/>
      <c r="N474" s="8"/>
      <c r="O474" s="8"/>
      <c r="P474" s="8"/>
      <c r="Q474" s="8"/>
      <c r="R474" s="8"/>
      <c r="S474" s="8"/>
      <c r="T474" s="8"/>
      <c r="U474" s="8"/>
    </row>
    <row r="475">
      <c r="A475" s="10" t="s">
        <v>1575</v>
      </c>
      <c r="B475" s="10" t="s">
        <v>1671</v>
      </c>
      <c r="C475" s="12" t="s">
        <v>1736</v>
      </c>
      <c r="D475" s="13" t="s">
        <v>1738</v>
      </c>
      <c r="E475" s="16">
        <f t="array" ref="E475">XLOOKUP(C475,'DATA TK PANEN'!D:D,'DATA TK PANEN'!H:H)</f>
        <v>0</v>
      </c>
      <c r="F475" s="10" t="str">
        <f>IFERROR(__xludf.DUMMYFUNCTION("XLOOKUP(C475,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5" s="10" t="str">
        <f>IFERROR(__xludf.DUMMYFUNCTION("XLOOKUP($C475,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5" s="10" t="str">
        <f>IFERROR(__xludf.DUMMYFUNCTION("XLOOKUP($C475,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5" s="18"/>
      <c r="J475" s="18"/>
      <c r="K475" s="10" t="str">
        <f>IFERROR(__xludf.DUMMYFUNCTION("XLOOKUP($C475,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5" s="10" t="str">
        <f>IFERROR(__xludf.DUMMYFUNCTION("XLOOKUP($C475,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5" s="8"/>
      <c r="N475" s="8"/>
      <c r="O475" s="8"/>
      <c r="P475" s="8"/>
      <c r="Q475" s="8"/>
      <c r="R475" s="8"/>
      <c r="S475" s="8"/>
      <c r="T475" s="8"/>
      <c r="U475" s="8"/>
    </row>
    <row r="476">
      <c r="A476" s="10" t="s">
        <v>1575</v>
      </c>
      <c r="B476" s="10" t="s">
        <v>1671</v>
      </c>
      <c r="C476" s="12" t="s">
        <v>1741</v>
      </c>
      <c r="D476" s="13" t="s">
        <v>1742</v>
      </c>
      <c r="E476" s="16" t="str">
        <f t="array" ref="E476">XLOOKUP(C476,'DATA TK PANEN'!D:D,'DATA TK PANEN'!H:H)</f>
        <v>Tidak Ditemukan</v>
      </c>
      <c r="F476" s="10" t="str">
        <f>IFERROR(__xludf.DUMMYFUNCTION("XLOOKUP(C476,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76" s="10" t="str">
        <f>IFERROR(__xludf.DUMMYFUNCTION("XLOOKUP($C476,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76" s="10" t="str">
        <f>IFERROR(__xludf.DUMMYFUNCTION("XLOOKUP($C476,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6" s="18"/>
      <c r="J476" s="18"/>
      <c r="K476" s="10" t="str">
        <f>IFERROR(__xludf.DUMMYFUNCTION("XLOOKUP($C476,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6" s="10" t="str">
        <f>IFERROR(__xludf.DUMMYFUNCTION("XLOOKUP($C476,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6" s="8"/>
      <c r="N476" s="8"/>
      <c r="O476" s="8"/>
      <c r="P476" s="8"/>
      <c r="Q476" s="8"/>
      <c r="R476" s="8"/>
      <c r="S476" s="8"/>
      <c r="T476" s="8"/>
      <c r="U476" s="8"/>
    </row>
    <row r="477">
      <c r="A477" s="10" t="s">
        <v>1575</v>
      </c>
      <c r="B477" s="10" t="s">
        <v>1671</v>
      </c>
      <c r="C477" s="12" t="s">
        <v>1746</v>
      </c>
      <c r="D477" s="13" t="s">
        <v>1747</v>
      </c>
      <c r="E477" s="16">
        <f t="array" ref="E477">XLOOKUP(C477,'DATA TK PANEN'!D:D,'DATA TK PANEN'!H:H)</f>
        <v>136.88</v>
      </c>
      <c r="F477" s="10">
        <f>IFERROR(__xludf.DUMMYFUNCTION("XLOOKUP(C477,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477" s="10">
        <f>IFERROR(__xludf.DUMMYFUNCTION("XLOOKUP($C477,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477" s="10">
        <f>IFERROR(__xludf.DUMMYFUNCTION("XLOOKUP($C477,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477" s="18"/>
      <c r="J477" s="18"/>
      <c r="K477" s="10">
        <f>IFERROR(__xludf.DUMMYFUNCTION("XLOOKUP($C477,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477" s="10">
        <f>IFERROR(__xludf.DUMMYFUNCTION("XLOOKUP($C477,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77" s="8"/>
      <c r="N477" s="8"/>
      <c r="O477" s="8"/>
      <c r="P477" s="8"/>
      <c r="Q477" s="8"/>
      <c r="R477" s="8"/>
      <c r="S477" s="8"/>
      <c r="T477" s="8"/>
      <c r="U477" s="8"/>
    </row>
    <row r="478">
      <c r="A478" s="10" t="s">
        <v>1575</v>
      </c>
      <c r="B478" s="10" t="s">
        <v>1671</v>
      </c>
      <c r="C478" s="12" t="s">
        <v>1752</v>
      </c>
      <c r="D478" s="20"/>
      <c r="E478" s="16" t="str">
        <f t="array" ref="E478">XLOOKUP(C478,'DATA TK PANEN'!D:D,'DATA TK PANEN'!H:H)</f>
        <v>Tidak Ditemukan</v>
      </c>
      <c r="F478" s="10" t="str">
        <f>IFERROR(__xludf.DUMMYFUNCTION("XLOOKUP(C478,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478" s="10" t="str">
        <f>IFERROR(__xludf.DUMMYFUNCTION("XLOOKUP($C478,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478" s="10" t="str">
        <f>IFERROR(__xludf.DUMMYFUNCTION("XLOOKUP($C478,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78" s="18"/>
      <c r="J478" s="18"/>
      <c r="K478" s="10" t="str">
        <f>IFERROR(__xludf.DUMMYFUNCTION("XLOOKUP($C478,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78" s="10" t="str">
        <f>IFERROR(__xludf.DUMMYFUNCTION("XLOOKUP($C478,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78" s="8"/>
      <c r="N478" s="8"/>
      <c r="O478" s="8"/>
      <c r="P478" s="8"/>
      <c r="Q478" s="8"/>
      <c r="R478" s="8"/>
      <c r="S478" s="8"/>
      <c r="T478" s="8"/>
      <c r="U478" s="8"/>
    </row>
    <row r="479">
      <c r="A479" s="10" t="s">
        <v>1575</v>
      </c>
      <c r="B479" s="10" t="s">
        <v>1671</v>
      </c>
      <c r="C479" s="12" t="s">
        <v>1756</v>
      </c>
      <c r="D479" s="13" t="s">
        <v>1758</v>
      </c>
      <c r="E479" s="16">
        <f t="array" ref="E479">XLOOKUP(C479,'DATA TK PANEN'!D:D,'DATA TK PANEN'!H:H)</f>
        <v>665.73</v>
      </c>
      <c r="F479" s="10">
        <f>IFERROR(__xludf.DUMMYFUNCTION("XLOOKUP(C479,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(AUTO)'!S6:S""))"),40.0)</f>
        <v>40</v>
      </c>
      <c r="G479" s="10">
        <f>IFERROR(__xludf.DUMMYFUNCTION("XLOOKUP($C479,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(AUTO)'!T6:T""))"),40.0)</f>
        <v>40</v>
      </c>
      <c r="H479" s="10">
        <f>IFERROR(__xludf.DUMMYFUNCTION("XLOOKUP($C479,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(AUTO)'!V6:V""))"),38.0)</f>
        <v>38</v>
      </c>
      <c r="I479" s="18"/>
      <c r="J479" s="18"/>
      <c r="K479" s="10">
        <f>IFERROR(__xludf.DUMMYFUNCTION("XLOOKUP($C479,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479" s="10">
        <f>IFERROR(__xludf.DUMMYFUNCTION("XLOOKUP($C479,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479" s="8"/>
      <c r="N479" s="8"/>
      <c r="O479" s="8"/>
      <c r="P479" s="8"/>
      <c r="Q479" s="8"/>
      <c r="R479" s="8"/>
      <c r="S479" s="8"/>
      <c r="T479" s="8"/>
      <c r="U479" s="8"/>
    </row>
    <row r="480">
      <c r="A480" s="10" t="s">
        <v>1575</v>
      </c>
      <c r="B480" s="10" t="s">
        <v>1671</v>
      </c>
      <c r="C480" s="12" t="s">
        <v>1761</v>
      </c>
      <c r="D480" s="13" t="s">
        <v>1762</v>
      </c>
      <c r="E480" s="16" t="str">
        <f t="array" ref="E480">XLOOKUP(C480,'DATA TK PANEN'!D:D,'DATA TK PANEN'!H:H)</f>
        <v>Tidak Ditemukan</v>
      </c>
      <c r="F480" s="10" t="str">
        <f>IFERROR(__xludf.DUMMYFUNCTION("XLOOKUP(C480,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0" s="10" t="str">
        <f>IFERROR(__xludf.DUMMYFUNCTION("XLOOKUP($C480,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0" s="10" t="str">
        <f>IFERROR(__xludf.DUMMYFUNCTION("XLOOKUP($C480,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0" s="18"/>
      <c r="J480" s="18"/>
      <c r="K480" s="10" t="str">
        <f>IFERROR(__xludf.DUMMYFUNCTION("XLOOKUP($C480,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0" s="10" t="str">
        <f>IFERROR(__xludf.DUMMYFUNCTION("XLOOKUP($C480,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0" s="8"/>
      <c r="N480" s="8"/>
      <c r="O480" s="8"/>
      <c r="P480" s="8"/>
      <c r="Q480" s="8"/>
      <c r="R480" s="8"/>
      <c r="S480" s="8"/>
      <c r="T480" s="8"/>
      <c r="U480" s="8"/>
    </row>
    <row r="481">
      <c r="A481" s="10" t="s">
        <v>1575</v>
      </c>
      <c r="B481" s="10" t="s">
        <v>1671</v>
      </c>
      <c r="C481" s="12" t="s">
        <v>1766</v>
      </c>
      <c r="D481" s="13" t="s">
        <v>1767</v>
      </c>
      <c r="E481" s="16" t="str">
        <f t="array" ref="E481">XLOOKUP(C481,'DATA TK PANEN'!D:D,'DATA TK PANEN'!H:H)</f>
        <v>Tidak Ditemukan</v>
      </c>
      <c r="F481" s="10" t="str">
        <f>IFERROR(__xludf.DUMMYFUNCTION("XLOOKUP(C481,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1" s="10" t="str">
        <f>IFERROR(__xludf.DUMMYFUNCTION("XLOOKUP($C481,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1" s="10" t="str">
        <f>IFERROR(__xludf.DUMMYFUNCTION("XLOOKUP($C481,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1" s="18"/>
      <c r="J481" s="18"/>
      <c r="K481" s="10" t="str">
        <f>IFERROR(__xludf.DUMMYFUNCTION("XLOOKUP($C481,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1" s="10" t="str">
        <f>IFERROR(__xludf.DUMMYFUNCTION("XLOOKUP($C481,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1" s="8"/>
      <c r="N481" s="8"/>
      <c r="O481" s="8"/>
      <c r="P481" s="8"/>
      <c r="Q481" s="8"/>
      <c r="R481" s="8"/>
      <c r="S481" s="8"/>
      <c r="T481" s="8"/>
      <c r="U481" s="8"/>
    </row>
    <row r="482">
      <c r="A482" s="10" t="s">
        <v>1575</v>
      </c>
      <c r="B482" s="10" t="s">
        <v>1671</v>
      </c>
      <c r="C482" s="12" t="s">
        <v>1773</v>
      </c>
      <c r="D482" s="13" t="s">
        <v>1775</v>
      </c>
      <c r="E482" s="16" t="str">
        <f t="array" ref="E482">XLOOKUP(C482,'DATA TK PANEN'!D:D,'DATA TK PANEN'!H:H)</f>
        <v>Tidak Ditemukan</v>
      </c>
      <c r="F482" s="10" t="str">
        <f>IFERROR(__xludf.DUMMYFUNCTION("XLOOKUP(C482,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2" s="10" t="str">
        <f>IFERROR(__xludf.DUMMYFUNCTION("XLOOKUP($C482,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2" s="10" t="str">
        <f>IFERROR(__xludf.DUMMYFUNCTION("XLOOKUP($C482,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2" s="18"/>
      <c r="J482" s="18"/>
      <c r="K482" s="10" t="str">
        <f>IFERROR(__xludf.DUMMYFUNCTION("XLOOKUP($C482,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2" s="10" t="str">
        <f>IFERROR(__xludf.DUMMYFUNCTION("XLOOKUP($C482,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2" s="8"/>
      <c r="N482" s="8"/>
      <c r="O482" s="8"/>
      <c r="P482" s="8"/>
      <c r="Q482" s="8"/>
      <c r="R482" s="8"/>
      <c r="S482" s="8"/>
      <c r="T482" s="8"/>
      <c r="U482" s="8"/>
    </row>
    <row r="483">
      <c r="A483" s="10" t="s">
        <v>1575</v>
      </c>
      <c r="B483" s="10" t="s">
        <v>1671</v>
      </c>
      <c r="C483" s="12" t="s">
        <v>1779</v>
      </c>
      <c r="D483" s="13" t="s">
        <v>1780</v>
      </c>
      <c r="E483" s="16">
        <f t="array" ref="E483">XLOOKUP(C483,'DATA TK PANEN'!D:D,'DATA TK PANEN'!H:H)</f>
        <v>22.31</v>
      </c>
      <c r="F483" s="10" t="str">
        <f>IFERROR(__xludf.DUMMYFUNCTION("XLOOKUP(C483,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3" s="10" t="str">
        <f>IFERROR(__xludf.DUMMYFUNCTION("XLOOKUP($C483,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3" s="10" t="str">
        <f>IFERROR(__xludf.DUMMYFUNCTION("XLOOKUP($C483,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3" s="18"/>
      <c r="J483" s="18"/>
      <c r="K483" s="10" t="str">
        <f>IFERROR(__xludf.DUMMYFUNCTION("XLOOKUP($C483,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3" s="10" t="str">
        <f>IFERROR(__xludf.DUMMYFUNCTION("XLOOKUP($C483,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3" s="8"/>
      <c r="N483" s="8"/>
      <c r="O483" s="8"/>
      <c r="P483" s="8"/>
      <c r="Q483" s="8"/>
      <c r="R483" s="8"/>
      <c r="S483" s="8"/>
      <c r="T483" s="8"/>
      <c r="U483" s="8"/>
    </row>
    <row r="484">
      <c r="A484" s="10" t="s">
        <v>1575</v>
      </c>
      <c r="B484" s="10" t="s">
        <v>1671</v>
      </c>
      <c r="C484" s="12" t="s">
        <v>1784</v>
      </c>
      <c r="D484" s="13" t="s">
        <v>1785</v>
      </c>
      <c r="E484" s="16">
        <f t="array" ref="E484">XLOOKUP(C484,'DATA TK PANEN'!D:D,'DATA TK PANEN'!H:H)</f>
        <v>0</v>
      </c>
      <c r="F484" s="10" t="str">
        <f>IFERROR(__xludf.DUMMYFUNCTION("XLOOKUP(C484,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4" s="10" t="str">
        <f>IFERROR(__xludf.DUMMYFUNCTION("XLOOKUP($C484,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4" s="10" t="str">
        <f>IFERROR(__xludf.DUMMYFUNCTION("XLOOKUP($C484,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4" s="18"/>
      <c r="J484" s="18"/>
      <c r="K484" s="10" t="str">
        <f>IFERROR(__xludf.DUMMYFUNCTION("XLOOKUP($C484,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4" s="10" t="str">
        <f>IFERROR(__xludf.DUMMYFUNCTION("XLOOKUP($C484,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4" s="8"/>
      <c r="N484" s="8"/>
      <c r="O484" s="8"/>
      <c r="P484" s="8"/>
      <c r="Q484" s="8"/>
      <c r="R484" s="8"/>
      <c r="S484" s="8"/>
      <c r="T484" s="8"/>
      <c r="U484" s="8"/>
    </row>
    <row r="485">
      <c r="A485" s="10" t="s">
        <v>1575</v>
      </c>
      <c r="B485" s="10" t="s">
        <v>1671</v>
      </c>
      <c r="C485" s="12" t="s">
        <v>1789</v>
      </c>
      <c r="D485" s="13" t="s">
        <v>1790</v>
      </c>
      <c r="E485" s="16">
        <f t="array" ref="E485">XLOOKUP(C485,'DATA TK PANEN'!D:D,'DATA TK PANEN'!H:H)</f>
        <v>0</v>
      </c>
      <c r="F485" s="10" t="str">
        <f>IFERROR(__xludf.DUMMYFUNCTION("XLOOKUP(C485,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5" s="10" t="str">
        <f>IFERROR(__xludf.DUMMYFUNCTION("XLOOKUP($C485,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5" s="10" t="str">
        <f>IFERROR(__xludf.DUMMYFUNCTION("XLOOKUP($C485,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5" s="18"/>
      <c r="J485" s="18"/>
      <c r="K485" s="10" t="str">
        <f>IFERROR(__xludf.DUMMYFUNCTION("XLOOKUP($C485,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5" s="10" t="str">
        <f>IFERROR(__xludf.DUMMYFUNCTION("XLOOKUP($C485,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5" s="8"/>
      <c r="N485" s="8"/>
      <c r="O485" s="8"/>
      <c r="P485" s="8"/>
      <c r="Q485" s="8"/>
      <c r="R485" s="8"/>
      <c r="S485" s="8"/>
      <c r="T485" s="8"/>
      <c r="U485" s="8"/>
    </row>
    <row r="486">
      <c r="A486" s="10" t="s">
        <v>1575</v>
      </c>
      <c r="B486" s="10" t="s">
        <v>1671</v>
      </c>
      <c r="C486" s="12" t="s">
        <v>1793</v>
      </c>
      <c r="D486" s="13" t="s">
        <v>1794</v>
      </c>
      <c r="E486" s="16">
        <f t="array" ref="E486">XLOOKUP(C486,'DATA TK PANEN'!D:D,'DATA TK PANEN'!H:H)</f>
        <v>13.72</v>
      </c>
      <c r="F486" s="10" t="str">
        <f>IFERROR(__xludf.DUMMYFUNCTION("XLOOKUP(C486,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6" s="10" t="str">
        <f>IFERROR(__xludf.DUMMYFUNCTION("XLOOKUP($C486,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6" s="10" t="str">
        <f>IFERROR(__xludf.DUMMYFUNCTION("XLOOKUP($C486,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6" s="18"/>
      <c r="J486" s="18"/>
      <c r="K486" s="10" t="str">
        <f>IFERROR(__xludf.DUMMYFUNCTION("XLOOKUP($C486,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6" s="10" t="str">
        <f>IFERROR(__xludf.DUMMYFUNCTION("XLOOKUP($C486,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6" s="8"/>
      <c r="N486" s="8"/>
      <c r="O486" s="8"/>
      <c r="P486" s="8"/>
      <c r="Q486" s="8"/>
      <c r="R486" s="8"/>
      <c r="S486" s="8"/>
      <c r="T486" s="8"/>
      <c r="U486" s="8"/>
    </row>
    <row r="487">
      <c r="A487" s="10" t="s">
        <v>1575</v>
      </c>
      <c r="B487" s="10" t="s">
        <v>1671</v>
      </c>
      <c r="C487" s="12" t="s">
        <v>1797</v>
      </c>
      <c r="D487" s="13" t="s">
        <v>1798</v>
      </c>
      <c r="E487" s="16">
        <f t="array" ref="E487">XLOOKUP(C487,'DATA TK PANEN'!D:D,'DATA TK PANEN'!H:H)</f>
        <v>0</v>
      </c>
      <c r="F487" s="10" t="str">
        <f>IFERROR(__xludf.DUMMYFUNCTION("XLOOKUP(C487,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7" s="10" t="str">
        <f>IFERROR(__xludf.DUMMYFUNCTION("XLOOKUP($C487,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7" s="10" t="str">
        <f>IFERROR(__xludf.DUMMYFUNCTION("XLOOKUP($C487,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7" s="18"/>
      <c r="J487" s="18"/>
      <c r="K487" s="10" t="str">
        <f>IFERROR(__xludf.DUMMYFUNCTION("XLOOKUP($C487,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7" s="10" t="str">
        <f>IFERROR(__xludf.DUMMYFUNCTION("XLOOKUP($C487,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7" s="8"/>
      <c r="N487" s="8"/>
      <c r="O487" s="8"/>
      <c r="P487" s="8"/>
      <c r="Q487" s="8"/>
      <c r="R487" s="8"/>
      <c r="S487" s="8"/>
      <c r="T487" s="8"/>
      <c r="U487" s="8"/>
    </row>
    <row r="488">
      <c r="A488" s="10" t="s">
        <v>1575</v>
      </c>
      <c r="B488" s="10" t="s">
        <v>1671</v>
      </c>
      <c r="C488" s="12" t="s">
        <v>1801</v>
      </c>
      <c r="D488" s="13" t="s">
        <v>1803</v>
      </c>
      <c r="E488" s="16">
        <f t="array" ref="E488">XLOOKUP(C488,'DATA TK PANEN'!D:D,'DATA TK PANEN'!H:H)</f>
        <v>0</v>
      </c>
      <c r="F488" s="10" t="str">
        <f>IFERROR(__xludf.DUMMYFUNCTION("XLOOKUP(C488,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8" s="10" t="str">
        <f>IFERROR(__xludf.DUMMYFUNCTION("XLOOKUP($C488,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8" s="10" t="str">
        <f>IFERROR(__xludf.DUMMYFUNCTION("XLOOKUP($C488,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8" s="18"/>
      <c r="J488" s="18"/>
      <c r="K488" s="10" t="str">
        <f>IFERROR(__xludf.DUMMYFUNCTION("XLOOKUP($C488,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8" s="10" t="str">
        <f>IFERROR(__xludf.DUMMYFUNCTION("XLOOKUP($C488,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8" s="8"/>
      <c r="N488" s="8"/>
      <c r="O488" s="8"/>
      <c r="P488" s="8"/>
      <c r="Q488" s="8"/>
      <c r="R488" s="8"/>
      <c r="S488" s="8"/>
      <c r="T488" s="8"/>
      <c r="U488" s="8"/>
    </row>
    <row r="489">
      <c r="A489" s="10" t="s">
        <v>1575</v>
      </c>
      <c r="B489" s="10" t="s">
        <v>1671</v>
      </c>
      <c r="C489" s="12" t="s">
        <v>1807</v>
      </c>
      <c r="D489" s="13" t="s">
        <v>1808</v>
      </c>
      <c r="E489" s="16">
        <f t="array" ref="E489">XLOOKUP(C489,'DATA TK PANEN'!D:D,'DATA TK PANEN'!H:H)</f>
        <v>0</v>
      </c>
      <c r="F489" s="10" t="str">
        <f>IFERROR(__xludf.DUMMYFUNCTION("XLOOKUP(C489,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89" s="10" t="str">
        <f>IFERROR(__xludf.DUMMYFUNCTION("XLOOKUP($C489,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89" s="10" t="str">
        <f>IFERROR(__xludf.DUMMYFUNCTION("XLOOKUP($C489,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89" s="18"/>
      <c r="J489" s="18"/>
      <c r="K489" s="10" t="str">
        <f>IFERROR(__xludf.DUMMYFUNCTION("XLOOKUP($C489,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89" s="10" t="str">
        <f>IFERROR(__xludf.DUMMYFUNCTION("XLOOKUP($C489,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89" s="8"/>
      <c r="N489" s="8"/>
      <c r="O489" s="8"/>
      <c r="P489" s="8"/>
      <c r="Q489" s="8"/>
      <c r="R489" s="8"/>
      <c r="S489" s="8"/>
      <c r="T489" s="8"/>
      <c r="U489" s="8"/>
    </row>
    <row r="490">
      <c r="A490" s="10" t="s">
        <v>1575</v>
      </c>
      <c r="B490" s="10" t="s">
        <v>1671</v>
      </c>
      <c r="C490" s="12" t="s">
        <v>1811</v>
      </c>
      <c r="D490" s="13" t="s">
        <v>1812</v>
      </c>
      <c r="E490" s="16">
        <f t="array" ref="E490">XLOOKUP(C490,'DATA TK PANEN'!D:D,'DATA TK PANEN'!H:H)</f>
        <v>7.59</v>
      </c>
      <c r="F490" s="10" t="str">
        <f>IFERROR(__xludf.DUMMYFUNCTION("XLOOKUP(C490,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0" s="10" t="str">
        <f>IFERROR(__xludf.DUMMYFUNCTION("XLOOKUP($C490,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0" s="10" t="str">
        <f>IFERROR(__xludf.DUMMYFUNCTION("XLOOKUP($C490,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0" s="18"/>
      <c r="J490" s="18"/>
      <c r="K490" s="10" t="str">
        <f>IFERROR(__xludf.DUMMYFUNCTION("XLOOKUP($C490,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0" s="10" t="str">
        <f>IFERROR(__xludf.DUMMYFUNCTION("XLOOKUP($C490,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0" s="8"/>
      <c r="N490" s="8"/>
      <c r="O490" s="8"/>
      <c r="P490" s="8"/>
      <c r="Q490" s="8"/>
      <c r="R490" s="8"/>
      <c r="S490" s="8"/>
      <c r="T490" s="8"/>
      <c r="U490" s="8"/>
    </row>
    <row r="491">
      <c r="A491" s="10" t="s">
        <v>1575</v>
      </c>
      <c r="B491" s="10" t="s">
        <v>1671</v>
      </c>
      <c r="C491" s="12" t="s">
        <v>1816</v>
      </c>
      <c r="D491" s="13" t="s">
        <v>1817</v>
      </c>
      <c r="E491" s="16" t="str">
        <f t="array" ref="E491">XLOOKUP(C491,'DATA TK PANEN'!D:D,'DATA TK PANEN'!H:H)</f>
        <v>Tidak Ditemukan</v>
      </c>
      <c r="F491" s="10" t="str">
        <f>IFERROR(__xludf.DUMMYFUNCTION("XLOOKUP(C491,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1" s="10" t="str">
        <f>IFERROR(__xludf.DUMMYFUNCTION("XLOOKUP($C491,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1" s="10" t="str">
        <f>IFERROR(__xludf.DUMMYFUNCTION("XLOOKUP($C491,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1" s="18"/>
      <c r="J491" s="18"/>
      <c r="K491" s="10" t="str">
        <f>IFERROR(__xludf.DUMMYFUNCTION("XLOOKUP($C491,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1" s="10" t="str">
        <f>IFERROR(__xludf.DUMMYFUNCTION("XLOOKUP($C491,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1" s="8"/>
      <c r="N491" s="8"/>
      <c r="O491" s="8"/>
      <c r="P491" s="8"/>
      <c r="Q491" s="8"/>
      <c r="R491" s="8"/>
      <c r="S491" s="8"/>
      <c r="T491" s="8"/>
      <c r="U491" s="8"/>
    </row>
    <row r="492">
      <c r="A492" s="10" t="s">
        <v>1575</v>
      </c>
      <c r="B492" s="10" t="s">
        <v>1671</v>
      </c>
      <c r="C492" s="12" t="s">
        <v>1819</v>
      </c>
      <c r="D492" s="13" t="s">
        <v>1821</v>
      </c>
      <c r="E492" s="16">
        <f t="array" ref="E492">XLOOKUP(C492,'DATA TK PANEN'!D:D,'DATA TK PANEN'!H:H)</f>
        <v>0</v>
      </c>
      <c r="F492" s="10" t="str">
        <f>IFERROR(__xludf.DUMMYFUNCTION("XLOOKUP(C492,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2" s="10" t="str">
        <f>IFERROR(__xludf.DUMMYFUNCTION("XLOOKUP($C492,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2" s="10" t="str">
        <f>IFERROR(__xludf.DUMMYFUNCTION("XLOOKUP($C492,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2" s="18"/>
      <c r="J492" s="18"/>
      <c r="K492" s="10" t="str">
        <f>IFERROR(__xludf.DUMMYFUNCTION("XLOOKUP($C492,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2" s="10" t="str">
        <f>IFERROR(__xludf.DUMMYFUNCTION("XLOOKUP($C492,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2" s="8"/>
      <c r="N492" s="8"/>
      <c r="O492" s="8"/>
      <c r="P492" s="8"/>
      <c r="Q492" s="8"/>
      <c r="R492" s="8"/>
      <c r="S492" s="8"/>
      <c r="T492" s="8"/>
      <c r="U492" s="8"/>
    </row>
    <row r="493">
      <c r="A493" s="10" t="s">
        <v>1575</v>
      </c>
      <c r="B493" s="10" t="s">
        <v>1671</v>
      </c>
      <c r="C493" s="12" t="s">
        <v>1823</v>
      </c>
      <c r="D493" s="13" t="s">
        <v>1824</v>
      </c>
      <c r="E493" s="16">
        <f t="array" ref="E493">XLOOKUP(C493,'DATA TK PANEN'!D:D,'DATA TK PANEN'!H:H)</f>
        <v>0</v>
      </c>
      <c r="F493" s="10" t="str">
        <f>IFERROR(__xludf.DUMMYFUNCTION("XLOOKUP(C493,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3" s="10" t="str">
        <f>IFERROR(__xludf.DUMMYFUNCTION("XLOOKUP($C493,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3" s="10" t="str">
        <f>IFERROR(__xludf.DUMMYFUNCTION("XLOOKUP($C493,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3" s="18"/>
      <c r="J493" s="18"/>
      <c r="K493" s="10" t="str">
        <f>IFERROR(__xludf.DUMMYFUNCTION("XLOOKUP($C493,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3" s="10" t="str">
        <f>IFERROR(__xludf.DUMMYFUNCTION("XLOOKUP($C493,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3" s="8"/>
      <c r="N493" s="8"/>
      <c r="O493" s="8"/>
      <c r="P493" s="8"/>
      <c r="Q493" s="8"/>
      <c r="R493" s="8"/>
      <c r="S493" s="8"/>
      <c r="T493" s="8"/>
      <c r="U493" s="8"/>
    </row>
    <row r="494">
      <c r="A494" s="10" t="s">
        <v>1575</v>
      </c>
      <c r="B494" s="10" t="s">
        <v>1671</v>
      </c>
      <c r="C494" s="12" t="s">
        <v>1825</v>
      </c>
      <c r="D494" s="13" t="s">
        <v>1826</v>
      </c>
      <c r="E494" s="16">
        <f t="array" ref="E494">XLOOKUP(C494,'DATA TK PANEN'!D:D,'DATA TK PANEN'!H:H)</f>
        <v>152.34</v>
      </c>
      <c r="F494" s="10" t="str">
        <f>IFERROR(__xludf.DUMMYFUNCTION("XLOOKUP(C494,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4" s="10" t="str">
        <f>IFERROR(__xludf.DUMMYFUNCTION("XLOOKUP($C494,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4" s="10" t="str">
        <f>IFERROR(__xludf.DUMMYFUNCTION("XLOOKUP($C494,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4" s="18"/>
      <c r="J494" s="18"/>
      <c r="K494" s="10" t="str">
        <f>IFERROR(__xludf.DUMMYFUNCTION("XLOOKUP($C494,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4" s="10" t="str">
        <f>IFERROR(__xludf.DUMMYFUNCTION("XLOOKUP($C494,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4" s="8"/>
      <c r="N494" s="8"/>
      <c r="O494" s="8"/>
      <c r="P494" s="8"/>
      <c r="Q494" s="8"/>
      <c r="R494" s="8"/>
      <c r="S494" s="8"/>
      <c r="T494" s="8"/>
      <c r="U494" s="8"/>
    </row>
    <row r="495">
      <c r="A495" s="10" t="s">
        <v>1575</v>
      </c>
      <c r="B495" s="10" t="s">
        <v>1671</v>
      </c>
      <c r="C495" s="12" t="s">
        <v>1827</v>
      </c>
      <c r="D495" s="13" t="s">
        <v>1828</v>
      </c>
      <c r="E495" s="16">
        <f t="array" ref="E495">XLOOKUP(C495,'DATA TK PANEN'!D:D,'DATA TK PANEN'!H:H)</f>
        <v>22.31</v>
      </c>
      <c r="F495" s="10" t="str">
        <f>IFERROR(__xludf.DUMMYFUNCTION("XLOOKUP(C495,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5" s="10" t="str">
        <f>IFERROR(__xludf.DUMMYFUNCTION("XLOOKUP($C495,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5" s="10" t="str">
        <f>IFERROR(__xludf.DUMMYFUNCTION("XLOOKUP($C495,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5" s="18"/>
      <c r="J495" s="18"/>
      <c r="K495" s="10" t="str">
        <f>IFERROR(__xludf.DUMMYFUNCTION("XLOOKUP($C495,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5" s="10" t="str">
        <f>IFERROR(__xludf.DUMMYFUNCTION("XLOOKUP($C495,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5" s="8"/>
      <c r="N495" s="8"/>
      <c r="O495" s="8"/>
      <c r="P495" s="8"/>
      <c r="Q495" s="8"/>
      <c r="R495" s="8"/>
      <c r="S495" s="8"/>
      <c r="T495" s="8"/>
      <c r="U495" s="8"/>
    </row>
    <row r="496">
      <c r="A496" s="10" t="s">
        <v>1575</v>
      </c>
      <c r="B496" s="10" t="s">
        <v>1671</v>
      </c>
      <c r="C496" s="12" t="s">
        <v>1829</v>
      </c>
      <c r="D496" s="13" t="s">
        <v>1830</v>
      </c>
      <c r="E496" s="16">
        <f t="array" ref="E496">XLOOKUP(C496,'DATA TK PANEN'!D:D,'DATA TK PANEN'!H:H)</f>
        <v>0</v>
      </c>
      <c r="F496" s="10" t="str">
        <f>IFERROR(__xludf.DUMMYFUNCTION("XLOOKUP(C496,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6" s="10" t="str">
        <f>IFERROR(__xludf.DUMMYFUNCTION("XLOOKUP($C496,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6" s="10" t="str">
        <f>IFERROR(__xludf.DUMMYFUNCTION("XLOOKUP($C496,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6" s="18"/>
      <c r="J496" s="18"/>
      <c r="K496" s="10" t="str">
        <f>IFERROR(__xludf.DUMMYFUNCTION("XLOOKUP($C496,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6" s="10" t="str">
        <f>IFERROR(__xludf.DUMMYFUNCTION("XLOOKUP($C496,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6" s="8"/>
      <c r="N496" s="8"/>
      <c r="O496" s="8"/>
      <c r="P496" s="8"/>
      <c r="Q496" s="8"/>
      <c r="R496" s="8"/>
      <c r="S496" s="8"/>
      <c r="T496" s="8"/>
      <c r="U496" s="8"/>
    </row>
    <row r="497">
      <c r="A497" s="10" t="s">
        <v>1575</v>
      </c>
      <c r="B497" s="10" t="s">
        <v>1671</v>
      </c>
      <c r="C497" s="12" t="s">
        <v>1831</v>
      </c>
      <c r="D497" s="13" t="s">
        <v>1832</v>
      </c>
      <c r="E497" s="16">
        <f t="array" ref="E497">XLOOKUP(C497,'DATA TK PANEN'!D:D,'DATA TK PANEN'!H:H)</f>
        <v>396.41</v>
      </c>
      <c r="F497" s="10" t="str">
        <f>IFERROR(__xludf.DUMMYFUNCTION("XLOOKUP(C497,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7" s="10" t="str">
        <f>IFERROR(__xludf.DUMMYFUNCTION("XLOOKUP($C497,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7" s="10" t="str">
        <f>IFERROR(__xludf.DUMMYFUNCTION("XLOOKUP($C497,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7" s="18"/>
      <c r="J497" s="18"/>
      <c r="K497" s="10" t="str">
        <f>IFERROR(__xludf.DUMMYFUNCTION("XLOOKUP($C497,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7" s="10" t="str">
        <f>IFERROR(__xludf.DUMMYFUNCTION("XLOOKUP($C497,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7" s="8"/>
      <c r="N497" s="8"/>
      <c r="O497" s="8"/>
      <c r="P497" s="8"/>
      <c r="Q497" s="8"/>
      <c r="R497" s="8"/>
      <c r="S497" s="8"/>
      <c r="T497" s="8"/>
      <c r="U497" s="8"/>
    </row>
    <row r="498">
      <c r="A498" s="10" t="s">
        <v>1575</v>
      </c>
      <c r="B498" s="10" t="s">
        <v>1671</v>
      </c>
      <c r="C498" s="12" t="s">
        <v>1833</v>
      </c>
      <c r="D498" s="13" t="s">
        <v>1834</v>
      </c>
      <c r="E498" s="16">
        <f t="array" ref="E498">XLOOKUP(C498,'DATA TK PANEN'!D:D,'DATA TK PANEN'!H:H)</f>
        <v>0</v>
      </c>
      <c r="F498" s="10" t="str">
        <f>IFERROR(__xludf.DUMMYFUNCTION("XLOOKUP(C498,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8" s="10" t="str">
        <f>IFERROR(__xludf.DUMMYFUNCTION("XLOOKUP($C498,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8" s="10" t="str">
        <f>IFERROR(__xludf.DUMMYFUNCTION("XLOOKUP($C498,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8" s="18"/>
      <c r="J498" s="18"/>
      <c r="K498" s="10" t="str">
        <f>IFERROR(__xludf.DUMMYFUNCTION("XLOOKUP($C498,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8" s="10" t="str">
        <f>IFERROR(__xludf.DUMMYFUNCTION("XLOOKUP($C498,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8" s="8"/>
      <c r="N498" s="8"/>
      <c r="O498" s="8"/>
      <c r="P498" s="8"/>
      <c r="Q498" s="8"/>
      <c r="R498" s="8"/>
      <c r="S498" s="8"/>
      <c r="T498" s="8"/>
      <c r="U498" s="8"/>
    </row>
    <row r="499">
      <c r="A499" s="10" t="s">
        <v>1575</v>
      </c>
      <c r="B499" s="10" t="s">
        <v>1671</v>
      </c>
      <c r="C499" s="12" t="s">
        <v>1835</v>
      </c>
      <c r="D499" s="13" t="s">
        <v>1836</v>
      </c>
      <c r="E499" s="16" t="str">
        <f t="array" ref="E499">XLOOKUP(C499,'DATA TK PANEN'!D:D,'DATA TK PANEN'!H:H)</f>
        <v>Tidak Ditemukan</v>
      </c>
      <c r="F499" s="10" t="str">
        <f>IFERROR(__xludf.DUMMYFUNCTION("XLOOKUP(C499,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499" s="10" t="str">
        <f>IFERROR(__xludf.DUMMYFUNCTION("XLOOKUP($C499,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499" s="10" t="str">
        <f>IFERROR(__xludf.DUMMYFUNCTION("XLOOKUP($C499,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499" s="18"/>
      <c r="J499" s="18"/>
      <c r="K499" s="10" t="str">
        <f>IFERROR(__xludf.DUMMYFUNCTION("XLOOKUP($C499,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499" s="10" t="str">
        <f>IFERROR(__xludf.DUMMYFUNCTION("XLOOKUP($C499,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499" s="8"/>
      <c r="N499" s="8"/>
      <c r="O499" s="8"/>
      <c r="P499" s="8"/>
      <c r="Q499" s="8"/>
      <c r="R499" s="8"/>
      <c r="S499" s="8"/>
      <c r="T499" s="8"/>
      <c r="U499" s="8"/>
    </row>
    <row r="500">
      <c r="A500" s="10" t="s">
        <v>1575</v>
      </c>
      <c r="B500" s="10" t="s">
        <v>1671</v>
      </c>
      <c r="C500" s="12" t="s">
        <v>1837</v>
      </c>
      <c r="D500" s="13" t="s">
        <v>1838</v>
      </c>
      <c r="E500" s="16">
        <f t="array" ref="E500">XLOOKUP(C500,'DATA TK PANEN'!D:D,'DATA TK PANEN'!H:H)</f>
        <v>14.04</v>
      </c>
      <c r="F500" s="10" t="str">
        <f>IFERROR(__xludf.DUMMYFUNCTION("XLOOKUP(C500,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0" s="10" t="str">
        <f>IFERROR(__xludf.DUMMYFUNCTION("XLOOKUP($C500,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0" s="10" t="str">
        <f>IFERROR(__xludf.DUMMYFUNCTION("XLOOKUP($C500,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0" s="18"/>
      <c r="J500" s="18"/>
      <c r="K500" s="10" t="str">
        <f>IFERROR(__xludf.DUMMYFUNCTION("XLOOKUP($C500,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0" s="10" t="str">
        <f>IFERROR(__xludf.DUMMYFUNCTION("XLOOKUP($C500,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0" s="8"/>
      <c r="N500" s="8"/>
      <c r="O500" s="8"/>
      <c r="P500" s="8"/>
      <c r="Q500" s="8"/>
      <c r="R500" s="8"/>
      <c r="S500" s="8"/>
      <c r="T500" s="8"/>
      <c r="U500" s="8"/>
    </row>
    <row r="501">
      <c r="A501" s="10" t="s">
        <v>1575</v>
      </c>
      <c r="B501" s="10" t="s">
        <v>1671</v>
      </c>
      <c r="C501" s="12" t="s">
        <v>1839</v>
      </c>
      <c r="D501" s="13" t="s">
        <v>1840</v>
      </c>
      <c r="E501" s="16" t="str">
        <f t="array" ref="E501">XLOOKUP(C501,'DATA TK PANEN'!D:D,'DATA TK PANEN'!H:H)</f>
        <v>Tidak Ditemukan</v>
      </c>
      <c r="F501" s="10" t="str">
        <f>IFERROR(__xludf.DUMMYFUNCTION("XLOOKUP(C501,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1" s="10" t="str">
        <f>IFERROR(__xludf.DUMMYFUNCTION("XLOOKUP($C501,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1" s="10" t="str">
        <f>IFERROR(__xludf.DUMMYFUNCTION("XLOOKUP($C501,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1" s="18"/>
      <c r="J501" s="18"/>
      <c r="K501" s="10" t="str">
        <f>IFERROR(__xludf.DUMMYFUNCTION("XLOOKUP($C501,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1" s="10" t="str">
        <f>IFERROR(__xludf.DUMMYFUNCTION("XLOOKUP($C501,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1" s="8"/>
      <c r="N501" s="8"/>
      <c r="O501" s="8"/>
      <c r="P501" s="8"/>
      <c r="Q501" s="8"/>
      <c r="R501" s="8"/>
      <c r="S501" s="8"/>
      <c r="T501" s="8"/>
      <c r="U501" s="8"/>
    </row>
    <row r="502">
      <c r="A502" s="10" t="s">
        <v>1575</v>
      </c>
      <c r="B502" s="10" t="s">
        <v>1671</v>
      </c>
      <c r="C502" s="12" t="s">
        <v>1841</v>
      </c>
      <c r="D502" s="13" t="s">
        <v>1842</v>
      </c>
      <c r="E502" s="16">
        <f t="array" ref="E502">XLOOKUP(C502,'DATA TK PANEN'!D:D,'DATA TK PANEN'!H:H)</f>
        <v>0</v>
      </c>
      <c r="F502" s="10" t="str">
        <f>IFERROR(__xludf.DUMMYFUNCTION("XLOOKUP(C502,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2" s="10" t="str">
        <f>IFERROR(__xludf.DUMMYFUNCTION("XLOOKUP($C502,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2" s="10" t="str">
        <f>IFERROR(__xludf.DUMMYFUNCTION("XLOOKUP($C502,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2" s="18"/>
      <c r="J502" s="18"/>
      <c r="K502" s="10" t="str">
        <f>IFERROR(__xludf.DUMMYFUNCTION("XLOOKUP($C502,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2" s="10" t="str">
        <f>IFERROR(__xludf.DUMMYFUNCTION("XLOOKUP($C502,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2" s="8"/>
      <c r="N502" s="8"/>
      <c r="O502" s="8"/>
      <c r="P502" s="8"/>
      <c r="Q502" s="8"/>
      <c r="R502" s="8"/>
      <c r="S502" s="8"/>
      <c r="T502" s="8"/>
      <c r="U502" s="8"/>
    </row>
    <row r="503">
      <c r="A503" s="10" t="s">
        <v>1575</v>
      </c>
      <c r="B503" s="10" t="s">
        <v>1671</v>
      </c>
      <c r="C503" s="12" t="s">
        <v>1843</v>
      </c>
      <c r="D503" s="13" t="s">
        <v>1844</v>
      </c>
      <c r="E503" s="16" t="str">
        <f t="array" ref="E503">XLOOKUP(C503,'DATA TK PANEN'!D:D,'DATA TK PANEN'!H:H)</f>
        <v>Tidak Ditemukan</v>
      </c>
      <c r="F503" s="10" t="str">
        <f>IFERROR(__xludf.DUMMYFUNCTION("XLOOKUP(C503,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3" s="10" t="str">
        <f>IFERROR(__xludf.DUMMYFUNCTION("XLOOKUP($C503,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3" s="10" t="str">
        <f>IFERROR(__xludf.DUMMYFUNCTION("XLOOKUP($C503,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3" s="18"/>
      <c r="J503" s="18"/>
      <c r="K503" s="10" t="str">
        <f>IFERROR(__xludf.DUMMYFUNCTION("XLOOKUP($C503,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3" s="10" t="str">
        <f>IFERROR(__xludf.DUMMYFUNCTION("XLOOKUP($C503,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3" s="8"/>
      <c r="N503" s="8"/>
      <c r="O503" s="8"/>
      <c r="P503" s="8"/>
      <c r="Q503" s="8"/>
      <c r="R503" s="8"/>
      <c r="S503" s="8"/>
      <c r="T503" s="8"/>
      <c r="U503" s="8"/>
    </row>
    <row r="504">
      <c r="A504" s="10" t="s">
        <v>1575</v>
      </c>
      <c r="B504" s="10" t="s">
        <v>1671</v>
      </c>
      <c r="C504" s="12" t="s">
        <v>1845</v>
      </c>
      <c r="D504" s="13" t="s">
        <v>1846</v>
      </c>
      <c r="E504" s="16" t="str">
        <f t="array" ref="E504">XLOOKUP(C504,'DATA TK PANEN'!D:D,'DATA TK PANEN'!H:H)</f>
        <v>Tidak Ditemukan</v>
      </c>
      <c r="F504" s="10" t="str">
        <f>IFERROR(__xludf.DUMMYFUNCTION("XLOOKUP(C504,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4" s="10" t="str">
        <f>IFERROR(__xludf.DUMMYFUNCTION("XLOOKUP($C504,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4" s="10" t="str">
        <f>IFERROR(__xludf.DUMMYFUNCTION("XLOOKUP($C504,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4" s="18"/>
      <c r="J504" s="18"/>
      <c r="K504" s="10" t="str">
        <f>IFERROR(__xludf.DUMMYFUNCTION("XLOOKUP($C504,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4" s="10" t="str">
        <f>IFERROR(__xludf.DUMMYFUNCTION("XLOOKUP($C504,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4" s="8"/>
      <c r="N504" s="8"/>
      <c r="O504" s="8"/>
      <c r="P504" s="8"/>
      <c r="Q504" s="8"/>
      <c r="R504" s="8"/>
      <c r="S504" s="8"/>
      <c r="T504" s="8"/>
      <c r="U504" s="8"/>
    </row>
    <row r="505">
      <c r="A505" s="10" t="s">
        <v>1575</v>
      </c>
      <c r="B505" s="10" t="s">
        <v>1671</v>
      </c>
      <c r="C505" s="12" t="s">
        <v>1847</v>
      </c>
      <c r="D505" s="13" t="s">
        <v>1848</v>
      </c>
      <c r="E505" s="16">
        <f t="array" ref="E505">XLOOKUP(C505,'DATA TK PANEN'!D:D,'DATA TK PANEN'!H:H)</f>
        <v>128.95</v>
      </c>
      <c r="F505" s="10" t="str">
        <f>IFERROR(__xludf.DUMMYFUNCTION("XLOOKUP(C505,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5" s="10" t="str">
        <f>IFERROR(__xludf.DUMMYFUNCTION("XLOOKUP($C505,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5" s="10" t="str">
        <f>IFERROR(__xludf.DUMMYFUNCTION("XLOOKUP($C505,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5" s="18"/>
      <c r="J505" s="18"/>
      <c r="K505" s="10" t="str">
        <f>IFERROR(__xludf.DUMMYFUNCTION("XLOOKUP($C505,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5" s="10" t="str">
        <f>IFERROR(__xludf.DUMMYFUNCTION("XLOOKUP($C505,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5" s="8"/>
      <c r="N505" s="8"/>
      <c r="O505" s="8"/>
      <c r="P505" s="8"/>
      <c r="Q505" s="8"/>
      <c r="R505" s="8"/>
      <c r="S505" s="8"/>
      <c r="T505" s="8"/>
      <c r="U505" s="8"/>
    </row>
    <row r="506">
      <c r="A506" s="10" t="s">
        <v>1575</v>
      </c>
      <c r="B506" s="10" t="s">
        <v>1671</v>
      </c>
      <c r="C506" s="12" t="s">
        <v>1849</v>
      </c>
      <c r="D506" s="13" t="s">
        <v>1850</v>
      </c>
      <c r="E506" s="16" t="str">
        <f t="array" ref="E506">XLOOKUP(C506,'DATA TK PANEN'!D:D,'DATA TK PANEN'!H:H)</f>
        <v>Tidak Ditemukan</v>
      </c>
      <c r="F506" s="10" t="str">
        <f>IFERROR(__xludf.DUMMYFUNCTION("XLOOKUP(C506,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6" s="10" t="str">
        <f>IFERROR(__xludf.DUMMYFUNCTION("XLOOKUP($C506,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6" s="10" t="str">
        <f>IFERROR(__xludf.DUMMYFUNCTION("XLOOKUP($C506,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6" s="18"/>
      <c r="J506" s="18"/>
      <c r="K506" s="10" t="str">
        <f>IFERROR(__xludf.DUMMYFUNCTION("XLOOKUP($C506,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6" s="10" t="str">
        <f>IFERROR(__xludf.DUMMYFUNCTION("XLOOKUP($C506,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6" s="8"/>
      <c r="N506" s="8"/>
      <c r="O506" s="8"/>
      <c r="P506" s="8"/>
      <c r="Q506" s="8"/>
      <c r="R506" s="8"/>
      <c r="S506" s="8"/>
      <c r="T506" s="8"/>
      <c r="U506" s="8"/>
    </row>
    <row r="507">
      <c r="A507" s="10" t="s">
        <v>1575</v>
      </c>
      <c r="B507" s="10" t="s">
        <v>1671</v>
      </c>
      <c r="C507" s="12" t="s">
        <v>1851</v>
      </c>
      <c r="D507" s="13" t="s">
        <v>1852</v>
      </c>
      <c r="E507" s="16">
        <f t="array" ref="E507">XLOOKUP(C507,'DATA TK PANEN'!D:D,'DATA TK PANEN'!H:H)</f>
        <v>228.82</v>
      </c>
      <c r="F507" s="10" t="str">
        <f>IFERROR(__xludf.DUMMYFUNCTION("XLOOKUP(C507,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7" s="10" t="str">
        <f>IFERROR(__xludf.DUMMYFUNCTION("XLOOKUP($C507,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7" s="10" t="str">
        <f>IFERROR(__xludf.DUMMYFUNCTION("XLOOKUP($C507,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7" s="18"/>
      <c r="J507" s="18"/>
      <c r="K507" s="10" t="str">
        <f>IFERROR(__xludf.DUMMYFUNCTION("XLOOKUP($C507,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7" s="10" t="str">
        <f>IFERROR(__xludf.DUMMYFUNCTION("XLOOKUP($C507,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7" s="8"/>
      <c r="N507" s="8"/>
      <c r="O507" s="8"/>
      <c r="P507" s="8"/>
      <c r="Q507" s="8"/>
      <c r="R507" s="8"/>
      <c r="S507" s="8"/>
      <c r="T507" s="8"/>
      <c r="U507" s="8"/>
    </row>
    <row r="508">
      <c r="A508" s="10" t="s">
        <v>1575</v>
      </c>
      <c r="B508" s="10" t="s">
        <v>1671</v>
      </c>
      <c r="C508" s="12" t="s">
        <v>1853</v>
      </c>
      <c r="D508" s="13" t="s">
        <v>1854</v>
      </c>
      <c r="E508" s="16" t="str">
        <f t="array" ref="E508">XLOOKUP(C508,'DATA TK PANEN'!D:D,'DATA TK PANEN'!H:H)</f>
        <v>Tidak Ditemukan</v>
      </c>
      <c r="F508" s="10" t="str">
        <f>IFERROR(__xludf.DUMMYFUNCTION("XLOOKUP(C508,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8" s="10" t="str">
        <f>IFERROR(__xludf.DUMMYFUNCTION("XLOOKUP($C508,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8" s="10" t="str">
        <f>IFERROR(__xludf.DUMMYFUNCTION("XLOOKUP($C508,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8" s="18"/>
      <c r="J508" s="18"/>
      <c r="K508" s="10" t="str">
        <f>IFERROR(__xludf.DUMMYFUNCTION("XLOOKUP($C508,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8" s="10" t="str">
        <f>IFERROR(__xludf.DUMMYFUNCTION("XLOOKUP($C508,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8" s="8"/>
      <c r="N508" s="8"/>
      <c r="O508" s="8"/>
      <c r="P508" s="8"/>
      <c r="Q508" s="8"/>
      <c r="R508" s="8"/>
      <c r="S508" s="8"/>
      <c r="T508" s="8"/>
      <c r="U508" s="8"/>
    </row>
    <row r="509">
      <c r="A509" s="10" t="s">
        <v>1575</v>
      </c>
      <c r="B509" s="10" t="s">
        <v>1671</v>
      </c>
      <c r="C509" s="12" t="s">
        <v>1855</v>
      </c>
      <c r="D509" s="13" t="s">
        <v>1856</v>
      </c>
      <c r="E509" s="16">
        <f t="array" ref="E509">XLOOKUP(C509,'DATA TK PANEN'!D:D,'DATA TK PANEN'!H:H)</f>
        <v>0</v>
      </c>
      <c r="F509" s="10" t="str">
        <f>IFERROR(__xludf.DUMMYFUNCTION("XLOOKUP(C509,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09" s="10" t="str">
        <f>IFERROR(__xludf.DUMMYFUNCTION("XLOOKUP($C509,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09" s="10" t="str">
        <f>IFERROR(__xludf.DUMMYFUNCTION("XLOOKUP($C509,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09" s="18"/>
      <c r="J509" s="18"/>
      <c r="K509" s="10" t="str">
        <f>IFERROR(__xludf.DUMMYFUNCTION("XLOOKUP($C509,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09" s="10" t="str">
        <f>IFERROR(__xludf.DUMMYFUNCTION("XLOOKUP($C509,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09" s="8"/>
      <c r="N509" s="8"/>
      <c r="O509" s="8"/>
      <c r="P509" s="8"/>
      <c r="Q509" s="8"/>
      <c r="R509" s="8"/>
      <c r="S509" s="8"/>
      <c r="T509" s="8"/>
      <c r="U509" s="8"/>
    </row>
    <row r="510">
      <c r="A510" s="10" t="s">
        <v>1575</v>
      </c>
      <c r="B510" s="10" t="s">
        <v>1671</v>
      </c>
      <c r="C510" s="12" t="s">
        <v>1857</v>
      </c>
      <c r="D510" s="13" t="s">
        <v>1858</v>
      </c>
      <c r="E510" s="16" t="str">
        <f t="array" ref="E510">XLOOKUP(C510,'DATA TK PANEN'!D:D,'DATA TK PANEN'!H:H)</f>
        <v>Tidak Ditemukan</v>
      </c>
      <c r="F510" s="10" t="str">
        <f>IFERROR(__xludf.DUMMYFUNCTION("XLOOKUP(C510,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0" s="10" t="str">
        <f>IFERROR(__xludf.DUMMYFUNCTION("XLOOKUP($C510,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0" s="10" t="str">
        <f>IFERROR(__xludf.DUMMYFUNCTION("XLOOKUP($C510,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0" s="18"/>
      <c r="J510" s="18"/>
      <c r="K510" s="10" t="str">
        <f>IFERROR(__xludf.DUMMYFUNCTION("XLOOKUP($C510,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0" s="10" t="str">
        <f>IFERROR(__xludf.DUMMYFUNCTION("XLOOKUP($C510,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0" s="8"/>
      <c r="N510" s="8"/>
      <c r="O510" s="8"/>
      <c r="P510" s="8"/>
      <c r="Q510" s="8"/>
      <c r="R510" s="8"/>
      <c r="S510" s="8"/>
      <c r="T510" s="8"/>
      <c r="U510" s="8"/>
    </row>
    <row r="511">
      <c r="A511" s="10" t="s">
        <v>1575</v>
      </c>
      <c r="B511" s="10" t="s">
        <v>1671</v>
      </c>
      <c r="C511" s="12" t="s">
        <v>1859</v>
      </c>
      <c r="D511" s="13" t="s">
        <v>1860</v>
      </c>
      <c r="E511" s="16">
        <f t="array" ref="E511">XLOOKUP(C511,'DATA TK PANEN'!D:D,'DATA TK PANEN'!H:H)</f>
        <v>0</v>
      </c>
      <c r="F511" s="10" t="str">
        <f>IFERROR(__xludf.DUMMYFUNCTION("XLOOKUP(C511,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1" s="10" t="str">
        <f>IFERROR(__xludf.DUMMYFUNCTION("XLOOKUP($C511,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1" s="10" t="str">
        <f>IFERROR(__xludf.DUMMYFUNCTION("XLOOKUP($C511,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1" s="18"/>
      <c r="J511" s="18"/>
      <c r="K511" s="10" t="str">
        <f>IFERROR(__xludf.DUMMYFUNCTION("XLOOKUP($C511,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1" s="10" t="str">
        <f>IFERROR(__xludf.DUMMYFUNCTION("XLOOKUP($C511,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1" s="8"/>
      <c r="N511" s="8"/>
      <c r="O511" s="8"/>
      <c r="P511" s="8"/>
      <c r="Q511" s="8"/>
      <c r="R511" s="8"/>
      <c r="S511" s="8"/>
      <c r="T511" s="8"/>
      <c r="U511" s="8"/>
    </row>
    <row r="512">
      <c r="A512" s="10" t="s">
        <v>1575</v>
      </c>
      <c r="B512" s="10" t="s">
        <v>1671</v>
      </c>
      <c r="C512" s="12" t="s">
        <v>1861</v>
      </c>
      <c r="D512" s="13" t="s">
        <v>1862</v>
      </c>
      <c r="E512" s="16">
        <f t="array" ref="E512">XLOOKUP(C512,'DATA TK PANEN'!D:D,'DATA TK PANEN'!H:H)</f>
        <v>0</v>
      </c>
      <c r="F512" s="10" t="str">
        <f>IFERROR(__xludf.DUMMYFUNCTION("XLOOKUP(C512,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2" s="10" t="str">
        <f>IFERROR(__xludf.DUMMYFUNCTION("XLOOKUP($C512,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2" s="10" t="str">
        <f>IFERROR(__xludf.DUMMYFUNCTION("XLOOKUP($C512,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2" s="18"/>
      <c r="J512" s="18"/>
      <c r="K512" s="10" t="str">
        <f>IFERROR(__xludf.DUMMYFUNCTION("XLOOKUP($C512,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2" s="10" t="str">
        <f>IFERROR(__xludf.DUMMYFUNCTION("XLOOKUP($C512,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2" s="8"/>
      <c r="N512" s="8"/>
      <c r="O512" s="8"/>
      <c r="P512" s="8"/>
      <c r="Q512" s="8"/>
      <c r="R512" s="8"/>
      <c r="S512" s="8"/>
      <c r="T512" s="8"/>
      <c r="U512" s="8"/>
    </row>
    <row r="513">
      <c r="A513" s="10" t="s">
        <v>1575</v>
      </c>
      <c r="B513" s="10" t="s">
        <v>1671</v>
      </c>
      <c r="C513" s="12" t="s">
        <v>1863</v>
      </c>
      <c r="D513" s="13" t="s">
        <v>1864</v>
      </c>
      <c r="E513" s="16">
        <f t="array" ref="E513">XLOOKUP(C513,'DATA TK PANEN'!D:D,'DATA TK PANEN'!H:H)</f>
        <v>0</v>
      </c>
      <c r="F513" s="10" t="str">
        <f>IFERROR(__xludf.DUMMYFUNCTION("XLOOKUP(C513,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3" s="10" t="str">
        <f>IFERROR(__xludf.DUMMYFUNCTION("XLOOKUP($C513,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3" s="10" t="str">
        <f>IFERROR(__xludf.DUMMYFUNCTION("XLOOKUP($C513,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3" s="18"/>
      <c r="J513" s="18"/>
      <c r="K513" s="10" t="str">
        <f>IFERROR(__xludf.DUMMYFUNCTION("XLOOKUP($C513,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3" s="10" t="str">
        <f>IFERROR(__xludf.DUMMYFUNCTION("XLOOKUP($C513,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3" s="8"/>
      <c r="N513" s="8"/>
      <c r="O513" s="8"/>
      <c r="P513" s="8"/>
      <c r="Q513" s="8"/>
      <c r="R513" s="8"/>
      <c r="S513" s="8"/>
      <c r="T513" s="8"/>
      <c r="U513" s="8"/>
    </row>
    <row r="514">
      <c r="A514" s="10" t="s">
        <v>1575</v>
      </c>
      <c r="B514" s="10" t="s">
        <v>1671</v>
      </c>
      <c r="C514" s="12" t="s">
        <v>1865</v>
      </c>
      <c r="D514" s="13" t="s">
        <v>1866</v>
      </c>
      <c r="E514" s="16" t="str">
        <f t="array" ref="E514">XLOOKUP(C514,'DATA TK PANEN'!D:D,'DATA TK PANEN'!H:H)</f>
        <v>Tidak Ditemukan</v>
      </c>
      <c r="F514" s="10" t="str">
        <f>IFERROR(__xludf.DUMMYFUNCTION("XLOOKUP(C514,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4" s="10" t="str">
        <f>IFERROR(__xludf.DUMMYFUNCTION("XLOOKUP($C514,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4" s="10" t="str">
        <f>IFERROR(__xludf.DUMMYFUNCTION("XLOOKUP($C514,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4" s="18"/>
      <c r="J514" s="18"/>
      <c r="K514" s="10" t="str">
        <f>IFERROR(__xludf.DUMMYFUNCTION("XLOOKUP($C514,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4" s="10" t="str">
        <f>IFERROR(__xludf.DUMMYFUNCTION("XLOOKUP($C514,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4" s="8"/>
      <c r="N514" s="8"/>
      <c r="O514" s="8"/>
      <c r="P514" s="8"/>
      <c r="Q514" s="8"/>
      <c r="R514" s="8"/>
      <c r="S514" s="8"/>
      <c r="T514" s="8"/>
      <c r="U514" s="8"/>
    </row>
    <row r="515">
      <c r="A515" s="10" t="s">
        <v>1575</v>
      </c>
      <c r="B515" s="10" t="s">
        <v>1671</v>
      </c>
      <c r="C515" s="12" t="s">
        <v>1867</v>
      </c>
      <c r="D515" s="13" t="s">
        <v>1868</v>
      </c>
      <c r="E515" s="16" t="str">
        <f t="array" ref="E515">XLOOKUP(C515,'DATA TK PANEN'!D:D,'DATA TK PANEN'!H:H)</f>
        <v>Tidak Ditemukan</v>
      </c>
      <c r="F515" s="10" t="str">
        <f>IFERROR(__xludf.DUMMYFUNCTION("XLOOKUP(C515,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5" s="10" t="str">
        <f>IFERROR(__xludf.DUMMYFUNCTION("XLOOKUP($C515,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5" s="10" t="str">
        <f>IFERROR(__xludf.DUMMYFUNCTION("XLOOKUP($C515,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5" s="18"/>
      <c r="J515" s="18"/>
      <c r="K515" s="10" t="str">
        <f>IFERROR(__xludf.DUMMYFUNCTION("XLOOKUP($C515,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5" s="10" t="str">
        <f>IFERROR(__xludf.DUMMYFUNCTION("XLOOKUP($C515,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5" s="8"/>
      <c r="N515" s="8"/>
      <c r="O515" s="8"/>
      <c r="P515" s="8"/>
      <c r="Q515" s="8"/>
      <c r="R515" s="8"/>
      <c r="S515" s="8"/>
      <c r="T515" s="8"/>
      <c r="U515" s="8"/>
    </row>
    <row r="516">
      <c r="A516" s="10" t="s">
        <v>1575</v>
      </c>
      <c r="B516" s="10" t="s">
        <v>1671</v>
      </c>
      <c r="C516" s="12" t="s">
        <v>1869</v>
      </c>
      <c r="D516" s="13" t="s">
        <v>1870</v>
      </c>
      <c r="E516" s="16">
        <f t="array" ref="E516">XLOOKUP(C516,'DATA TK PANEN'!D:D,'DATA TK PANEN'!H:H)</f>
        <v>50.87</v>
      </c>
      <c r="F516" s="10" t="str">
        <f>IFERROR(__xludf.DUMMYFUNCTION("XLOOKUP(C516,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6" s="10" t="str">
        <f>IFERROR(__xludf.DUMMYFUNCTION("XLOOKUP($C516,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6" s="10" t="str">
        <f>IFERROR(__xludf.DUMMYFUNCTION("XLOOKUP($C516,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6" s="18"/>
      <c r="J516" s="18"/>
      <c r="K516" s="10" t="str">
        <f>IFERROR(__xludf.DUMMYFUNCTION("XLOOKUP($C516,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6" s="10" t="str">
        <f>IFERROR(__xludf.DUMMYFUNCTION("XLOOKUP($C516,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6" s="8"/>
      <c r="N516" s="8"/>
      <c r="O516" s="8"/>
      <c r="P516" s="8"/>
      <c r="Q516" s="8"/>
      <c r="R516" s="8"/>
      <c r="S516" s="8"/>
      <c r="T516" s="8"/>
      <c r="U516" s="8"/>
    </row>
    <row r="517">
      <c r="A517" s="10" t="s">
        <v>1575</v>
      </c>
      <c r="B517" s="10" t="s">
        <v>1671</v>
      </c>
      <c r="C517" s="12" t="s">
        <v>1871</v>
      </c>
      <c r="D517" s="13" t="s">
        <v>1872</v>
      </c>
      <c r="E517" s="16">
        <f t="array" ref="E517">XLOOKUP(C517,'DATA TK PANEN'!D:D,'DATA TK PANEN'!H:H)</f>
        <v>0</v>
      </c>
      <c r="F517" s="10" t="str">
        <f>IFERROR(__xludf.DUMMYFUNCTION("XLOOKUP(C517,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7" s="10" t="str">
        <f>IFERROR(__xludf.DUMMYFUNCTION("XLOOKUP($C517,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7" s="10" t="str">
        <f>IFERROR(__xludf.DUMMYFUNCTION("XLOOKUP($C517,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7" s="18"/>
      <c r="J517" s="18"/>
      <c r="K517" s="10" t="str">
        <f>IFERROR(__xludf.DUMMYFUNCTION("XLOOKUP($C517,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7" s="10" t="str">
        <f>IFERROR(__xludf.DUMMYFUNCTION("XLOOKUP($C517,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7" s="8"/>
      <c r="N517" s="8"/>
      <c r="O517" s="8"/>
      <c r="P517" s="8"/>
      <c r="Q517" s="8"/>
      <c r="R517" s="8"/>
      <c r="S517" s="8"/>
      <c r="T517" s="8"/>
      <c r="U517" s="8"/>
    </row>
    <row r="518">
      <c r="A518" s="10" t="s">
        <v>1575</v>
      </c>
      <c r="B518" s="10" t="s">
        <v>1671</v>
      </c>
      <c r="C518" s="12" t="s">
        <v>1873</v>
      </c>
      <c r="D518" s="13" t="s">
        <v>1874</v>
      </c>
      <c r="E518" s="16">
        <f t="array" ref="E518">XLOOKUP(C518,'DATA TK PANEN'!D:D,'DATA TK PANEN'!H:H)</f>
        <v>49.09</v>
      </c>
      <c r="F518" s="10" t="str">
        <f>IFERROR(__xludf.DUMMYFUNCTION("XLOOKUP(C518,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8" s="10" t="str">
        <f>IFERROR(__xludf.DUMMYFUNCTION("XLOOKUP($C518,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8" s="10" t="str">
        <f>IFERROR(__xludf.DUMMYFUNCTION("XLOOKUP($C518,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8" s="18"/>
      <c r="J518" s="18"/>
      <c r="K518" s="10" t="str">
        <f>IFERROR(__xludf.DUMMYFUNCTION("XLOOKUP($C518,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8" s="10" t="str">
        <f>IFERROR(__xludf.DUMMYFUNCTION("XLOOKUP($C518,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8" s="8"/>
      <c r="N518" s="8"/>
      <c r="O518" s="8"/>
      <c r="P518" s="8"/>
      <c r="Q518" s="8"/>
      <c r="R518" s="8"/>
      <c r="S518" s="8"/>
      <c r="T518" s="8"/>
      <c r="U518" s="8"/>
    </row>
    <row r="519">
      <c r="A519" s="10" t="s">
        <v>1575</v>
      </c>
      <c r="B519" s="10" t="s">
        <v>1671</v>
      </c>
      <c r="C519" s="12" t="s">
        <v>1875</v>
      </c>
      <c r="D519" s="13" t="s">
        <v>1876</v>
      </c>
      <c r="E519" s="16" t="str">
        <f t="array" ref="E519">XLOOKUP(C519,'DATA TK PANEN'!D:D,'DATA TK PANEN'!H:H)</f>
        <v>Tidak Ditemukan</v>
      </c>
      <c r="F519" s="10" t="str">
        <f>IFERROR(__xludf.DUMMYFUNCTION("XLOOKUP(C519,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19" s="10" t="str">
        <f>IFERROR(__xludf.DUMMYFUNCTION("XLOOKUP($C519,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19" s="10" t="str">
        <f>IFERROR(__xludf.DUMMYFUNCTION("XLOOKUP($C519,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19" s="18"/>
      <c r="J519" s="18"/>
      <c r="K519" s="10" t="str">
        <f>IFERROR(__xludf.DUMMYFUNCTION("XLOOKUP($C519,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19" s="10" t="str">
        <f>IFERROR(__xludf.DUMMYFUNCTION("XLOOKUP($C519,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19" s="8"/>
      <c r="N519" s="8"/>
      <c r="O519" s="8"/>
      <c r="P519" s="8"/>
      <c r="Q519" s="8"/>
      <c r="R519" s="8"/>
      <c r="S519" s="8"/>
      <c r="T519" s="8"/>
      <c r="U519" s="8"/>
    </row>
    <row r="520">
      <c r="A520" s="10" t="s">
        <v>1575</v>
      </c>
      <c r="B520" s="10" t="s">
        <v>1671</v>
      </c>
      <c r="C520" s="12" t="s">
        <v>1877</v>
      </c>
      <c r="D520" s="13" t="s">
        <v>1878</v>
      </c>
      <c r="E520" s="16" t="str">
        <f t="array" ref="E520">XLOOKUP(C520,'DATA TK PANEN'!D:D,'DATA TK PANEN'!H:H)</f>
        <v>Tidak Ditemukan</v>
      </c>
      <c r="F520" s="10" t="str">
        <f>IFERROR(__xludf.DUMMYFUNCTION("XLOOKUP(C520,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0" s="10" t="str">
        <f>IFERROR(__xludf.DUMMYFUNCTION("XLOOKUP($C520,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0" s="10" t="str">
        <f>IFERROR(__xludf.DUMMYFUNCTION("XLOOKUP($C520,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0" s="18"/>
      <c r="J520" s="18"/>
      <c r="K520" s="10" t="str">
        <f>IFERROR(__xludf.DUMMYFUNCTION("XLOOKUP($C520,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0" s="10" t="str">
        <f>IFERROR(__xludf.DUMMYFUNCTION("XLOOKUP($C520,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0" s="8"/>
      <c r="N520" s="8"/>
      <c r="O520" s="8"/>
      <c r="P520" s="8"/>
      <c r="Q520" s="8"/>
      <c r="R520" s="8"/>
      <c r="S520" s="8"/>
      <c r="T520" s="8"/>
      <c r="U520" s="8"/>
    </row>
    <row r="521">
      <c r="A521" s="10" t="s">
        <v>1575</v>
      </c>
      <c r="B521" s="10" t="s">
        <v>1671</v>
      </c>
      <c r="C521" s="12" t="s">
        <v>1879</v>
      </c>
      <c r="D521" s="13" t="s">
        <v>1880</v>
      </c>
      <c r="E521" s="16" t="str">
        <f t="array" ref="E521">XLOOKUP(C521,'DATA TK PANEN'!D:D,'DATA TK PANEN'!H:H)</f>
        <v>Tidak Ditemukan</v>
      </c>
      <c r="F521" s="10" t="str">
        <f>IFERROR(__xludf.DUMMYFUNCTION("XLOOKUP(C521,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1" s="10" t="str">
        <f>IFERROR(__xludf.DUMMYFUNCTION("XLOOKUP($C521,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1" s="10" t="str">
        <f>IFERROR(__xludf.DUMMYFUNCTION("XLOOKUP($C521,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1" s="18"/>
      <c r="J521" s="18"/>
      <c r="K521" s="10" t="str">
        <f>IFERROR(__xludf.DUMMYFUNCTION("XLOOKUP($C521,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1" s="10" t="str">
        <f>IFERROR(__xludf.DUMMYFUNCTION("XLOOKUP($C521,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1" s="8"/>
      <c r="N521" s="8"/>
      <c r="O521" s="8"/>
      <c r="P521" s="8"/>
      <c r="Q521" s="8"/>
      <c r="R521" s="8"/>
      <c r="S521" s="8"/>
      <c r="T521" s="8"/>
      <c r="U521" s="8"/>
    </row>
    <row r="522">
      <c r="A522" s="10" t="s">
        <v>1575</v>
      </c>
      <c r="B522" s="10" t="s">
        <v>1671</v>
      </c>
      <c r="C522" s="12" t="s">
        <v>1882</v>
      </c>
      <c r="D522" s="13" t="s">
        <v>1883</v>
      </c>
      <c r="E522" s="16" t="str">
        <f t="array" ref="E522">XLOOKUP(C522,'DATA TK PANEN'!D:D,'DATA TK PANEN'!H:H)</f>
        <v>Tidak Ditemukan</v>
      </c>
      <c r="F522" s="10" t="str">
        <f>IFERROR(__xludf.DUMMYFUNCTION("XLOOKUP(C522,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2" s="10" t="str">
        <f>IFERROR(__xludf.DUMMYFUNCTION("XLOOKUP($C522,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2" s="10" t="str">
        <f>IFERROR(__xludf.DUMMYFUNCTION("XLOOKUP($C522,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2" s="18"/>
      <c r="J522" s="18"/>
      <c r="K522" s="10" t="str">
        <f>IFERROR(__xludf.DUMMYFUNCTION("XLOOKUP($C522,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2" s="10" t="str">
        <f>IFERROR(__xludf.DUMMYFUNCTION("XLOOKUP($C522,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2" s="8"/>
      <c r="N522" s="8"/>
      <c r="O522" s="8"/>
      <c r="P522" s="8"/>
      <c r="Q522" s="8"/>
      <c r="R522" s="8"/>
      <c r="S522" s="8"/>
      <c r="T522" s="8"/>
      <c r="U522" s="8"/>
    </row>
    <row r="523">
      <c r="A523" s="10" t="s">
        <v>1575</v>
      </c>
      <c r="B523" s="10" t="s">
        <v>1671</v>
      </c>
      <c r="C523" s="12" t="s">
        <v>1884</v>
      </c>
      <c r="D523" s="13" t="s">
        <v>1885</v>
      </c>
      <c r="E523" s="16">
        <f t="array" ref="E523">XLOOKUP(C523,'DATA TK PANEN'!D:D,'DATA TK PANEN'!H:H)</f>
        <v>400</v>
      </c>
      <c r="F523" s="10">
        <f>IFERROR(__xludf.DUMMYFUNCTION("XLOOKUP(C523,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523" s="10">
        <f>IFERROR(__xludf.DUMMYFUNCTION("XLOOKUP($C523,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(AUTO)'!T6:T""))"),15.0)</f>
        <v>15</v>
      </c>
      <c r="H523" s="10">
        <f>IFERROR(__xludf.DUMMYFUNCTION("XLOOKUP($C523,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523" s="18"/>
      <c r="J523" s="18"/>
      <c r="K523" s="10">
        <f>IFERROR(__xludf.DUMMYFUNCTION("XLOOKUP($C523,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523" s="10">
        <f>IFERROR(__xludf.DUMMYFUNCTION("XLOOKUP($C523,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23" s="8"/>
      <c r="N523" s="8"/>
      <c r="O523" s="8"/>
      <c r="P523" s="8"/>
      <c r="Q523" s="8"/>
      <c r="R523" s="8"/>
      <c r="S523" s="8"/>
      <c r="T523" s="8"/>
      <c r="U523" s="8"/>
    </row>
    <row r="524">
      <c r="A524" s="10" t="s">
        <v>1575</v>
      </c>
      <c r="B524" s="10" t="s">
        <v>1671</v>
      </c>
      <c r="C524" s="12" t="s">
        <v>1886</v>
      </c>
      <c r="D524" s="13" t="s">
        <v>1887</v>
      </c>
      <c r="E524" s="16">
        <f t="array" ref="E524">XLOOKUP(C524,'DATA TK PANEN'!D:D,'DATA TK PANEN'!H:H)</f>
        <v>0</v>
      </c>
      <c r="F524" s="10" t="str">
        <f>IFERROR(__xludf.DUMMYFUNCTION("XLOOKUP(C524,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4" s="10" t="str">
        <f>IFERROR(__xludf.DUMMYFUNCTION("XLOOKUP($C524,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4" s="10" t="str">
        <f>IFERROR(__xludf.DUMMYFUNCTION("XLOOKUP($C524,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4" s="18"/>
      <c r="J524" s="18"/>
      <c r="K524" s="10" t="str">
        <f>IFERROR(__xludf.DUMMYFUNCTION("XLOOKUP($C524,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4" s="10" t="str">
        <f>IFERROR(__xludf.DUMMYFUNCTION("XLOOKUP($C524,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4" s="8"/>
      <c r="N524" s="8"/>
      <c r="O524" s="8"/>
      <c r="P524" s="8"/>
      <c r="Q524" s="8"/>
      <c r="R524" s="8"/>
      <c r="S524" s="8"/>
      <c r="T524" s="8"/>
      <c r="U524" s="8"/>
    </row>
    <row r="525">
      <c r="A525" s="10" t="s">
        <v>1575</v>
      </c>
      <c r="B525" s="10" t="s">
        <v>1671</v>
      </c>
      <c r="C525" s="12" t="s">
        <v>1888</v>
      </c>
      <c r="D525" s="13" t="s">
        <v>1889</v>
      </c>
      <c r="E525" s="16">
        <f t="array" ref="E525">XLOOKUP(C525,'DATA TK PANEN'!D:D,'DATA TK PANEN'!H:H)</f>
        <v>0</v>
      </c>
      <c r="F525" s="10" t="str">
        <f>IFERROR(__xludf.DUMMYFUNCTION("XLOOKUP(C525,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5" s="10" t="str">
        <f>IFERROR(__xludf.DUMMYFUNCTION("XLOOKUP($C525,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5" s="10" t="str">
        <f>IFERROR(__xludf.DUMMYFUNCTION("XLOOKUP($C525,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5" s="18"/>
      <c r="J525" s="18"/>
      <c r="K525" s="10" t="str">
        <f>IFERROR(__xludf.DUMMYFUNCTION("XLOOKUP($C525,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5" s="10" t="str">
        <f>IFERROR(__xludf.DUMMYFUNCTION("XLOOKUP($C525,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5" s="8"/>
      <c r="N525" s="8"/>
      <c r="O525" s="8"/>
      <c r="P525" s="8"/>
      <c r="Q525" s="8"/>
      <c r="R525" s="8"/>
      <c r="S525" s="8"/>
      <c r="T525" s="8"/>
      <c r="U525" s="8"/>
    </row>
    <row r="526">
      <c r="A526" s="10" t="s">
        <v>1575</v>
      </c>
      <c r="B526" s="10" t="s">
        <v>1671</v>
      </c>
      <c r="C526" s="12" t="s">
        <v>1890</v>
      </c>
      <c r="D526" s="13" t="s">
        <v>1891</v>
      </c>
      <c r="E526" s="16">
        <f t="array" ref="E526">XLOOKUP(C526,'DATA TK PANEN'!D:D,'DATA TK PANEN'!H:H)</f>
        <v>1085</v>
      </c>
      <c r="F526" s="10">
        <f>IFERROR(__xludf.DUMMYFUNCTION("XLOOKUP(C526,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(AUTO)'!S6:S""))"),62.0)</f>
        <v>62</v>
      </c>
      <c r="G526" s="10">
        <f>IFERROR(__xludf.DUMMYFUNCTION("XLOOKUP($C526,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(AUTO)'!T6:T""))"),52.0)</f>
        <v>52</v>
      </c>
      <c r="H526" s="10">
        <f>IFERROR(__xludf.DUMMYFUNCTION("XLOOKUP($C526,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(AUTO)'!V6:V""))"),43.0)</f>
        <v>43</v>
      </c>
      <c r="I526" s="18"/>
      <c r="J526" s="18"/>
      <c r="K526" s="10">
        <f>IFERROR(__xludf.DUMMYFUNCTION("XLOOKUP($C526,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526" s="10">
        <f>IFERROR(__xludf.DUMMYFUNCTION("XLOOKUP($C526,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526" s="8"/>
      <c r="N526" s="8"/>
      <c r="O526" s="8"/>
      <c r="P526" s="8"/>
      <c r="Q526" s="8"/>
      <c r="R526" s="8"/>
      <c r="S526" s="8"/>
      <c r="T526" s="8"/>
      <c r="U526" s="8"/>
    </row>
    <row r="527">
      <c r="A527" s="10" t="s">
        <v>1575</v>
      </c>
      <c r="B527" s="10" t="s">
        <v>1671</v>
      </c>
      <c r="C527" s="12" t="s">
        <v>1892</v>
      </c>
      <c r="D527" s="13" t="s">
        <v>1893</v>
      </c>
      <c r="E527" s="16">
        <f t="array" ref="E527">XLOOKUP(C527,'DATA TK PANEN'!D:D,'DATA TK PANEN'!H:H)</f>
        <v>0</v>
      </c>
      <c r="F527" s="10" t="str">
        <f>IFERROR(__xludf.DUMMYFUNCTION("XLOOKUP(C527,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7" s="10" t="str">
        <f>IFERROR(__xludf.DUMMYFUNCTION("XLOOKUP($C527,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7" s="10" t="str">
        <f>IFERROR(__xludf.DUMMYFUNCTION("XLOOKUP($C527,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7" s="18"/>
      <c r="J527" s="18"/>
      <c r="K527" s="10" t="str">
        <f>IFERROR(__xludf.DUMMYFUNCTION("XLOOKUP($C527,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7" s="10" t="str">
        <f>IFERROR(__xludf.DUMMYFUNCTION("XLOOKUP($C527,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7" s="8"/>
      <c r="N527" s="8"/>
      <c r="O527" s="8"/>
      <c r="P527" s="8"/>
      <c r="Q527" s="8"/>
      <c r="R527" s="8"/>
      <c r="S527" s="8"/>
      <c r="T527" s="8"/>
      <c r="U527" s="8"/>
    </row>
    <row r="528">
      <c r="A528" s="10" t="s">
        <v>1575</v>
      </c>
      <c r="B528" s="10" t="s">
        <v>1671</v>
      </c>
      <c r="C528" s="12" t="s">
        <v>1894</v>
      </c>
      <c r="D528" s="13" t="s">
        <v>1895</v>
      </c>
      <c r="E528" s="16" t="str">
        <f t="array" ref="E528">XLOOKUP(C528,'DATA TK PANEN'!D:D,'DATA TK PANEN'!H:H)</f>
        <v>Tidak Ditemukan</v>
      </c>
      <c r="F528" s="10" t="str">
        <f>IFERROR(__xludf.DUMMYFUNCTION("XLOOKUP(C528,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8" s="10" t="str">
        <f>IFERROR(__xludf.DUMMYFUNCTION("XLOOKUP($C528,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8" s="10" t="str">
        <f>IFERROR(__xludf.DUMMYFUNCTION("XLOOKUP($C528,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8" s="18"/>
      <c r="J528" s="18"/>
      <c r="K528" s="10" t="str">
        <f>IFERROR(__xludf.DUMMYFUNCTION("XLOOKUP($C528,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8" s="10" t="str">
        <f>IFERROR(__xludf.DUMMYFUNCTION("XLOOKUP($C528,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8" s="8"/>
      <c r="N528" s="8"/>
      <c r="O528" s="8"/>
      <c r="P528" s="8"/>
      <c r="Q528" s="8"/>
      <c r="R528" s="8"/>
      <c r="S528" s="8"/>
      <c r="T528" s="8"/>
      <c r="U528" s="8"/>
    </row>
    <row r="529">
      <c r="A529" s="10" t="s">
        <v>1575</v>
      </c>
      <c r="B529" s="10" t="s">
        <v>1671</v>
      </c>
      <c r="C529" s="12" t="s">
        <v>1896</v>
      </c>
      <c r="D529" s="13" t="s">
        <v>1897</v>
      </c>
      <c r="E529" s="16">
        <f t="array" ref="E529">XLOOKUP(C529,'DATA TK PANEN'!D:D,'DATA TK PANEN'!H:H)</f>
        <v>21.51</v>
      </c>
      <c r="F529" s="10" t="str">
        <f>IFERROR(__xludf.DUMMYFUNCTION("XLOOKUP(C529,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29" s="10" t="str">
        <f>IFERROR(__xludf.DUMMYFUNCTION("XLOOKUP($C529,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29" s="10" t="str">
        <f>IFERROR(__xludf.DUMMYFUNCTION("XLOOKUP($C529,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29" s="18"/>
      <c r="J529" s="18"/>
      <c r="K529" s="10" t="str">
        <f>IFERROR(__xludf.DUMMYFUNCTION("XLOOKUP($C529,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29" s="10" t="str">
        <f>IFERROR(__xludf.DUMMYFUNCTION("XLOOKUP($C529,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29" s="8"/>
      <c r="N529" s="8"/>
      <c r="O529" s="8"/>
      <c r="P529" s="8"/>
      <c r="Q529" s="8"/>
      <c r="R529" s="8"/>
      <c r="S529" s="8"/>
      <c r="T529" s="8"/>
      <c r="U529" s="8"/>
    </row>
    <row r="530">
      <c r="A530" s="10" t="s">
        <v>1898</v>
      </c>
      <c r="B530" s="10" t="s">
        <v>1899</v>
      </c>
      <c r="C530" s="12" t="s">
        <v>1380</v>
      </c>
      <c r="D530" s="13" t="s">
        <v>1900</v>
      </c>
      <c r="E530" s="16">
        <f t="array" ref="E530">XLOOKUP(C530,'DATA TK PANEN'!D:D,'DATA TK PANEN'!H:H)</f>
        <v>116.52</v>
      </c>
      <c r="F530" s="10">
        <f>IFERROR(__xludf.DUMMYFUNCTION("XLOOKUP(C530,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530" s="10" t="str">
        <f>IFERROR(__xludf.DUMMYFUNCTION("XLOOKUP($C530,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30" s="10">
        <f>IFERROR(__xludf.DUMMYFUNCTION("XLOOKUP($C530,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530" s="18"/>
      <c r="J530" s="18"/>
      <c r="K530" s="10">
        <f>IFERROR(__xludf.DUMMYFUNCTION("XLOOKUP($C530,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530" s="10">
        <f>IFERROR(__xludf.DUMMYFUNCTION("XLOOKUP($C530,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530" s="8"/>
      <c r="N530" s="8"/>
      <c r="O530" s="8"/>
      <c r="P530" s="8"/>
      <c r="Q530" s="8"/>
      <c r="R530" s="8"/>
      <c r="S530" s="8"/>
      <c r="T530" s="8"/>
      <c r="U530" s="8"/>
    </row>
    <row r="531">
      <c r="A531" s="10" t="s">
        <v>1898</v>
      </c>
      <c r="B531" s="10" t="s">
        <v>1899</v>
      </c>
      <c r="C531" s="12" t="s">
        <v>1383</v>
      </c>
      <c r="D531" s="13" t="s">
        <v>1901</v>
      </c>
      <c r="E531" s="16">
        <f t="array" ref="E531">XLOOKUP(C531,'DATA TK PANEN'!D:D,'DATA TK PANEN'!H:H)</f>
        <v>0.25</v>
      </c>
      <c r="F531" s="10" t="str">
        <f>IFERROR(__xludf.DUMMYFUNCTION("XLOOKUP(C531,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31" s="10" t="str">
        <f>IFERROR(__xludf.DUMMYFUNCTION("XLOOKUP($C531,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31" s="10" t="str">
        <f>IFERROR(__xludf.DUMMYFUNCTION("XLOOKUP($C531,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31" s="18"/>
      <c r="J531" s="18"/>
      <c r="K531" s="10" t="str">
        <f>IFERROR(__xludf.DUMMYFUNCTION("XLOOKUP($C531,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31" s="10" t="str">
        <f>IFERROR(__xludf.DUMMYFUNCTION("XLOOKUP($C531,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31" s="8"/>
      <c r="N531" s="8"/>
      <c r="O531" s="8"/>
      <c r="P531" s="8"/>
      <c r="Q531" s="8"/>
      <c r="R531" s="8"/>
      <c r="S531" s="8"/>
      <c r="T531" s="8"/>
      <c r="U531" s="8"/>
    </row>
    <row r="532">
      <c r="A532" s="10" t="s">
        <v>1898</v>
      </c>
      <c r="B532" s="10" t="s">
        <v>1899</v>
      </c>
      <c r="C532" s="12" t="s">
        <v>1384</v>
      </c>
      <c r="D532" s="13" t="s">
        <v>1902</v>
      </c>
      <c r="E532" s="16">
        <f t="array" ref="E532">XLOOKUP(C532,'DATA TK PANEN'!D:D,'DATA TK PANEN'!H:H)</f>
        <v>791.68</v>
      </c>
      <c r="F532" s="10">
        <f>IFERROR(__xludf.DUMMYFUNCTION("XLOOKUP(C532,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(AUTO)'!S6:S""))"),48.0)</f>
        <v>48</v>
      </c>
      <c r="G532" s="10">
        <f>IFERROR(__xludf.DUMMYFUNCTION("XLOOKUP($C532,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(AUTO)'!T6:T""))"),36.0)</f>
        <v>36</v>
      </c>
      <c r="H532" s="10">
        <f>IFERROR(__xludf.DUMMYFUNCTION("XLOOKUP($C532,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(AUTO)'!V6:V""))"),36.0)</f>
        <v>36</v>
      </c>
      <c r="I532" s="18"/>
      <c r="J532" s="18"/>
      <c r="K532" s="10">
        <f>IFERROR(__xludf.DUMMYFUNCTION("XLOOKUP($C532,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532" s="10">
        <f>IFERROR(__xludf.DUMMYFUNCTION("XLOOKUP($C532,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(AUTO)'!X6:X""))"),7.0)</f>
        <v>7</v>
      </c>
      <c r="M532" s="8"/>
      <c r="N532" s="8"/>
      <c r="O532" s="8"/>
      <c r="P532" s="8"/>
      <c r="Q532" s="8"/>
      <c r="R532" s="8"/>
      <c r="S532" s="8"/>
      <c r="T532" s="8"/>
      <c r="U532" s="8"/>
    </row>
    <row r="533">
      <c r="A533" s="10" t="s">
        <v>1898</v>
      </c>
      <c r="B533" s="10" t="s">
        <v>1899</v>
      </c>
      <c r="C533" s="12" t="s">
        <v>1387</v>
      </c>
      <c r="D533" s="13" t="s">
        <v>1903</v>
      </c>
      <c r="E533" s="16">
        <f t="array" ref="E533">XLOOKUP(C533,'DATA TK PANEN'!D:D,'DATA TK PANEN'!H:H)</f>
        <v>0</v>
      </c>
      <c r="F533" s="10" t="str">
        <f>IFERROR(__xludf.DUMMYFUNCTION("XLOOKUP(C533,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33" s="10" t="str">
        <f>IFERROR(__xludf.DUMMYFUNCTION("XLOOKUP($C533,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33" s="10" t="str">
        <f>IFERROR(__xludf.DUMMYFUNCTION("XLOOKUP($C533,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33" s="18"/>
      <c r="J533" s="18"/>
      <c r="K533" s="10" t="str">
        <f>IFERROR(__xludf.DUMMYFUNCTION("XLOOKUP($C533,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33" s="10" t="str">
        <f>IFERROR(__xludf.DUMMYFUNCTION("XLOOKUP($C533,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33" s="8"/>
      <c r="N533" s="8"/>
      <c r="O533" s="8"/>
      <c r="P533" s="8"/>
      <c r="Q533" s="8"/>
      <c r="R533" s="8"/>
      <c r="S533" s="8"/>
      <c r="T533" s="8"/>
      <c r="U533" s="8"/>
    </row>
    <row r="534">
      <c r="A534" s="10" t="s">
        <v>1898</v>
      </c>
      <c r="B534" s="10" t="s">
        <v>1899</v>
      </c>
      <c r="C534" s="12" t="s">
        <v>1390</v>
      </c>
      <c r="D534" s="13" t="s">
        <v>1904</v>
      </c>
      <c r="E534" s="16">
        <f t="array" ref="E534">XLOOKUP(C534,'DATA TK PANEN'!D:D,'DATA TK PANEN'!H:H)</f>
        <v>742.19</v>
      </c>
      <c r="F534" s="10">
        <f>IFERROR(__xludf.DUMMYFUNCTION("XLOOKUP(C534,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(AUTO)'!S6:S""))"),45.0)</f>
        <v>45</v>
      </c>
      <c r="G534" s="10">
        <f>IFERROR(__xludf.DUMMYFUNCTION("XLOOKUP($C534,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(AUTO)'!T6:T""))"),25.0)</f>
        <v>25</v>
      </c>
      <c r="H534" s="10">
        <f>IFERROR(__xludf.DUMMYFUNCTION("XLOOKUP($C534,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(AUTO)'!V6:V""))"),25.0)</f>
        <v>25</v>
      </c>
      <c r="I534" s="18"/>
      <c r="J534" s="18"/>
      <c r="K534" s="10">
        <f>IFERROR(__xludf.DUMMYFUNCTION("XLOOKUP($C534,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534" s="10">
        <f>IFERROR(__xludf.DUMMYFUNCTION("XLOOKUP($C534,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(AUTO)'!X6:X""))"),6.0)</f>
        <v>6</v>
      </c>
      <c r="M534" s="8"/>
      <c r="N534" s="8"/>
      <c r="O534" s="8"/>
      <c r="P534" s="8"/>
      <c r="Q534" s="8"/>
      <c r="R534" s="8"/>
      <c r="S534" s="8"/>
      <c r="T534" s="8"/>
      <c r="U534" s="8"/>
    </row>
    <row r="535">
      <c r="A535" s="10" t="s">
        <v>1898</v>
      </c>
      <c r="B535" s="10" t="s">
        <v>1899</v>
      </c>
      <c r="C535" s="12" t="s">
        <v>1393</v>
      </c>
      <c r="D535" s="13" t="s">
        <v>1905</v>
      </c>
      <c r="E535" s="16">
        <f t="array" ref="E535">XLOOKUP(C535,'DATA TK PANEN'!D:D,'DATA TK PANEN'!H:H)</f>
        <v>47.41</v>
      </c>
      <c r="F535" s="10">
        <f>IFERROR(__xludf.DUMMYFUNCTION("XLOOKUP(C535,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535" s="10">
        <f>IFERROR(__xludf.DUMMYFUNCTION("XLOOKUP($C535,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535" s="10">
        <f>IFERROR(__xludf.DUMMYFUNCTION("XLOOKUP($C535,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535" s="18"/>
      <c r="J535" s="18"/>
      <c r="K535" s="10">
        <f>IFERROR(__xludf.DUMMYFUNCTION("XLOOKUP($C535,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535" s="10" t="str">
        <f>IFERROR(__xludf.DUMMYFUNCTION("XLOOKUP($C535,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35" s="8"/>
      <c r="N535" s="8"/>
      <c r="O535" s="8"/>
      <c r="P535" s="8"/>
      <c r="Q535" s="8"/>
      <c r="R535" s="8"/>
      <c r="S535" s="8"/>
      <c r="T535" s="8"/>
      <c r="U535" s="8"/>
    </row>
    <row r="536">
      <c r="A536" s="10" t="s">
        <v>1898</v>
      </c>
      <c r="B536" s="10" t="s">
        <v>1899</v>
      </c>
      <c r="C536" s="12" t="s">
        <v>1394</v>
      </c>
      <c r="D536" s="13" t="s">
        <v>1906</v>
      </c>
      <c r="E536" s="16">
        <f t="array" ref="E536">XLOOKUP(C536,'DATA TK PANEN'!D:D,'DATA TK PANEN'!H:H)</f>
        <v>0.21</v>
      </c>
      <c r="F536" s="10" t="str">
        <f>IFERROR(__xludf.DUMMYFUNCTION("XLOOKUP(C536,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36" s="10" t="str">
        <f>IFERROR(__xludf.DUMMYFUNCTION("XLOOKUP($C536,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36" s="10" t="str">
        <f>IFERROR(__xludf.DUMMYFUNCTION("XLOOKUP($C536,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36" s="18"/>
      <c r="J536" s="18"/>
      <c r="K536" s="10" t="str">
        <f>IFERROR(__xludf.DUMMYFUNCTION("XLOOKUP($C536,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36" s="10" t="str">
        <f>IFERROR(__xludf.DUMMYFUNCTION("XLOOKUP($C536,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36" s="8"/>
      <c r="N536" s="8"/>
      <c r="O536" s="8"/>
      <c r="P536" s="8"/>
      <c r="Q536" s="8"/>
      <c r="R536" s="8"/>
      <c r="S536" s="8"/>
      <c r="T536" s="8"/>
      <c r="U536" s="8"/>
    </row>
    <row r="537">
      <c r="A537" s="10" t="s">
        <v>1898</v>
      </c>
      <c r="B537" s="10" t="s">
        <v>1899</v>
      </c>
      <c r="C537" s="12" t="s">
        <v>1398</v>
      </c>
      <c r="D537" s="13" t="s">
        <v>1907</v>
      </c>
      <c r="E537" s="16">
        <f t="array" ref="E537">XLOOKUP(C537,'DATA TK PANEN'!D:D,'DATA TK PANEN'!H:H)</f>
        <v>486.59</v>
      </c>
      <c r="F537" s="10">
        <f>IFERROR(__xludf.DUMMYFUNCTION("XLOOKUP(C537,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(AUTO)'!S6:S""))"),31.0)</f>
        <v>31</v>
      </c>
      <c r="G537" s="10">
        <f>IFERROR(__xludf.DUMMYFUNCTION("XLOOKUP($C537,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537" s="10">
        <f>IFERROR(__xludf.DUMMYFUNCTION("XLOOKUP($C537,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537" s="18"/>
      <c r="J537" s="18"/>
      <c r="K537" s="10">
        <f>IFERROR(__xludf.DUMMYFUNCTION("XLOOKUP($C537,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537" s="10">
        <f>IFERROR(__xludf.DUMMYFUNCTION("XLOOKUP($C537,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(AUTO)'!X6:X""))"),11.0)</f>
        <v>11</v>
      </c>
      <c r="M537" s="8"/>
      <c r="N537" s="8"/>
      <c r="O537" s="8"/>
      <c r="P537" s="8"/>
      <c r="Q537" s="8"/>
      <c r="R537" s="8"/>
      <c r="S537" s="8"/>
      <c r="T537" s="8"/>
      <c r="U537" s="8"/>
    </row>
    <row r="538">
      <c r="A538" s="10" t="s">
        <v>1898</v>
      </c>
      <c r="B538" s="10" t="s">
        <v>1899</v>
      </c>
      <c r="C538" s="12" t="s">
        <v>1400</v>
      </c>
      <c r="D538" s="13" t="s">
        <v>1908</v>
      </c>
      <c r="E538" s="16">
        <f t="array" ref="E538">XLOOKUP(C538,'DATA TK PANEN'!D:D,'DATA TK PANEN'!H:H)</f>
        <v>175.2</v>
      </c>
      <c r="F538" s="10" t="str">
        <f>IFERROR(__xludf.DUMMYFUNCTION("XLOOKUP(C538,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38" s="10" t="str">
        <f>IFERROR(__xludf.DUMMYFUNCTION("XLOOKUP($C538,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38" s="10" t="str">
        <f>IFERROR(__xludf.DUMMYFUNCTION("XLOOKUP($C538,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38" s="18"/>
      <c r="J538" s="18"/>
      <c r="K538" s="10" t="str">
        <f>IFERROR(__xludf.DUMMYFUNCTION("XLOOKUP($C538,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38" s="10" t="str">
        <f>IFERROR(__xludf.DUMMYFUNCTION("XLOOKUP($C538,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38" s="8"/>
      <c r="N538" s="8"/>
      <c r="O538" s="8"/>
      <c r="P538" s="8"/>
      <c r="Q538" s="8"/>
      <c r="R538" s="8"/>
      <c r="S538" s="8"/>
      <c r="T538" s="8"/>
      <c r="U538" s="8"/>
    </row>
    <row r="539">
      <c r="A539" s="10" t="s">
        <v>1898</v>
      </c>
      <c r="B539" s="10" t="s">
        <v>1899</v>
      </c>
      <c r="C539" s="12" t="s">
        <v>1404</v>
      </c>
      <c r="D539" s="13" t="s">
        <v>1909</v>
      </c>
      <c r="E539" s="16">
        <f t="array" ref="E539">XLOOKUP(C539,'DATA TK PANEN'!D:D,'DATA TK PANEN'!H:H)</f>
        <v>110.26</v>
      </c>
      <c r="F539" s="10">
        <f>IFERROR(__xludf.DUMMYFUNCTION("XLOOKUP(C539,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539" s="10">
        <f>IFERROR(__xludf.DUMMYFUNCTION("XLOOKUP($C539,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539" s="10">
        <f>IFERROR(__xludf.DUMMYFUNCTION("XLOOKUP($C539,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539" s="18"/>
      <c r="J539" s="18"/>
      <c r="K539" s="10">
        <f>IFERROR(__xludf.DUMMYFUNCTION("XLOOKUP($C539,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39" s="10">
        <f>IFERROR(__xludf.DUMMYFUNCTION("XLOOKUP($C539,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39" s="8"/>
      <c r="N539" s="8"/>
      <c r="O539" s="8"/>
      <c r="P539" s="8"/>
      <c r="Q539" s="8"/>
      <c r="R539" s="8"/>
      <c r="S539" s="8"/>
      <c r="T539" s="8"/>
      <c r="U539" s="8"/>
    </row>
    <row r="540">
      <c r="A540" s="10" t="s">
        <v>1898</v>
      </c>
      <c r="B540" s="10" t="s">
        <v>1899</v>
      </c>
      <c r="C540" s="12" t="s">
        <v>1408</v>
      </c>
      <c r="D540" s="13" t="s">
        <v>1910</v>
      </c>
      <c r="E540" s="16">
        <f t="array" ref="E540">XLOOKUP(C540,'DATA TK PANEN'!D:D,'DATA TK PANEN'!H:H)</f>
        <v>1.26</v>
      </c>
      <c r="F540" s="10" t="str">
        <f>IFERROR(__xludf.DUMMYFUNCTION("XLOOKUP(C540,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0" s="10" t="str">
        <f>IFERROR(__xludf.DUMMYFUNCTION("XLOOKUP($C540,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0" s="10" t="str">
        <f>IFERROR(__xludf.DUMMYFUNCTION("XLOOKUP($C540,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0" s="18"/>
      <c r="J540" s="18"/>
      <c r="K540" s="10" t="str">
        <f>IFERROR(__xludf.DUMMYFUNCTION("XLOOKUP($C540,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0" s="10" t="str">
        <f>IFERROR(__xludf.DUMMYFUNCTION("XLOOKUP($C540,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0" s="8"/>
      <c r="N540" s="8"/>
      <c r="O540" s="8"/>
      <c r="P540" s="8"/>
      <c r="Q540" s="8"/>
      <c r="R540" s="8"/>
      <c r="S540" s="8"/>
      <c r="T540" s="8"/>
      <c r="U540" s="8"/>
    </row>
    <row r="541">
      <c r="A541" s="10" t="s">
        <v>1898</v>
      </c>
      <c r="B541" s="10" t="s">
        <v>1899</v>
      </c>
      <c r="C541" s="12" t="s">
        <v>1410</v>
      </c>
      <c r="D541" s="13" t="s">
        <v>1911</v>
      </c>
      <c r="E541" s="16">
        <f t="array" ref="E541">XLOOKUP(C541,'DATA TK PANEN'!D:D,'DATA TK PANEN'!H:H)</f>
        <v>336.56</v>
      </c>
      <c r="F541" s="10">
        <f>IFERROR(__xludf.DUMMYFUNCTION("XLOOKUP(C541,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541" s="10">
        <f>IFERROR(__xludf.DUMMYFUNCTION("XLOOKUP($C541,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541" s="10">
        <f>IFERROR(__xludf.DUMMYFUNCTION("XLOOKUP($C541,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541" s="18"/>
      <c r="J541" s="18"/>
      <c r="K541" s="10">
        <f>IFERROR(__xludf.DUMMYFUNCTION("XLOOKUP($C541,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541" s="10">
        <f>IFERROR(__xludf.DUMMYFUNCTION("XLOOKUP($C541,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41" s="8"/>
      <c r="N541" s="8"/>
      <c r="O541" s="8"/>
      <c r="P541" s="8"/>
      <c r="Q541" s="8"/>
      <c r="R541" s="8"/>
      <c r="S541" s="8"/>
      <c r="T541" s="8"/>
      <c r="U541" s="8"/>
    </row>
    <row r="542">
      <c r="A542" s="10" t="s">
        <v>1898</v>
      </c>
      <c r="B542" s="10" t="s">
        <v>1899</v>
      </c>
      <c r="C542" s="12" t="s">
        <v>1414</v>
      </c>
      <c r="D542" s="13" t="s">
        <v>1912</v>
      </c>
      <c r="E542" s="16">
        <f t="array" ref="E542">XLOOKUP(C542,'DATA TK PANEN'!D:D,'DATA TK PANEN'!H:H)</f>
        <v>598.91</v>
      </c>
      <c r="F542" s="10" t="str">
        <f>IFERROR(__xludf.DUMMYFUNCTION("XLOOKUP(C542,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2" s="10" t="str">
        <f>IFERROR(__xludf.DUMMYFUNCTION("XLOOKUP($C542,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2" s="10" t="str">
        <f>IFERROR(__xludf.DUMMYFUNCTION("XLOOKUP($C542,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2" s="18"/>
      <c r="J542" s="18"/>
      <c r="K542" s="10" t="str">
        <f>IFERROR(__xludf.DUMMYFUNCTION("XLOOKUP($C542,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2" s="10" t="str">
        <f>IFERROR(__xludf.DUMMYFUNCTION("XLOOKUP($C542,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2" s="8"/>
      <c r="N542" s="8"/>
      <c r="O542" s="8"/>
      <c r="P542" s="8"/>
      <c r="Q542" s="8"/>
      <c r="R542" s="8"/>
      <c r="S542" s="8"/>
      <c r="T542" s="8"/>
      <c r="U542" s="8"/>
    </row>
    <row r="543">
      <c r="A543" s="10" t="s">
        <v>1898</v>
      </c>
      <c r="B543" s="10" t="s">
        <v>1899</v>
      </c>
      <c r="C543" s="12" t="s">
        <v>1417</v>
      </c>
      <c r="D543" s="13" t="s">
        <v>1913</v>
      </c>
      <c r="E543" s="16">
        <f t="array" ref="E543">XLOOKUP(C543,'DATA TK PANEN'!D:D,'DATA TK PANEN'!H:H)</f>
        <v>179.89</v>
      </c>
      <c r="F543" s="10">
        <f>IFERROR(__xludf.DUMMYFUNCTION("XLOOKUP(C543,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543" s="10">
        <f>IFERROR(__xludf.DUMMYFUNCTION("XLOOKUP($C543,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(AUTO)'!T6:T""))"),11.0)</f>
        <v>11</v>
      </c>
      <c r="H543" s="10">
        <f>IFERROR(__xludf.DUMMYFUNCTION("XLOOKUP($C543,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(AUTO)'!V6:V""))"),11.0)</f>
        <v>11</v>
      </c>
      <c r="I543" s="18"/>
      <c r="J543" s="18"/>
      <c r="K543" s="10">
        <f>IFERROR(__xludf.DUMMYFUNCTION("XLOOKUP($C543,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43" s="10">
        <f>IFERROR(__xludf.DUMMYFUNCTION("XLOOKUP($C543,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43" s="8"/>
      <c r="N543" s="8"/>
      <c r="O543" s="8"/>
      <c r="P543" s="8"/>
      <c r="Q543" s="8"/>
      <c r="R543" s="8"/>
      <c r="S543" s="8"/>
      <c r="T543" s="8"/>
      <c r="U543" s="8"/>
    </row>
    <row r="544">
      <c r="A544" s="10" t="s">
        <v>1898</v>
      </c>
      <c r="B544" s="10" t="s">
        <v>1899</v>
      </c>
      <c r="C544" s="12" t="s">
        <v>1420</v>
      </c>
      <c r="D544" s="13" t="s">
        <v>1914</v>
      </c>
      <c r="E544" s="16">
        <f t="array" ref="E544">XLOOKUP(C544,'DATA TK PANEN'!D:D,'DATA TK PANEN'!H:H)</f>
        <v>315.09</v>
      </c>
      <c r="F544" s="10" t="str">
        <f>IFERROR(__xludf.DUMMYFUNCTION("XLOOKUP(C544,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4" s="10" t="str">
        <f>IFERROR(__xludf.DUMMYFUNCTION("XLOOKUP($C544,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4" s="10" t="str">
        <f>IFERROR(__xludf.DUMMYFUNCTION("XLOOKUP($C544,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4" s="18"/>
      <c r="J544" s="18"/>
      <c r="K544" s="10" t="str">
        <f>IFERROR(__xludf.DUMMYFUNCTION("XLOOKUP($C544,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4" s="10" t="str">
        <f>IFERROR(__xludf.DUMMYFUNCTION("XLOOKUP($C544,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4" s="8"/>
      <c r="N544" s="8"/>
      <c r="O544" s="8"/>
      <c r="P544" s="8"/>
      <c r="Q544" s="8"/>
      <c r="R544" s="8"/>
      <c r="S544" s="8"/>
      <c r="T544" s="8"/>
      <c r="U544" s="8"/>
    </row>
    <row r="545">
      <c r="A545" s="10" t="s">
        <v>1898</v>
      </c>
      <c r="B545" s="10" t="s">
        <v>1899</v>
      </c>
      <c r="C545" s="12" t="s">
        <v>1422</v>
      </c>
      <c r="D545" s="13" t="s">
        <v>1915</v>
      </c>
      <c r="E545" s="16">
        <f t="array" ref="E545">XLOOKUP(C545,'DATA TK PANEN'!D:D,'DATA TK PANEN'!H:H)</f>
        <v>0</v>
      </c>
      <c r="F545" s="10" t="str">
        <f>IFERROR(__xludf.DUMMYFUNCTION("XLOOKUP(C545,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5" s="10" t="str">
        <f>IFERROR(__xludf.DUMMYFUNCTION("XLOOKUP($C545,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5" s="10" t="str">
        <f>IFERROR(__xludf.DUMMYFUNCTION("XLOOKUP($C545,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5" s="18"/>
      <c r="J545" s="18"/>
      <c r="K545" s="10" t="str">
        <f>IFERROR(__xludf.DUMMYFUNCTION("XLOOKUP($C545,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5" s="10" t="str">
        <f>IFERROR(__xludf.DUMMYFUNCTION("XLOOKUP($C545,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5" s="8"/>
      <c r="N545" s="8"/>
      <c r="O545" s="8"/>
      <c r="P545" s="8"/>
      <c r="Q545" s="8"/>
      <c r="R545" s="8"/>
      <c r="S545" s="8"/>
      <c r="T545" s="8"/>
      <c r="U545" s="8"/>
    </row>
    <row r="546">
      <c r="A546" s="10" t="s">
        <v>1898</v>
      </c>
      <c r="B546" s="10" t="s">
        <v>1899</v>
      </c>
      <c r="C546" s="12" t="s">
        <v>1425</v>
      </c>
      <c r="D546" s="13" t="s">
        <v>1916</v>
      </c>
      <c r="E546" s="16">
        <f t="array" ref="E546">XLOOKUP(C546,'DATA TK PANEN'!D:D,'DATA TK PANEN'!H:H)</f>
        <v>104</v>
      </c>
      <c r="F546" s="10" t="str">
        <f>IFERROR(__xludf.DUMMYFUNCTION("XLOOKUP(C546,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6" s="10" t="str">
        <f>IFERROR(__xludf.DUMMYFUNCTION("XLOOKUP($C546,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6" s="10">
        <f>IFERROR(__xludf.DUMMYFUNCTION("XLOOKUP($C546,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546" s="18"/>
      <c r="J546" s="18"/>
      <c r="K546" s="10">
        <f>IFERROR(__xludf.DUMMYFUNCTION("XLOOKUP($C546,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546" s="10">
        <f>IFERROR(__xludf.DUMMYFUNCTION("XLOOKUP($C546,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46" s="8"/>
      <c r="N546" s="8"/>
      <c r="O546" s="8"/>
      <c r="P546" s="8"/>
      <c r="Q546" s="8"/>
      <c r="R546" s="8"/>
      <c r="S546" s="8"/>
      <c r="T546" s="8"/>
      <c r="U546" s="8"/>
    </row>
    <row r="547">
      <c r="A547" s="10" t="s">
        <v>1898</v>
      </c>
      <c r="B547" s="10" t="s">
        <v>1899</v>
      </c>
      <c r="C547" s="12" t="s">
        <v>1428</v>
      </c>
      <c r="D547" s="13" t="s">
        <v>1917</v>
      </c>
      <c r="E547" s="16">
        <f t="array" ref="E547">XLOOKUP(C547,'DATA TK PANEN'!D:D,'DATA TK PANEN'!H:H)</f>
        <v>3.39</v>
      </c>
      <c r="F547" s="10" t="str">
        <f>IFERROR(__xludf.DUMMYFUNCTION("XLOOKUP(C547,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7" s="10" t="str">
        <f>IFERROR(__xludf.DUMMYFUNCTION("XLOOKUP($C547,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7" s="10" t="str">
        <f>IFERROR(__xludf.DUMMYFUNCTION("XLOOKUP($C547,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7" s="18"/>
      <c r="J547" s="18"/>
      <c r="K547" s="10" t="str">
        <f>IFERROR(__xludf.DUMMYFUNCTION("XLOOKUP($C547,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7" s="10" t="str">
        <f>IFERROR(__xludf.DUMMYFUNCTION("XLOOKUP($C547,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7" s="8"/>
      <c r="N547" s="8"/>
      <c r="O547" s="8"/>
      <c r="P547" s="8"/>
      <c r="Q547" s="8"/>
      <c r="R547" s="8"/>
      <c r="S547" s="8"/>
      <c r="T547" s="8"/>
      <c r="U547" s="8"/>
    </row>
    <row r="548">
      <c r="A548" s="10" t="s">
        <v>1898</v>
      </c>
      <c r="B548" s="10" t="s">
        <v>1899</v>
      </c>
      <c r="C548" s="12" t="s">
        <v>1429</v>
      </c>
      <c r="D548" s="13" t="s">
        <v>1918</v>
      </c>
      <c r="E548" s="16">
        <f t="array" ref="E548">XLOOKUP(C548,'DATA TK PANEN'!D:D,'DATA TK PANEN'!H:H)</f>
        <v>118.18</v>
      </c>
      <c r="F548" s="10">
        <f>IFERROR(__xludf.DUMMYFUNCTION("XLOOKUP(C548,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(AUTO)'!S6:S""))"),7.0908)</f>
        <v>7.0908</v>
      </c>
      <c r="G548" s="10" t="str">
        <f>IFERROR(__xludf.DUMMYFUNCTION("XLOOKUP($C548,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8" s="10">
        <f>IFERROR(__xludf.DUMMYFUNCTION("XLOOKUP($C548,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548" s="18"/>
      <c r="J548" s="18"/>
      <c r="K548" s="10">
        <f>IFERROR(__xludf.DUMMYFUNCTION("XLOOKUP($C548,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548" s="10">
        <f>IFERROR(__xludf.DUMMYFUNCTION("XLOOKUP($C548,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548" s="8"/>
      <c r="N548" s="8"/>
      <c r="O548" s="8"/>
      <c r="P548" s="8"/>
      <c r="Q548" s="8"/>
      <c r="R548" s="8"/>
      <c r="S548" s="8"/>
      <c r="T548" s="8"/>
      <c r="U548" s="8"/>
    </row>
    <row r="549">
      <c r="A549" s="10" t="s">
        <v>1898</v>
      </c>
      <c r="B549" s="10" t="s">
        <v>1899</v>
      </c>
      <c r="C549" s="12" t="s">
        <v>1432</v>
      </c>
      <c r="D549" s="13" t="s">
        <v>1919</v>
      </c>
      <c r="E549" s="16">
        <f t="array" ref="E549">XLOOKUP(C549,'DATA TK PANEN'!D:D,'DATA TK PANEN'!H:H)</f>
        <v>0.02</v>
      </c>
      <c r="F549" s="10" t="str">
        <f>IFERROR(__xludf.DUMMYFUNCTION("XLOOKUP(C549,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49" s="10" t="str">
        <f>IFERROR(__xludf.DUMMYFUNCTION("XLOOKUP($C549,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49" s="10" t="str">
        <f>IFERROR(__xludf.DUMMYFUNCTION("XLOOKUP($C549,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49" s="18"/>
      <c r="J549" s="18"/>
      <c r="K549" s="10" t="str">
        <f>IFERROR(__xludf.DUMMYFUNCTION("XLOOKUP($C549,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49" s="10" t="str">
        <f>IFERROR(__xludf.DUMMYFUNCTION("XLOOKUP($C549,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49" s="8"/>
      <c r="N549" s="8"/>
      <c r="O549" s="8"/>
      <c r="P549" s="8"/>
      <c r="Q549" s="8"/>
      <c r="R549" s="8"/>
      <c r="S549" s="8"/>
      <c r="T549" s="8"/>
      <c r="U549" s="8"/>
    </row>
    <row r="550">
      <c r="A550" s="10" t="s">
        <v>1898</v>
      </c>
      <c r="B550" s="10" t="s">
        <v>1899</v>
      </c>
      <c r="C550" s="12" t="s">
        <v>1435</v>
      </c>
      <c r="D550" s="13" t="s">
        <v>1920</v>
      </c>
      <c r="E550" s="16">
        <f t="array" ref="E550">XLOOKUP(C550,'DATA TK PANEN'!D:D,'DATA TK PANEN'!H:H)</f>
        <v>92</v>
      </c>
      <c r="F550" s="10">
        <f>IFERROR(__xludf.DUMMYFUNCTION("XLOOKUP(C550,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(AUTO)'!S6:S""))"),6.0)</f>
        <v>6</v>
      </c>
      <c r="G550" s="10" t="str">
        <f>IFERROR(__xludf.DUMMYFUNCTION("XLOOKUP($C550,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0" s="10">
        <f>IFERROR(__xludf.DUMMYFUNCTION("XLOOKUP($C550,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550" s="18"/>
      <c r="J550" s="18"/>
      <c r="K550" s="10">
        <f>IFERROR(__xludf.DUMMYFUNCTION("XLOOKUP($C550,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550" s="10">
        <f>IFERROR(__xludf.DUMMYFUNCTION("XLOOKUP($C550,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50" s="8"/>
      <c r="N550" s="8"/>
      <c r="O550" s="8"/>
      <c r="P550" s="8"/>
      <c r="Q550" s="8"/>
      <c r="R550" s="8"/>
      <c r="S550" s="8"/>
      <c r="T550" s="8"/>
      <c r="U550" s="8"/>
    </row>
    <row r="551">
      <c r="A551" s="10" t="s">
        <v>1898</v>
      </c>
      <c r="B551" s="10" t="s">
        <v>1899</v>
      </c>
      <c r="C551" s="12" t="s">
        <v>1438</v>
      </c>
      <c r="D551" s="13" t="s">
        <v>1921</v>
      </c>
      <c r="E551" s="16">
        <f t="array" ref="E551">XLOOKUP(C551,'DATA TK PANEN'!D:D,'DATA TK PANEN'!H:H)</f>
        <v>0</v>
      </c>
      <c r="F551" s="10" t="str">
        <f>IFERROR(__xludf.DUMMYFUNCTION("XLOOKUP(C551,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1" s="10" t="str">
        <f>IFERROR(__xludf.DUMMYFUNCTION("XLOOKUP($C551,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1" s="10" t="str">
        <f>IFERROR(__xludf.DUMMYFUNCTION("XLOOKUP($C551,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1" s="18"/>
      <c r="J551" s="18"/>
      <c r="K551" s="10" t="str">
        <f>IFERROR(__xludf.DUMMYFUNCTION("XLOOKUP($C551,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1" s="10" t="str">
        <f>IFERROR(__xludf.DUMMYFUNCTION("XLOOKUP($C551,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1" s="8"/>
      <c r="N551" s="8"/>
      <c r="O551" s="8"/>
      <c r="P551" s="8"/>
      <c r="Q551" s="8"/>
      <c r="R551" s="8"/>
      <c r="S551" s="8"/>
      <c r="T551" s="8"/>
      <c r="U551" s="8"/>
    </row>
    <row r="552">
      <c r="A552" s="10" t="s">
        <v>1898</v>
      </c>
      <c r="B552" s="10" t="s">
        <v>1899</v>
      </c>
      <c r="C552" s="12" t="s">
        <v>1441</v>
      </c>
      <c r="D552" s="13" t="s">
        <v>1922</v>
      </c>
      <c r="E552" s="16">
        <f t="array" ref="E552">XLOOKUP(C552,'DATA TK PANEN'!D:D,'DATA TK PANEN'!H:H)</f>
        <v>199.12</v>
      </c>
      <c r="F552" s="10">
        <f>IFERROR(__xludf.DUMMYFUNCTION("XLOOKUP(C552,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(AUTO)'!S6:S""))"),12.0)</f>
        <v>12</v>
      </c>
      <c r="G552" s="10" t="str">
        <f>IFERROR(__xludf.DUMMYFUNCTION("XLOOKUP($C552,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2" s="10" t="str">
        <f>IFERROR(__xludf.DUMMYFUNCTION("XLOOKUP($C552,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552" s="18"/>
      <c r="J552" s="18"/>
      <c r="K552" s="10">
        <f>IFERROR(__xludf.DUMMYFUNCTION("XLOOKUP($C552,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52" s="10">
        <f>IFERROR(__xludf.DUMMYFUNCTION("XLOOKUP($C552,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52" s="8"/>
      <c r="N552" s="8"/>
      <c r="O552" s="8"/>
      <c r="P552" s="8"/>
      <c r="Q552" s="8"/>
      <c r="R552" s="8"/>
      <c r="S552" s="8"/>
      <c r="T552" s="8"/>
      <c r="U552" s="8"/>
    </row>
    <row r="553">
      <c r="A553" s="10" t="s">
        <v>1898</v>
      </c>
      <c r="B553" s="10" t="s">
        <v>1899</v>
      </c>
      <c r="C553" s="12" t="s">
        <v>1444</v>
      </c>
      <c r="D553" s="13" t="s">
        <v>1923</v>
      </c>
      <c r="E553" s="16">
        <f t="array" ref="E553">XLOOKUP(C553,'DATA TK PANEN'!D:D,'DATA TK PANEN'!H:H)</f>
        <v>62.21</v>
      </c>
      <c r="F553" s="10">
        <f>IFERROR(__xludf.DUMMYFUNCTION("XLOOKUP(C553,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553" s="10">
        <f>IFERROR(__xludf.DUMMYFUNCTION("XLOOKUP($C553,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553" s="10">
        <f>IFERROR(__xludf.DUMMYFUNCTION("XLOOKUP($C553,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553" s="18"/>
      <c r="J553" s="18"/>
      <c r="K553" s="10">
        <f>IFERROR(__xludf.DUMMYFUNCTION("XLOOKUP($C553,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553" s="10">
        <f>IFERROR(__xludf.DUMMYFUNCTION("XLOOKUP($C553,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53" s="8"/>
      <c r="N553" s="8"/>
      <c r="O553" s="8"/>
      <c r="P553" s="8"/>
      <c r="Q553" s="8"/>
      <c r="R553" s="8"/>
      <c r="S553" s="8"/>
      <c r="T553" s="8"/>
      <c r="U553" s="8"/>
    </row>
    <row r="554">
      <c r="A554" s="10" t="s">
        <v>1898</v>
      </c>
      <c r="B554" s="10" t="s">
        <v>1899</v>
      </c>
      <c r="C554" s="12" t="s">
        <v>1346</v>
      </c>
      <c r="D554" s="13" t="s">
        <v>1924</v>
      </c>
      <c r="E554" s="16">
        <f t="array" ref="E554">XLOOKUP(C554,'DATA TK PANEN'!D:D,'DATA TK PANEN'!H:H)</f>
        <v>0</v>
      </c>
      <c r="F554" s="10" t="str">
        <f>IFERROR(__xludf.DUMMYFUNCTION("XLOOKUP(C554,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4" s="10" t="str">
        <f>IFERROR(__xludf.DUMMYFUNCTION("XLOOKUP($C554,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4" s="10" t="str">
        <f>IFERROR(__xludf.DUMMYFUNCTION("XLOOKUP($C554,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4" s="18"/>
      <c r="J554" s="18"/>
      <c r="K554" s="10" t="str">
        <f>IFERROR(__xludf.DUMMYFUNCTION("XLOOKUP($C554,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4" s="10" t="str">
        <f>IFERROR(__xludf.DUMMYFUNCTION("XLOOKUP($C554,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4" s="8"/>
      <c r="N554" s="8"/>
      <c r="O554" s="8"/>
      <c r="P554" s="8"/>
      <c r="Q554" s="8"/>
      <c r="R554" s="8"/>
      <c r="S554" s="8"/>
      <c r="T554" s="8"/>
      <c r="U554" s="8"/>
    </row>
    <row r="555">
      <c r="A555" s="10" t="s">
        <v>1898</v>
      </c>
      <c r="B555" s="10" t="s">
        <v>1899</v>
      </c>
      <c r="C555" s="12" t="s">
        <v>1447</v>
      </c>
      <c r="D555" s="13" t="s">
        <v>1925</v>
      </c>
      <c r="E555" s="16">
        <f t="array" ref="E555">XLOOKUP(C555,'DATA TK PANEN'!D:D,'DATA TK PANEN'!H:H)</f>
        <v>448.72</v>
      </c>
      <c r="F555" s="10">
        <f>IFERROR(__xludf.DUMMYFUNCTION("XLOOKUP(C555,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(AUTO)'!S6:S""))"),27.0)</f>
        <v>27</v>
      </c>
      <c r="G555" s="10">
        <f>IFERROR(__xludf.DUMMYFUNCTION("XLOOKUP($C555,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(AUTO)'!T6:T""))"),13.0)</f>
        <v>13</v>
      </c>
      <c r="H555" s="10">
        <f>IFERROR(__xludf.DUMMYFUNCTION("XLOOKUP($C555,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(AUTO)'!V6:V""))"),13.0)</f>
        <v>13</v>
      </c>
      <c r="I555" s="18"/>
      <c r="J555" s="18"/>
      <c r="K555" s="10">
        <f>IFERROR(__xludf.DUMMYFUNCTION("XLOOKUP($C555,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555" s="10">
        <f>IFERROR(__xludf.DUMMYFUNCTION("XLOOKUP($C555,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555" s="8"/>
      <c r="N555" s="8"/>
      <c r="O555" s="8"/>
      <c r="P555" s="8"/>
      <c r="Q555" s="8"/>
      <c r="R555" s="8"/>
      <c r="S555" s="8"/>
      <c r="T555" s="8"/>
      <c r="U555" s="8"/>
    </row>
    <row r="556">
      <c r="A556" s="10" t="s">
        <v>1898</v>
      </c>
      <c r="B556" s="10" t="s">
        <v>1899</v>
      </c>
      <c r="C556" s="12" t="s">
        <v>1449</v>
      </c>
      <c r="D556" s="13" t="s">
        <v>1926</v>
      </c>
      <c r="E556" s="16">
        <f t="array" ref="E556">XLOOKUP(C556,'DATA TK PANEN'!D:D,'DATA TK PANEN'!H:H)</f>
        <v>0.04</v>
      </c>
      <c r="F556" s="10" t="str">
        <f>IFERROR(__xludf.DUMMYFUNCTION("XLOOKUP(C556,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6" s="10" t="str">
        <f>IFERROR(__xludf.DUMMYFUNCTION("XLOOKUP($C556,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6" s="10" t="str">
        <f>IFERROR(__xludf.DUMMYFUNCTION("XLOOKUP($C556,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6" s="18"/>
      <c r="J556" s="18"/>
      <c r="K556" s="10" t="str">
        <f>IFERROR(__xludf.DUMMYFUNCTION("XLOOKUP($C556,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6" s="10" t="str">
        <f>IFERROR(__xludf.DUMMYFUNCTION("XLOOKUP($C556,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6" s="8"/>
      <c r="N556" s="8"/>
      <c r="O556" s="8"/>
      <c r="P556" s="8"/>
      <c r="Q556" s="8"/>
      <c r="R556" s="8"/>
      <c r="S556" s="8"/>
      <c r="T556" s="8"/>
      <c r="U556" s="8"/>
    </row>
    <row r="557">
      <c r="A557" s="10" t="s">
        <v>1898</v>
      </c>
      <c r="B557" s="10" t="s">
        <v>1899</v>
      </c>
      <c r="C557" s="12" t="s">
        <v>1451</v>
      </c>
      <c r="D557" s="13" t="s">
        <v>1927</v>
      </c>
      <c r="E557" s="16">
        <f t="array" ref="E557">XLOOKUP(C557,'DATA TK PANEN'!D:D,'DATA TK PANEN'!H:H)</f>
        <v>0.02</v>
      </c>
      <c r="F557" s="10" t="str">
        <f>IFERROR(__xludf.DUMMYFUNCTION("XLOOKUP(C557,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7" s="10" t="str">
        <f>IFERROR(__xludf.DUMMYFUNCTION("XLOOKUP($C557,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7" s="10" t="str">
        <f>IFERROR(__xludf.DUMMYFUNCTION("XLOOKUP($C557,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7" s="18"/>
      <c r="J557" s="18"/>
      <c r="K557" s="10" t="str">
        <f>IFERROR(__xludf.DUMMYFUNCTION("XLOOKUP($C557,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7" s="10" t="str">
        <f>IFERROR(__xludf.DUMMYFUNCTION("XLOOKUP($C557,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7" s="8"/>
      <c r="N557" s="8"/>
      <c r="O557" s="8"/>
      <c r="P557" s="8"/>
      <c r="Q557" s="8"/>
      <c r="R557" s="8"/>
      <c r="S557" s="8"/>
      <c r="T557" s="8"/>
      <c r="U557" s="8"/>
    </row>
    <row r="558">
      <c r="A558" s="10" t="s">
        <v>1898</v>
      </c>
      <c r="B558" s="10" t="s">
        <v>1899</v>
      </c>
      <c r="C558" s="12" t="s">
        <v>1453</v>
      </c>
      <c r="D558" s="13" t="s">
        <v>1928</v>
      </c>
      <c r="E558" s="16">
        <f t="array" ref="E558">XLOOKUP(C558,'DATA TK PANEN'!D:D,'DATA TK PANEN'!H:H)</f>
        <v>231.76</v>
      </c>
      <c r="F558" s="10" t="str">
        <f>IFERROR(__xludf.DUMMYFUNCTION("XLOOKUP(C558,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8" s="10" t="str">
        <f>IFERROR(__xludf.DUMMYFUNCTION("XLOOKUP($C558,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8" s="10" t="str">
        <f>IFERROR(__xludf.DUMMYFUNCTION("XLOOKUP($C558,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8" s="18"/>
      <c r="J558" s="18"/>
      <c r="K558" s="10" t="str">
        <f>IFERROR(__xludf.DUMMYFUNCTION("XLOOKUP($C558,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8" s="10" t="str">
        <f>IFERROR(__xludf.DUMMYFUNCTION("XLOOKUP($C558,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8" s="8"/>
      <c r="N558" s="8"/>
      <c r="O558" s="8"/>
      <c r="P558" s="8"/>
      <c r="Q558" s="8"/>
      <c r="R558" s="8"/>
      <c r="S558" s="8"/>
      <c r="T558" s="8"/>
      <c r="U558" s="8"/>
    </row>
    <row r="559">
      <c r="A559" s="10" t="s">
        <v>1898</v>
      </c>
      <c r="B559" s="10" t="s">
        <v>1899</v>
      </c>
      <c r="C559" s="12" t="s">
        <v>1457</v>
      </c>
      <c r="D559" s="13" t="s">
        <v>1929</v>
      </c>
      <c r="E559" s="16">
        <f t="array" ref="E559">XLOOKUP(C559,'DATA TK PANEN'!D:D,'DATA TK PANEN'!H:H)</f>
        <v>7.64</v>
      </c>
      <c r="F559" s="10" t="str">
        <f>IFERROR(__xludf.DUMMYFUNCTION("XLOOKUP(C559,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59" s="10" t="str">
        <f>IFERROR(__xludf.DUMMYFUNCTION("XLOOKUP($C559,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59" s="10" t="str">
        <f>IFERROR(__xludf.DUMMYFUNCTION("XLOOKUP($C559,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59" s="18"/>
      <c r="J559" s="18"/>
      <c r="K559" s="10" t="str">
        <f>IFERROR(__xludf.DUMMYFUNCTION("XLOOKUP($C559,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59" s="10" t="str">
        <f>IFERROR(__xludf.DUMMYFUNCTION("XLOOKUP($C559,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59" s="8"/>
      <c r="N559" s="8"/>
      <c r="O559" s="8"/>
      <c r="P559" s="8"/>
      <c r="Q559" s="8"/>
      <c r="R559" s="8"/>
      <c r="S559" s="8"/>
      <c r="T559" s="8"/>
      <c r="U559" s="8"/>
    </row>
    <row r="560">
      <c r="A560" s="10" t="s">
        <v>1898</v>
      </c>
      <c r="B560" s="10" t="s">
        <v>1899</v>
      </c>
      <c r="C560" s="12" t="s">
        <v>1458</v>
      </c>
      <c r="D560" s="13" t="s">
        <v>1930</v>
      </c>
      <c r="E560" s="16">
        <f t="array" ref="E560">XLOOKUP(C560,'DATA TK PANEN'!D:D,'DATA TK PANEN'!H:H)</f>
        <v>6.46</v>
      </c>
      <c r="F560" s="10" t="str">
        <f>IFERROR(__xludf.DUMMYFUNCTION("XLOOKUP(C560,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60" s="10" t="str">
        <f>IFERROR(__xludf.DUMMYFUNCTION("XLOOKUP($C560,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60" s="10" t="str">
        <f>IFERROR(__xludf.DUMMYFUNCTION("XLOOKUP($C560,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60" s="18"/>
      <c r="J560" s="18"/>
      <c r="K560" s="10" t="str">
        <f>IFERROR(__xludf.DUMMYFUNCTION("XLOOKUP($C560,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0" s="10" t="str">
        <f>IFERROR(__xludf.DUMMYFUNCTION("XLOOKUP($C560,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0" s="8"/>
      <c r="N560" s="8"/>
      <c r="O560" s="8"/>
      <c r="P560" s="8"/>
      <c r="Q560" s="8"/>
      <c r="R560" s="8"/>
      <c r="S560" s="8"/>
      <c r="T560" s="8"/>
      <c r="U560" s="8"/>
    </row>
    <row r="561">
      <c r="A561" s="10" t="s">
        <v>1898</v>
      </c>
      <c r="B561" s="10" t="s">
        <v>1899</v>
      </c>
      <c r="C561" s="12" t="s">
        <v>1931</v>
      </c>
      <c r="D561" s="13" t="s">
        <v>1932</v>
      </c>
      <c r="E561" s="16">
        <f t="array" ref="E561">XLOOKUP(C561,'DATA TK PANEN'!D:D,'DATA TK PANEN'!H:H)</f>
        <v>349.74</v>
      </c>
      <c r="F561" s="10">
        <f>IFERROR(__xludf.DUMMYFUNCTION("XLOOKUP(C561,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(AUTO)'!S6:S""))"),21.0)</f>
        <v>21</v>
      </c>
      <c r="G561" s="10">
        <f>IFERROR(__xludf.DUMMYFUNCTION("XLOOKUP($C561,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(AUTO)'!T6:T""))"),16.0)</f>
        <v>16</v>
      </c>
      <c r="H561" s="10">
        <f>IFERROR(__xludf.DUMMYFUNCTION("XLOOKUP($C561,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(AUTO)'!V6:V""))"),16.0)</f>
        <v>16</v>
      </c>
      <c r="I561" s="18"/>
      <c r="J561" s="18"/>
      <c r="K561" s="10">
        <f>IFERROR(__xludf.DUMMYFUNCTION("XLOOKUP($C561,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561" s="10">
        <f>IFERROR(__xludf.DUMMYFUNCTION("XLOOKUP($C561,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561" s="8"/>
      <c r="N561" s="8"/>
      <c r="O561" s="8"/>
      <c r="P561" s="8"/>
      <c r="Q561" s="8"/>
      <c r="R561" s="8"/>
      <c r="S561" s="8"/>
      <c r="T561" s="8"/>
      <c r="U561" s="8"/>
    </row>
    <row r="562">
      <c r="A562" s="10" t="s">
        <v>1898</v>
      </c>
      <c r="B562" s="10" t="s">
        <v>1899</v>
      </c>
      <c r="C562" s="12" t="s">
        <v>1933</v>
      </c>
      <c r="D562" s="13" t="s">
        <v>1934</v>
      </c>
      <c r="E562" s="16">
        <f t="array" ref="E562">XLOOKUP(C562,'DATA TK PANEN'!D:D,'DATA TK PANEN'!H:H)</f>
        <v>2416.23</v>
      </c>
      <c r="F562" s="10">
        <f>IFERROR(__xludf.DUMMYFUNCTION("XLOOKUP(C562,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(AUTO)'!S6:S""))"),137.0)</f>
        <v>137</v>
      </c>
      <c r="G562" s="10">
        <f>IFERROR(__xludf.DUMMYFUNCTION("XLOOKUP($C562,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(AUTO)'!T6:T""))"),141.0)</f>
        <v>141</v>
      </c>
      <c r="H562" s="10">
        <f>IFERROR(__xludf.DUMMYFUNCTION("XLOOKUP($C562,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(AUTO)'!V6:V""))"),141.0)</f>
        <v>141</v>
      </c>
      <c r="I562" s="18"/>
      <c r="J562" s="18"/>
      <c r="K562" s="10" t="str">
        <f>IFERROR(__xludf.DUMMYFUNCTION("XLOOKUP($C562,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2" s="10" t="str">
        <f>IFERROR(__xludf.DUMMYFUNCTION("XLOOKUP($C562,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2" s="8"/>
      <c r="N562" s="8"/>
      <c r="O562" s="8"/>
      <c r="P562" s="8"/>
      <c r="Q562" s="8"/>
      <c r="R562" s="8"/>
      <c r="S562" s="8"/>
      <c r="T562" s="8"/>
      <c r="U562" s="8"/>
    </row>
    <row r="563">
      <c r="A563" s="10" t="s">
        <v>1898</v>
      </c>
      <c r="B563" s="10" t="s">
        <v>1899</v>
      </c>
      <c r="C563" s="12" t="s">
        <v>1935</v>
      </c>
      <c r="D563" s="13" t="s">
        <v>1936</v>
      </c>
      <c r="E563" s="16">
        <f t="array" ref="E563">XLOOKUP(C563,'DATA TK PANEN'!D:D,'DATA TK PANEN'!H:H)</f>
        <v>6466.2</v>
      </c>
      <c r="F563" s="10" t="str">
        <f>IFERROR(__xludf.DUMMYFUNCTION("XLOOKUP(C563,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63" s="10" t="str">
        <f>IFERROR(__xludf.DUMMYFUNCTION("XLOOKUP($C563,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63" s="10" t="str">
        <f>IFERROR(__xludf.DUMMYFUNCTION("XLOOKUP($C563,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63" s="18"/>
      <c r="J563" s="18"/>
      <c r="K563" s="10" t="str">
        <f>IFERROR(__xludf.DUMMYFUNCTION("XLOOKUP($C563,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3" s="10" t="str">
        <f>IFERROR(__xludf.DUMMYFUNCTION("XLOOKUP($C563,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3" s="8"/>
      <c r="N563" s="8"/>
      <c r="O563" s="8"/>
      <c r="P563" s="8"/>
      <c r="Q563" s="8"/>
      <c r="R563" s="8"/>
      <c r="S563" s="8"/>
      <c r="T563" s="8"/>
      <c r="U563" s="8"/>
    </row>
    <row r="564">
      <c r="A564" s="10" t="s">
        <v>1898</v>
      </c>
      <c r="B564" s="10" t="s">
        <v>1899</v>
      </c>
      <c r="C564" s="12" t="s">
        <v>1937</v>
      </c>
      <c r="D564" s="13" t="s">
        <v>1938</v>
      </c>
      <c r="E564" s="16">
        <f t="array" ref="E564">XLOOKUP(C564,'DATA TK PANEN'!D:D,'DATA TK PANEN'!H:H)</f>
        <v>49.73</v>
      </c>
      <c r="F564" s="10">
        <f>IFERROR(__xludf.DUMMYFUNCTION("XLOOKUP(C564,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564" s="10">
        <f>IFERROR(__xludf.DUMMYFUNCTION("XLOOKUP($C564,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564" s="10">
        <f>IFERROR(__xludf.DUMMYFUNCTION("XLOOKUP($C564,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564" s="18"/>
      <c r="J564" s="18"/>
      <c r="K564" s="10" t="str">
        <f>IFERROR(__xludf.DUMMYFUNCTION("XLOOKUP($C564,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4" s="10" t="str">
        <f>IFERROR(__xludf.DUMMYFUNCTION("XLOOKUP($C564,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4" s="8"/>
      <c r="N564" s="8"/>
      <c r="O564" s="8"/>
      <c r="P564" s="8"/>
      <c r="Q564" s="8"/>
      <c r="R564" s="8"/>
      <c r="S564" s="8"/>
      <c r="T564" s="8"/>
      <c r="U564" s="8"/>
    </row>
    <row r="565">
      <c r="A565" s="10" t="s">
        <v>1898</v>
      </c>
      <c r="B565" s="10" t="s">
        <v>1899</v>
      </c>
      <c r="C565" s="12" t="s">
        <v>1939</v>
      </c>
      <c r="D565" s="13" t="s">
        <v>1940</v>
      </c>
      <c r="E565" s="16">
        <f t="array" ref="E565">XLOOKUP(C565,'DATA TK PANEN'!D:D,'DATA TK PANEN'!H:H)</f>
        <v>1.27</v>
      </c>
      <c r="F565" s="10" t="str">
        <f>IFERROR(__xludf.DUMMYFUNCTION("XLOOKUP(C565,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65" s="10" t="str">
        <f>IFERROR(__xludf.DUMMYFUNCTION("XLOOKUP($C565,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65" s="10" t="str">
        <f>IFERROR(__xludf.DUMMYFUNCTION("XLOOKUP($C565,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65" s="18"/>
      <c r="J565" s="18"/>
      <c r="K565" s="10" t="str">
        <f>IFERROR(__xludf.DUMMYFUNCTION("XLOOKUP($C565,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5" s="10" t="str">
        <f>IFERROR(__xludf.DUMMYFUNCTION("XLOOKUP($C565,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5" s="8"/>
      <c r="N565" s="8"/>
      <c r="O565" s="8"/>
      <c r="P565" s="8"/>
      <c r="Q565" s="8"/>
      <c r="R565" s="8"/>
      <c r="S565" s="8"/>
      <c r="T565" s="8"/>
      <c r="U565" s="8"/>
    </row>
    <row r="566">
      <c r="A566" s="10" t="s">
        <v>1898</v>
      </c>
      <c r="B566" s="10" t="s">
        <v>1899</v>
      </c>
      <c r="C566" s="12" t="s">
        <v>1941</v>
      </c>
      <c r="D566" s="13" t="s">
        <v>1942</v>
      </c>
      <c r="E566" s="16">
        <f t="array" ref="E566">XLOOKUP(C566,'DATA TK PANEN'!D:D,'DATA TK PANEN'!H:H)</f>
        <v>785.54</v>
      </c>
      <c r="F566" s="10" t="str">
        <f>IFERROR(__xludf.DUMMYFUNCTION("XLOOKUP(C566,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66" s="10" t="str">
        <f>IFERROR(__xludf.DUMMYFUNCTION("XLOOKUP($C566,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66" s="10" t="str">
        <f>IFERROR(__xludf.DUMMYFUNCTION("XLOOKUP($C566,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66" s="18"/>
      <c r="J566" s="18"/>
      <c r="K566" s="10" t="str">
        <f>IFERROR(__xludf.DUMMYFUNCTION("XLOOKUP($C566,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6" s="10" t="str">
        <f>IFERROR(__xludf.DUMMYFUNCTION("XLOOKUP($C566,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6" s="8"/>
      <c r="N566" s="8"/>
      <c r="O566" s="8"/>
      <c r="P566" s="8"/>
      <c r="Q566" s="8"/>
      <c r="R566" s="8"/>
      <c r="S566" s="8"/>
      <c r="T566" s="8"/>
      <c r="U566" s="8"/>
    </row>
    <row r="567">
      <c r="A567" s="10" t="s">
        <v>1898</v>
      </c>
      <c r="B567" s="10" t="s">
        <v>1899</v>
      </c>
      <c r="C567" s="12" t="s">
        <v>1943</v>
      </c>
      <c r="D567" s="13" t="s">
        <v>1944</v>
      </c>
      <c r="E567" s="16">
        <f t="array" ref="E567">XLOOKUP(C567,'DATA TK PANEN'!D:D,'DATA TK PANEN'!H:H)</f>
        <v>835.93</v>
      </c>
      <c r="F567" s="10">
        <f>IFERROR(__xludf.DUMMYFUNCTION("XLOOKUP(C567,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(AUTO)'!S6:S""))"),50.0)</f>
        <v>50</v>
      </c>
      <c r="G567" s="10">
        <f>IFERROR(__xludf.DUMMYFUNCTION("XLOOKUP($C567,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567" s="10">
        <f>IFERROR(__xludf.DUMMYFUNCTION("XLOOKUP($C567,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567" s="18"/>
      <c r="J567" s="18"/>
      <c r="K567" s="10">
        <f>IFERROR(__xludf.DUMMYFUNCTION("XLOOKUP($C567,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(AUTO)'!W6:W""))"),8.0)</f>
        <v>8</v>
      </c>
      <c r="L567" s="10">
        <f>IFERROR(__xludf.DUMMYFUNCTION("XLOOKUP($C567,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(AUTO)'!X6:X""))"),18.0)</f>
        <v>18</v>
      </c>
      <c r="M567" s="8"/>
      <c r="N567" s="8"/>
      <c r="O567" s="8"/>
      <c r="P567" s="8"/>
      <c r="Q567" s="8"/>
      <c r="R567" s="8"/>
      <c r="S567" s="8"/>
      <c r="T567" s="8"/>
      <c r="U567" s="8"/>
    </row>
    <row r="568">
      <c r="A568" s="10" t="s">
        <v>1898</v>
      </c>
      <c r="B568" s="10" t="s">
        <v>1899</v>
      </c>
      <c r="C568" s="12" t="s">
        <v>1945</v>
      </c>
      <c r="D568" s="13" t="s">
        <v>1946</v>
      </c>
      <c r="E568" s="16">
        <f t="array" ref="E568">XLOOKUP(C568,'DATA TK PANEN'!D:D,'DATA TK PANEN'!H:H)</f>
        <v>5.8</v>
      </c>
      <c r="F568" s="10" t="str">
        <f>IFERROR(__xludf.DUMMYFUNCTION("XLOOKUP(C568,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68" s="10" t="str">
        <f>IFERROR(__xludf.DUMMYFUNCTION("XLOOKUP($C568,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68" s="10" t="str">
        <f>IFERROR(__xludf.DUMMYFUNCTION("XLOOKUP($C568,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68" s="18"/>
      <c r="J568" s="18"/>
      <c r="K568" s="10" t="str">
        <f>IFERROR(__xludf.DUMMYFUNCTION("XLOOKUP($C568,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68" s="10" t="str">
        <f>IFERROR(__xludf.DUMMYFUNCTION("XLOOKUP($C568,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68" s="8"/>
      <c r="N568" s="8"/>
      <c r="O568" s="8"/>
      <c r="P568" s="8"/>
      <c r="Q568" s="8"/>
      <c r="R568" s="8"/>
      <c r="S568" s="8"/>
      <c r="T568" s="8"/>
      <c r="U568" s="8"/>
    </row>
    <row r="569">
      <c r="A569" s="10" t="s">
        <v>1898</v>
      </c>
      <c r="B569" s="10" t="s">
        <v>1899</v>
      </c>
      <c r="C569" s="12" t="s">
        <v>1947</v>
      </c>
      <c r="D569" s="13" t="s">
        <v>1948</v>
      </c>
      <c r="E569" s="16">
        <f t="array" ref="E569">XLOOKUP(C569,'DATA TK PANEN'!D:D,'DATA TK PANEN'!H:H)</f>
        <v>2948</v>
      </c>
      <c r="F569" s="10">
        <f>IFERROR(__xludf.DUMMYFUNCTION("XLOOKUP(C569,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(AUTO)'!S6:S""))"),228.0)</f>
        <v>228</v>
      </c>
      <c r="G569" s="10">
        <f>IFERROR(__xludf.DUMMYFUNCTION("XLOOKUP($C569,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(AUTO)'!T6:T""))"),124.0)</f>
        <v>124</v>
      </c>
      <c r="H569" s="10">
        <f>IFERROR(__xludf.DUMMYFUNCTION("XLOOKUP($C569,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(AUTO)'!V6:V""))"),112.0)</f>
        <v>112</v>
      </c>
      <c r="I569" s="18"/>
      <c r="J569" s="18"/>
      <c r="K569" s="10">
        <f>IFERROR(__xludf.DUMMYFUNCTION("XLOOKUP($C569,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(AUTO)'!W6:W""))"),32.0)</f>
        <v>32</v>
      </c>
      <c r="L569" s="10">
        <f>IFERROR(__xludf.DUMMYFUNCTION("XLOOKUP($C569,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(AUTO)'!X6:X""))"),32.0)</f>
        <v>32</v>
      </c>
      <c r="M569" s="8"/>
      <c r="N569" s="8"/>
      <c r="O569" s="8"/>
      <c r="P569" s="8"/>
      <c r="Q569" s="8"/>
      <c r="R569" s="8"/>
      <c r="S569" s="8"/>
      <c r="T569" s="8"/>
      <c r="U569" s="8"/>
    </row>
    <row r="570">
      <c r="A570" s="10" t="s">
        <v>1898</v>
      </c>
      <c r="B570" s="10" t="s">
        <v>1899</v>
      </c>
      <c r="C570" s="12" t="s">
        <v>1949</v>
      </c>
      <c r="D570" s="13" t="s">
        <v>1950</v>
      </c>
      <c r="E570" s="16">
        <f t="array" ref="E570">XLOOKUP(C570,'DATA TK PANEN'!D:D,'DATA TK PANEN'!H:H)</f>
        <v>1312.44</v>
      </c>
      <c r="F570" s="10">
        <f>IFERROR(__xludf.DUMMYFUNCTION("XLOOKUP(C570,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(AUTO)'!S6:S""))"),79.0)</f>
        <v>79</v>
      </c>
      <c r="G570" s="10">
        <f>IFERROR(__xludf.DUMMYFUNCTION("XLOOKUP($C570,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(AUTO)'!T6:T""))"),25.0)</f>
        <v>25</v>
      </c>
      <c r="H570" s="10">
        <f>IFERROR(__xludf.DUMMYFUNCTION("XLOOKUP($C570,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(AUTO)'!V6:V""))"),34.0)</f>
        <v>34</v>
      </c>
      <c r="I570" s="18"/>
      <c r="J570" s="18"/>
      <c r="K570" s="10">
        <f>IFERROR(__xludf.DUMMYFUNCTION("XLOOKUP($C570,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(AUTO)'!W6:W""))"),15.0)</f>
        <v>15</v>
      </c>
      <c r="L570" s="10">
        <f>IFERROR(__xludf.DUMMYFUNCTION("XLOOKUP($C570,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(AUTO)'!X6:X""))"),12.0)</f>
        <v>12</v>
      </c>
      <c r="M570" s="8"/>
      <c r="N570" s="8"/>
      <c r="O570" s="8"/>
      <c r="P570" s="8"/>
      <c r="Q570" s="8"/>
      <c r="R570" s="8"/>
      <c r="S570" s="8"/>
      <c r="T570" s="8"/>
      <c r="U570" s="8"/>
    </row>
    <row r="571">
      <c r="A571" s="10" t="s">
        <v>1898</v>
      </c>
      <c r="B571" s="10" t="s">
        <v>1899</v>
      </c>
      <c r="C571" s="12" t="s">
        <v>1951</v>
      </c>
      <c r="D571" s="13" t="s">
        <v>1952</v>
      </c>
      <c r="E571" s="16">
        <f t="array" ref="E571">XLOOKUP(C571,'DATA TK PANEN'!D:D,'DATA TK PANEN'!H:H)</f>
        <v>0</v>
      </c>
      <c r="F571" s="10" t="str">
        <f>IFERROR(__xludf.DUMMYFUNCTION("XLOOKUP(C571,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1" s="10" t="str">
        <f>IFERROR(__xludf.DUMMYFUNCTION("XLOOKUP($C571,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1" s="10" t="str">
        <f>IFERROR(__xludf.DUMMYFUNCTION("XLOOKUP($C571,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1" s="18"/>
      <c r="J571" s="18"/>
      <c r="K571" s="10" t="str">
        <f>IFERROR(__xludf.DUMMYFUNCTION("XLOOKUP($C571,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1" s="10" t="str">
        <f>IFERROR(__xludf.DUMMYFUNCTION("XLOOKUP($C571,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1" s="8"/>
      <c r="N571" s="8"/>
      <c r="O571" s="8"/>
      <c r="P571" s="8"/>
      <c r="Q571" s="8"/>
      <c r="R571" s="8"/>
      <c r="S571" s="8"/>
      <c r="T571" s="8"/>
      <c r="U571" s="8"/>
    </row>
    <row r="572">
      <c r="A572" s="10" t="s">
        <v>1898</v>
      </c>
      <c r="B572" s="10" t="s">
        <v>1899</v>
      </c>
      <c r="C572" s="12" t="s">
        <v>1953</v>
      </c>
      <c r="D572" s="13" t="s">
        <v>1954</v>
      </c>
      <c r="E572" s="16">
        <f t="array" ref="E572">XLOOKUP(C572,'DATA TK PANEN'!D:D,'DATA TK PANEN'!H:H)</f>
        <v>0</v>
      </c>
      <c r="F572" s="10" t="str">
        <f>IFERROR(__xludf.DUMMYFUNCTION("XLOOKUP(C572,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2" s="10" t="str">
        <f>IFERROR(__xludf.DUMMYFUNCTION("XLOOKUP($C572,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2" s="10" t="str">
        <f>IFERROR(__xludf.DUMMYFUNCTION("XLOOKUP($C572,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2" s="18"/>
      <c r="J572" s="18"/>
      <c r="K572" s="10" t="str">
        <f>IFERROR(__xludf.DUMMYFUNCTION("XLOOKUP($C572,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2" s="10" t="str">
        <f>IFERROR(__xludf.DUMMYFUNCTION("XLOOKUP($C572,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2" s="8"/>
      <c r="N572" s="8"/>
      <c r="O572" s="8"/>
      <c r="P572" s="8"/>
      <c r="Q572" s="8"/>
      <c r="R572" s="8"/>
      <c r="S572" s="8"/>
      <c r="T572" s="8"/>
      <c r="U572" s="8"/>
    </row>
    <row r="573">
      <c r="A573" s="10" t="s">
        <v>1898</v>
      </c>
      <c r="B573" s="10" t="s">
        <v>1899</v>
      </c>
      <c r="C573" s="12" t="s">
        <v>1955</v>
      </c>
      <c r="D573" s="13" t="s">
        <v>1956</v>
      </c>
      <c r="E573" s="16">
        <f t="array" ref="E573">XLOOKUP(C573,'DATA TK PANEN'!D:D,'DATA TK PANEN'!H:H)</f>
        <v>169</v>
      </c>
      <c r="F573" s="10">
        <f>IFERROR(__xludf.DUMMYFUNCTION("XLOOKUP(C573,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573" s="10">
        <f>IFERROR(__xludf.DUMMYFUNCTION("XLOOKUP($C573,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573" s="10">
        <f>IFERROR(__xludf.DUMMYFUNCTION("XLOOKUP($C573,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(AUTO)'!V6:V""))"),18.0)</f>
        <v>18</v>
      </c>
      <c r="I573" s="18"/>
      <c r="J573" s="18"/>
      <c r="K573" s="10">
        <f>IFERROR(__xludf.DUMMYFUNCTION("XLOOKUP($C573,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73" s="10">
        <f>IFERROR(__xludf.DUMMYFUNCTION("XLOOKUP($C573,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73" s="8"/>
      <c r="N573" s="8"/>
      <c r="O573" s="8"/>
      <c r="P573" s="8"/>
      <c r="Q573" s="8"/>
      <c r="R573" s="8"/>
      <c r="S573" s="8"/>
      <c r="T573" s="8"/>
      <c r="U573" s="8"/>
    </row>
    <row r="574">
      <c r="A574" s="10" t="s">
        <v>1898</v>
      </c>
      <c r="B574" s="10" t="s">
        <v>1899</v>
      </c>
      <c r="C574" s="12" t="s">
        <v>1957</v>
      </c>
      <c r="D574" s="13" t="s">
        <v>1958</v>
      </c>
      <c r="E574" s="16">
        <f t="array" ref="E574">XLOOKUP(C574,'DATA TK PANEN'!D:D,'DATA TK PANEN'!H:H)</f>
        <v>1374.81</v>
      </c>
      <c r="F574" s="10" t="str">
        <f>IFERROR(__xludf.DUMMYFUNCTION("XLOOKUP(C574,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4" s="10" t="str">
        <f>IFERROR(__xludf.DUMMYFUNCTION("XLOOKUP($C574,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4" s="10" t="str">
        <f>IFERROR(__xludf.DUMMYFUNCTION("XLOOKUP($C574,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4" s="18"/>
      <c r="J574" s="18"/>
      <c r="K574" s="10" t="str">
        <f>IFERROR(__xludf.DUMMYFUNCTION("XLOOKUP($C574,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4" s="10" t="str">
        <f>IFERROR(__xludf.DUMMYFUNCTION("XLOOKUP($C574,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4" s="8"/>
      <c r="N574" s="8"/>
      <c r="O574" s="8"/>
      <c r="P574" s="8"/>
      <c r="Q574" s="8"/>
      <c r="R574" s="8"/>
      <c r="S574" s="8"/>
      <c r="T574" s="8"/>
      <c r="U574" s="8"/>
    </row>
    <row r="575">
      <c r="A575" s="10" t="s">
        <v>1898</v>
      </c>
      <c r="B575" s="10" t="s">
        <v>1899</v>
      </c>
      <c r="C575" s="12" t="s">
        <v>1959</v>
      </c>
      <c r="D575" s="13" t="s">
        <v>1960</v>
      </c>
      <c r="E575" s="16">
        <f t="array" ref="E575">XLOOKUP(C575,'DATA TK PANEN'!D:D,'DATA TK PANEN'!H:H)</f>
        <v>165.32</v>
      </c>
      <c r="F575" s="10" t="str">
        <f>IFERROR(__xludf.DUMMYFUNCTION("XLOOKUP(C575,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5" s="10" t="str">
        <f>IFERROR(__xludf.DUMMYFUNCTION("XLOOKUP($C575,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5" s="10" t="str">
        <f>IFERROR(__xludf.DUMMYFUNCTION("XLOOKUP($C575,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5" s="18"/>
      <c r="J575" s="18"/>
      <c r="K575" s="10" t="str">
        <f>IFERROR(__xludf.DUMMYFUNCTION("XLOOKUP($C575,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5" s="10" t="str">
        <f>IFERROR(__xludf.DUMMYFUNCTION("XLOOKUP($C575,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5" s="8"/>
      <c r="N575" s="8"/>
      <c r="O575" s="8"/>
      <c r="P575" s="8"/>
      <c r="Q575" s="8"/>
      <c r="R575" s="8"/>
      <c r="S575" s="8"/>
      <c r="T575" s="8"/>
      <c r="U575" s="8"/>
    </row>
    <row r="576">
      <c r="A576" s="10" t="s">
        <v>1898</v>
      </c>
      <c r="B576" s="10" t="s">
        <v>1899</v>
      </c>
      <c r="C576" s="12" t="s">
        <v>1961</v>
      </c>
      <c r="D576" s="13" t="s">
        <v>1962</v>
      </c>
      <c r="E576" s="16">
        <f t="array" ref="E576">XLOOKUP(C576,'DATA TK PANEN'!D:D,'DATA TK PANEN'!H:H)</f>
        <v>581.47</v>
      </c>
      <c r="F576" s="10" t="str">
        <f>IFERROR(__xludf.DUMMYFUNCTION("XLOOKUP(C576,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6" s="10" t="str">
        <f>IFERROR(__xludf.DUMMYFUNCTION("XLOOKUP($C576,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6" s="10" t="str">
        <f>IFERROR(__xludf.DUMMYFUNCTION("XLOOKUP($C576,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6" s="18"/>
      <c r="J576" s="18"/>
      <c r="K576" s="10" t="str">
        <f>IFERROR(__xludf.DUMMYFUNCTION("XLOOKUP($C576,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6" s="10" t="str">
        <f>IFERROR(__xludf.DUMMYFUNCTION("XLOOKUP($C576,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6" s="8"/>
      <c r="N576" s="8"/>
      <c r="O576" s="8"/>
      <c r="P576" s="8"/>
      <c r="Q576" s="8"/>
      <c r="R576" s="8"/>
      <c r="S576" s="8"/>
      <c r="T576" s="8"/>
      <c r="U576" s="8"/>
    </row>
    <row r="577">
      <c r="A577" s="10" t="s">
        <v>1898</v>
      </c>
      <c r="B577" s="10" t="s">
        <v>1899</v>
      </c>
      <c r="C577" s="12" t="s">
        <v>1963</v>
      </c>
      <c r="D577" s="13" t="s">
        <v>1964</v>
      </c>
      <c r="E577" s="16">
        <f t="array" ref="E577">XLOOKUP(C577,'DATA TK PANEN'!D:D,'DATA TK PANEN'!H:H)</f>
        <v>225.73</v>
      </c>
      <c r="F577" s="10">
        <f>IFERROR(__xludf.DUMMYFUNCTION("XLOOKUP(C577,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577" s="10">
        <f>IFERROR(__xludf.DUMMYFUNCTION("XLOOKUP($C577,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577" s="10">
        <f>IFERROR(__xludf.DUMMYFUNCTION("XLOOKUP($C577,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(AUTO)'!V6:V""))"),17.0)</f>
        <v>17</v>
      </c>
      <c r="I577" s="18"/>
      <c r="J577" s="18"/>
      <c r="K577" s="10" t="str">
        <f>IFERROR(__xludf.DUMMYFUNCTION("XLOOKUP($C577,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7" s="10" t="str">
        <f>IFERROR(__xludf.DUMMYFUNCTION("XLOOKUP($C577,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7" s="8"/>
      <c r="N577" s="8"/>
      <c r="O577" s="8"/>
      <c r="P577" s="8"/>
      <c r="Q577" s="8"/>
      <c r="R577" s="8"/>
      <c r="S577" s="8"/>
      <c r="T577" s="8"/>
      <c r="U577" s="8"/>
    </row>
    <row r="578">
      <c r="A578" s="10" t="s">
        <v>1898</v>
      </c>
      <c r="B578" s="10" t="s">
        <v>1899</v>
      </c>
      <c r="C578" s="12" t="s">
        <v>1965</v>
      </c>
      <c r="D578" s="13" t="s">
        <v>1966</v>
      </c>
      <c r="E578" s="16">
        <f t="array" ref="E578">XLOOKUP(C578,'DATA TK PANEN'!D:D,'DATA TK PANEN'!H:H)</f>
        <v>129.61</v>
      </c>
      <c r="F578" s="10">
        <f>IFERROR(__xludf.DUMMYFUNCTION("XLOOKUP(C578,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578" s="10">
        <f>IFERROR(__xludf.DUMMYFUNCTION("XLOOKUP($C578,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578" s="10">
        <f>IFERROR(__xludf.DUMMYFUNCTION("XLOOKUP($C578,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578" s="18"/>
      <c r="J578" s="18"/>
      <c r="K578" s="10">
        <f>IFERROR(__xludf.DUMMYFUNCTION("XLOOKUP($C578,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78" s="10">
        <f>IFERROR(__xludf.DUMMYFUNCTION("XLOOKUP($C578,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578" s="8"/>
      <c r="N578" s="8"/>
      <c r="O578" s="8"/>
      <c r="P578" s="8"/>
      <c r="Q578" s="8"/>
      <c r="R578" s="8"/>
      <c r="S578" s="8"/>
      <c r="T578" s="8"/>
      <c r="U578" s="8"/>
    </row>
    <row r="579">
      <c r="A579" s="10" t="s">
        <v>1898</v>
      </c>
      <c r="B579" s="10" t="s">
        <v>1899</v>
      </c>
      <c r="C579" s="12" t="s">
        <v>1967</v>
      </c>
      <c r="D579" s="13" t="s">
        <v>1968</v>
      </c>
      <c r="E579" s="16">
        <f t="array" ref="E579">XLOOKUP(C579,'DATA TK PANEN'!D:D,'DATA TK PANEN'!H:H)</f>
        <v>8.15</v>
      </c>
      <c r="F579" s="10" t="str">
        <f>IFERROR(__xludf.DUMMYFUNCTION("XLOOKUP(C579,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79" s="10" t="str">
        <f>IFERROR(__xludf.DUMMYFUNCTION("XLOOKUP($C579,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79" s="10" t="str">
        <f>IFERROR(__xludf.DUMMYFUNCTION("XLOOKUP($C579,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79" s="18"/>
      <c r="J579" s="18"/>
      <c r="K579" s="10" t="str">
        <f>IFERROR(__xludf.DUMMYFUNCTION("XLOOKUP($C579,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79" s="10" t="str">
        <f>IFERROR(__xludf.DUMMYFUNCTION("XLOOKUP($C579,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79" s="8"/>
      <c r="N579" s="8"/>
      <c r="O579" s="8"/>
      <c r="P579" s="8"/>
      <c r="Q579" s="8"/>
      <c r="R579" s="8"/>
      <c r="S579" s="8"/>
      <c r="T579" s="8"/>
      <c r="U579" s="8"/>
    </row>
    <row r="580">
      <c r="A580" s="10" t="s">
        <v>1898</v>
      </c>
      <c r="B580" s="10" t="s">
        <v>1899</v>
      </c>
      <c r="C580" s="12" t="s">
        <v>1969</v>
      </c>
      <c r="D580" s="13" t="s">
        <v>1970</v>
      </c>
      <c r="E580" s="16">
        <f t="array" ref="E580">XLOOKUP(C580,'DATA TK PANEN'!D:D,'DATA TK PANEN'!H:H)</f>
        <v>2.47</v>
      </c>
      <c r="F580" s="10" t="str">
        <f>IFERROR(__xludf.DUMMYFUNCTION("XLOOKUP(C580,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0" s="10" t="str">
        <f>IFERROR(__xludf.DUMMYFUNCTION("XLOOKUP($C580,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0" s="10" t="str">
        <f>IFERROR(__xludf.DUMMYFUNCTION("XLOOKUP($C580,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0" s="18"/>
      <c r="J580" s="18"/>
      <c r="K580" s="10" t="str">
        <f>IFERROR(__xludf.DUMMYFUNCTION("XLOOKUP($C580,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0" s="10" t="str">
        <f>IFERROR(__xludf.DUMMYFUNCTION("XLOOKUP($C580,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0" s="8"/>
      <c r="N580" s="8"/>
      <c r="O580" s="8"/>
      <c r="P580" s="8"/>
      <c r="Q580" s="8"/>
      <c r="R580" s="8"/>
      <c r="S580" s="8"/>
      <c r="T580" s="8"/>
      <c r="U580" s="8"/>
    </row>
    <row r="581">
      <c r="A581" s="10" t="s">
        <v>1898</v>
      </c>
      <c r="B581" s="10" t="s">
        <v>1899</v>
      </c>
      <c r="C581" s="12" t="s">
        <v>1971</v>
      </c>
      <c r="D581" s="13" t="s">
        <v>1972</v>
      </c>
      <c r="E581" s="16">
        <f t="array" ref="E581">XLOOKUP(C581,'DATA TK PANEN'!D:D,'DATA TK PANEN'!H:H)</f>
        <v>4106</v>
      </c>
      <c r="F581" s="10">
        <f>IFERROR(__xludf.DUMMYFUNCTION("XLOOKUP(C581,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(AUTO)'!S6:S""))"),246.0)</f>
        <v>246</v>
      </c>
      <c r="G581" s="10">
        <f>IFERROR(__xludf.DUMMYFUNCTION("XLOOKUP($C581,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(AUTO)'!T6:T""))"),218.0)</f>
        <v>218</v>
      </c>
      <c r="H581" s="10">
        <f>IFERROR(__xludf.DUMMYFUNCTION("XLOOKUP($C581,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(AUTO)'!V6:V""))"),221.0)</f>
        <v>221</v>
      </c>
      <c r="I581" s="18"/>
      <c r="J581" s="18"/>
      <c r="K581" s="10">
        <f>IFERROR(__xludf.DUMMYFUNCTION("XLOOKUP($C581,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(AUTO)'!W6:W""))"),20.0)</f>
        <v>20</v>
      </c>
      <c r="L581" s="10">
        <f>IFERROR(__xludf.DUMMYFUNCTION("XLOOKUP($C581,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(AUTO)'!X6:X""))"),5.0)</f>
        <v>5</v>
      </c>
      <c r="M581" s="8"/>
      <c r="N581" s="8"/>
      <c r="O581" s="8"/>
      <c r="P581" s="8"/>
      <c r="Q581" s="8"/>
      <c r="R581" s="8"/>
      <c r="S581" s="8"/>
      <c r="T581" s="8"/>
      <c r="U581" s="8"/>
    </row>
    <row r="582">
      <c r="A582" s="10" t="s">
        <v>1898</v>
      </c>
      <c r="B582" s="10" t="s">
        <v>1899</v>
      </c>
      <c r="C582" s="12" t="s">
        <v>1973</v>
      </c>
      <c r="D582" s="13" t="s">
        <v>1974</v>
      </c>
      <c r="E582" s="16">
        <f t="array" ref="E582">XLOOKUP(C582,'DATA TK PANEN'!D:D,'DATA TK PANEN'!H:H)</f>
        <v>0</v>
      </c>
      <c r="F582" s="10" t="str">
        <f>IFERROR(__xludf.DUMMYFUNCTION("XLOOKUP(C582,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2" s="10" t="str">
        <f>IFERROR(__xludf.DUMMYFUNCTION("XLOOKUP($C582,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2" s="10" t="str">
        <f>IFERROR(__xludf.DUMMYFUNCTION("XLOOKUP($C582,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2" s="18"/>
      <c r="J582" s="18"/>
      <c r="K582" s="10" t="str">
        <f>IFERROR(__xludf.DUMMYFUNCTION("XLOOKUP($C582,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2" s="10" t="str">
        <f>IFERROR(__xludf.DUMMYFUNCTION("XLOOKUP($C582,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2" s="8"/>
      <c r="N582" s="8"/>
      <c r="O582" s="8"/>
      <c r="P582" s="8"/>
      <c r="Q582" s="8"/>
      <c r="R582" s="8"/>
      <c r="S582" s="8"/>
      <c r="T582" s="8"/>
      <c r="U582" s="8"/>
    </row>
    <row r="583">
      <c r="A583" s="10" t="s">
        <v>1898</v>
      </c>
      <c r="B583" s="10" t="s">
        <v>1899</v>
      </c>
      <c r="C583" s="12" t="s">
        <v>1975</v>
      </c>
      <c r="D583" s="13" t="s">
        <v>1976</v>
      </c>
      <c r="E583" s="16">
        <f t="array" ref="E583">XLOOKUP(C583,'DATA TK PANEN'!D:D,'DATA TK PANEN'!H:H)</f>
        <v>5.28</v>
      </c>
      <c r="F583" s="10" t="str">
        <f>IFERROR(__xludf.DUMMYFUNCTION("XLOOKUP(C583,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3" s="10" t="str">
        <f>IFERROR(__xludf.DUMMYFUNCTION("XLOOKUP($C583,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3" s="10" t="str">
        <f>IFERROR(__xludf.DUMMYFUNCTION("XLOOKUP($C583,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3" s="18"/>
      <c r="J583" s="18"/>
      <c r="K583" s="10" t="str">
        <f>IFERROR(__xludf.DUMMYFUNCTION("XLOOKUP($C583,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3" s="10" t="str">
        <f>IFERROR(__xludf.DUMMYFUNCTION("XLOOKUP($C583,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3" s="8"/>
      <c r="N583" s="8"/>
      <c r="O583" s="8"/>
      <c r="P583" s="8"/>
      <c r="Q583" s="8"/>
      <c r="R583" s="8"/>
      <c r="S583" s="8"/>
      <c r="T583" s="8"/>
      <c r="U583" s="8"/>
    </row>
    <row r="584">
      <c r="A584" s="10" t="s">
        <v>1898</v>
      </c>
      <c r="B584" s="10" t="s">
        <v>1899</v>
      </c>
      <c r="C584" s="12" t="s">
        <v>1977</v>
      </c>
      <c r="D584" s="13" t="s">
        <v>1978</v>
      </c>
      <c r="E584" s="16">
        <f t="array" ref="E584">XLOOKUP(C584,'DATA TK PANEN'!D:D,'DATA TK PANEN'!H:H)</f>
        <v>1085.89</v>
      </c>
      <c r="F584" s="10" t="str">
        <f>IFERROR(__xludf.DUMMYFUNCTION("XLOOKUP(C584,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4" s="10" t="str">
        <f>IFERROR(__xludf.DUMMYFUNCTION("XLOOKUP($C584,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4" s="10" t="str">
        <f>IFERROR(__xludf.DUMMYFUNCTION("XLOOKUP($C584,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4" s="18"/>
      <c r="J584" s="18"/>
      <c r="K584" s="10" t="str">
        <f>IFERROR(__xludf.DUMMYFUNCTION("XLOOKUP($C584,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4" s="10" t="str">
        <f>IFERROR(__xludf.DUMMYFUNCTION("XLOOKUP($C584,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4" s="8"/>
      <c r="N584" s="8"/>
      <c r="O584" s="8"/>
      <c r="P584" s="8"/>
      <c r="Q584" s="8"/>
      <c r="R584" s="8"/>
      <c r="S584" s="8"/>
      <c r="T584" s="8"/>
      <c r="U584" s="8"/>
    </row>
    <row r="585">
      <c r="A585" s="10" t="s">
        <v>1898</v>
      </c>
      <c r="B585" s="10" t="s">
        <v>1899</v>
      </c>
      <c r="C585" s="12" t="s">
        <v>1979</v>
      </c>
      <c r="D585" s="13" t="s">
        <v>1980</v>
      </c>
      <c r="E585" s="16">
        <f t="array" ref="E585">XLOOKUP(C585,'DATA TK PANEN'!D:D,'DATA TK PANEN'!H:H)</f>
        <v>58.91</v>
      </c>
      <c r="F585" s="10">
        <f>IFERROR(__xludf.DUMMYFUNCTION("XLOOKUP(C585,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585" s="10" t="str">
        <f>IFERROR(__xludf.DUMMYFUNCTION("XLOOKUP($C585,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5" s="10" t="str">
        <f>IFERROR(__xludf.DUMMYFUNCTION("XLOOKUP($C585,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5" s="18"/>
      <c r="J585" s="18"/>
      <c r="K585" s="10" t="str">
        <f>IFERROR(__xludf.DUMMYFUNCTION("XLOOKUP($C585,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5" s="10" t="str">
        <f>IFERROR(__xludf.DUMMYFUNCTION("XLOOKUP($C585,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5" s="8"/>
      <c r="N585" s="8"/>
      <c r="O585" s="8"/>
      <c r="P585" s="8"/>
      <c r="Q585" s="8"/>
      <c r="R585" s="8"/>
      <c r="S585" s="8"/>
      <c r="T585" s="8"/>
      <c r="U585" s="8"/>
    </row>
    <row r="586">
      <c r="A586" s="10" t="s">
        <v>1898</v>
      </c>
      <c r="B586" s="10" t="s">
        <v>1899</v>
      </c>
      <c r="C586" s="12" t="s">
        <v>1981</v>
      </c>
      <c r="D586" s="13" t="s">
        <v>1982</v>
      </c>
      <c r="E586" s="16">
        <f t="array" ref="E586">XLOOKUP(C586,'DATA TK PANEN'!D:D,'DATA TK PANEN'!H:H)</f>
        <v>51.52</v>
      </c>
      <c r="F586" s="10" t="str">
        <f>IFERROR(__xludf.DUMMYFUNCTION("XLOOKUP(C586,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6" s="10" t="str">
        <f>IFERROR(__xludf.DUMMYFUNCTION("XLOOKUP($C586,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6" s="10" t="str">
        <f>IFERROR(__xludf.DUMMYFUNCTION("XLOOKUP($C586,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6" s="18"/>
      <c r="J586" s="18"/>
      <c r="K586" s="10" t="str">
        <f>IFERROR(__xludf.DUMMYFUNCTION("XLOOKUP($C586,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6" s="10" t="str">
        <f>IFERROR(__xludf.DUMMYFUNCTION("XLOOKUP($C586,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6" s="8"/>
      <c r="N586" s="8"/>
      <c r="O586" s="8"/>
      <c r="P586" s="8"/>
      <c r="Q586" s="8"/>
      <c r="R586" s="8"/>
      <c r="S586" s="8"/>
      <c r="T586" s="8"/>
      <c r="U586" s="8"/>
    </row>
    <row r="587">
      <c r="A587" s="10" t="s">
        <v>1898</v>
      </c>
      <c r="B587" s="10" t="s">
        <v>1899</v>
      </c>
      <c r="C587" s="12" t="s">
        <v>1983</v>
      </c>
      <c r="D587" s="13" t="s">
        <v>1984</v>
      </c>
      <c r="E587" s="16">
        <f t="array" ref="E587">XLOOKUP(C587,'DATA TK PANEN'!D:D,'DATA TK PANEN'!H:H)</f>
        <v>0</v>
      </c>
      <c r="F587" s="10" t="str">
        <f>IFERROR(__xludf.DUMMYFUNCTION("XLOOKUP(C587,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7" s="10" t="str">
        <f>IFERROR(__xludf.DUMMYFUNCTION("XLOOKUP($C587,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7" s="10" t="str">
        <f>IFERROR(__xludf.DUMMYFUNCTION("XLOOKUP($C587,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7" s="18"/>
      <c r="J587" s="18"/>
      <c r="K587" s="10" t="str">
        <f>IFERROR(__xludf.DUMMYFUNCTION("XLOOKUP($C587,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7" s="10" t="str">
        <f>IFERROR(__xludf.DUMMYFUNCTION("XLOOKUP($C587,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7" s="8"/>
      <c r="N587" s="8"/>
      <c r="O587" s="8"/>
      <c r="P587" s="8"/>
      <c r="Q587" s="8"/>
      <c r="R587" s="8"/>
      <c r="S587" s="8"/>
      <c r="T587" s="8"/>
      <c r="U587" s="8"/>
    </row>
    <row r="588">
      <c r="A588" s="10" t="s">
        <v>1898</v>
      </c>
      <c r="B588" s="10" t="s">
        <v>1899</v>
      </c>
      <c r="C588" s="12" t="s">
        <v>1985</v>
      </c>
      <c r="D588" s="13" t="s">
        <v>1986</v>
      </c>
      <c r="E588" s="16">
        <f t="array" ref="E588">XLOOKUP(C588,'DATA TK PANEN'!D:D,'DATA TK PANEN'!H:H)</f>
        <v>264.5</v>
      </c>
      <c r="F588" s="10">
        <f>IFERROR(__xludf.DUMMYFUNCTION("XLOOKUP(C588,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(AUTO)'!S6:S""))"),12.0)</f>
        <v>12</v>
      </c>
      <c r="G588" s="10">
        <f>IFERROR(__xludf.DUMMYFUNCTION("XLOOKUP($C588,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588" s="10">
        <f>IFERROR(__xludf.DUMMYFUNCTION("XLOOKUP($C588,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588" s="18"/>
      <c r="J588" s="18"/>
      <c r="K588" s="10">
        <f>IFERROR(__xludf.DUMMYFUNCTION("XLOOKUP($C588,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(AUTO)'!W6:W""))"),1.0)</f>
        <v>1</v>
      </c>
      <c r="L588" s="10">
        <f>IFERROR(__xludf.DUMMYFUNCTION("XLOOKUP($C588,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(AUTO)'!X6:X""))"),1.0)</f>
        <v>1</v>
      </c>
      <c r="M588" s="8"/>
      <c r="N588" s="8"/>
      <c r="O588" s="8"/>
      <c r="P588" s="8"/>
      <c r="Q588" s="8"/>
      <c r="R588" s="8"/>
      <c r="S588" s="8"/>
      <c r="T588" s="8"/>
      <c r="U588" s="8"/>
    </row>
    <row r="589">
      <c r="A589" s="10" t="s">
        <v>1898</v>
      </c>
      <c r="B589" s="10" t="s">
        <v>1899</v>
      </c>
      <c r="C589" s="12" t="s">
        <v>1987</v>
      </c>
      <c r="D589" s="13" t="s">
        <v>1988</v>
      </c>
      <c r="E589" s="16">
        <f t="array" ref="E589">XLOOKUP(C589,'DATA TK PANEN'!D:D,'DATA TK PANEN'!H:H)</f>
        <v>1009.98</v>
      </c>
      <c r="F589" s="10" t="str">
        <f>IFERROR(__xludf.DUMMYFUNCTION("XLOOKUP(C589,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89" s="10" t="str">
        <f>IFERROR(__xludf.DUMMYFUNCTION("XLOOKUP($C589,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89" s="10" t="str">
        <f>IFERROR(__xludf.DUMMYFUNCTION("XLOOKUP($C589,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89" s="18"/>
      <c r="J589" s="18"/>
      <c r="K589" s="10" t="str">
        <f>IFERROR(__xludf.DUMMYFUNCTION("XLOOKUP($C589,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89" s="10" t="str">
        <f>IFERROR(__xludf.DUMMYFUNCTION("XLOOKUP($C589,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89" s="8"/>
      <c r="N589" s="8"/>
      <c r="O589" s="8"/>
      <c r="P589" s="8"/>
      <c r="Q589" s="8"/>
      <c r="R589" s="8"/>
      <c r="S589" s="8"/>
      <c r="T589" s="8"/>
      <c r="U589" s="8"/>
    </row>
    <row r="590">
      <c r="A590" s="10" t="s">
        <v>1898</v>
      </c>
      <c r="B590" s="10" t="s">
        <v>1899</v>
      </c>
      <c r="C590" s="12" t="s">
        <v>1989</v>
      </c>
      <c r="D590" s="13" t="s">
        <v>1990</v>
      </c>
      <c r="E590" s="16">
        <f t="array" ref="E590">XLOOKUP(C590,'DATA TK PANEN'!D:D,'DATA TK PANEN'!H:H)</f>
        <v>2.79</v>
      </c>
      <c r="F590" s="10" t="str">
        <f>IFERROR(__xludf.DUMMYFUNCTION("XLOOKUP(C590,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90" s="10" t="str">
        <f>IFERROR(__xludf.DUMMYFUNCTION("XLOOKUP($C590,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90" s="10" t="str">
        <f>IFERROR(__xludf.DUMMYFUNCTION("XLOOKUP($C590,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90" s="18"/>
      <c r="J590" s="18"/>
      <c r="K590" s="10" t="str">
        <f>IFERROR(__xludf.DUMMYFUNCTION("XLOOKUP($C590,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90" s="10" t="str">
        <f>IFERROR(__xludf.DUMMYFUNCTION("XLOOKUP($C590,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0" s="8"/>
      <c r="N590" s="8"/>
      <c r="O590" s="8"/>
      <c r="P590" s="8"/>
      <c r="Q590" s="8"/>
      <c r="R590" s="8"/>
      <c r="S590" s="8"/>
      <c r="T590" s="8"/>
      <c r="U590" s="8"/>
    </row>
    <row r="591">
      <c r="A591" s="10" t="s">
        <v>1898</v>
      </c>
      <c r="B591" s="10" t="s">
        <v>1899</v>
      </c>
      <c r="C591" s="12" t="s">
        <v>1991</v>
      </c>
      <c r="D591" s="13" t="s">
        <v>1992</v>
      </c>
      <c r="E591" s="16">
        <f t="array" ref="E591">XLOOKUP(C591,'DATA TK PANEN'!D:D,'DATA TK PANEN'!H:H)</f>
        <v>1070.94</v>
      </c>
      <c r="F591" s="10">
        <f>IFERROR(__xludf.DUMMYFUNCTION("XLOOKUP(C591,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(AUTO)'!S6:S""))"),64.0)</f>
        <v>64</v>
      </c>
      <c r="G591" s="10">
        <f>IFERROR(__xludf.DUMMYFUNCTION("XLOOKUP($C591,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(AUTO)'!T6:T""))"),56.0)</f>
        <v>56</v>
      </c>
      <c r="H591" s="10">
        <f>IFERROR(__xludf.DUMMYFUNCTION("XLOOKUP($C591,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(AUTO)'!V6:V""))"),53.0)</f>
        <v>53</v>
      </c>
      <c r="I591" s="18"/>
      <c r="J591" s="18"/>
      <c r="K591" s="10">
        <f>IFERROR(__xludf.DUMMYFUNCTION("XLOOKUP($C591,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591" s="10">
        <f>IFERROR(__xludf.DUMMYFUNCTION("XLOOKUP($C591,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(AUTO)'!X6:X""))"),13.0)</f>
        <v>13</v>
      </c>
      <c r="M591" s="8"/>
      <c r="N591" s="8"/>
      <c r="O591" s="8"/>
      <c r="P591" s="8"/>
      <c r="Q591" s="8"/>
      <c r="R591" s="8"/>
      <c r="S591" s="8"/>
      <c r="T591" s="8"/>
      <c r="U591" s="8"/>
    </row>
    <row r="592">
      <c r="A592" s="10" t="s">
        <v>1898</v>
      </c>
      <c r="B592" s="10" t="s">
        <v>1899</v>
      </c>
      <c r="C592" s="12" t="s">
        <v>1993</v>
      </c>
      <c r="D592" s="13" t="s">
        <v>1994</v>
      </c>
      <c r="E592" s="16">
        <f t="array" ref="E592">XLOOKUP(C592,'DATA TK PANEN'!D:D,'DATA TK PANEN'!H:H)</f>
        <v>1761.66</v>
      </c>
      <c r="F592" s="10">
        <f>IFERROR(__xludf.DUMMYFUNCTION("XLOOKUP(C592,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(AUTO)'!S6:S""))"),106.0)</f>
        <v>106</v>
      </c>
      <c r="G592" s="10">
        <f>IFERROR(__xludf.DUMMYFUNCTION("XLOOKUP($C592,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(AUTO)'!T6:T""))"),57.0)</f>
        <v>57</v>
      </c>
      <c r="H592" s="10">
        <f>IFERROR(__xludf.DUMMYFUNCTION("XLOOKUP($C592,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(AUTO)'!V6:V""))"),54.0)</f>
        <v>54</v>
      </c>
      <c r="I592" s="18"/>
      <c r="J592" s="18"/>
      <c r="K592" s="10">
        <f>IFERROR(__xludf.DUMMYFUNCTION("XLOOKUP($C592,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(AUTO)'!W6:W""))"),18.0)</f>
        <v>18</v>
      </c>
      <c r="L592" s="10">
        <f>IFERROR(__xludf.DUMMYFUNCTION("XLOOKUP($C592,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(AUTO)'!X6:X""))"),34.0)</f>
        <v>34</v>
      </c>
      <c r="M592" s="8"/>
      <c r="N592" s="8"/>
      <c r="O592" s="8"/>
      <c r="P592" s="8"/>
      <c r="Q592" s="8"/>
      <c r="R592" s="8"/>
      <c r="S592" s="8"/>
      <c r="T592" s="8"/>
      <c r="U592" s="8"/>
    </row>
    <row r="593">
      <c r="A593" s="10" t="s">
        <v>1898</v>
      </c>
      <c r="B593" s="10" t="s">
        <v>1899</v>
      </c>
      <c r="C593" s="12" t="s">
        <v>1995</v>
      </c>
      <c r="D593" s="13" t="s">
        <v>1996</v>
      </c>
      <c r="E593" s="16">
        <f t="array" ref="E593">XLOOKUP(C593,'DATA TK PANEN'!D:D,'DATA TK PANEN'!H:H)</f>
        <v>4.58</v>
      </c>
      <c r="F593" s="10" t="str">
        <f>IFERROR(__xludf.DUMMYFUNCTION("XLOOKUP(C593,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93" s="10" t="str">
        <f>IFERROR(__xludf.DUMMYFUNCTION("XLOOKUP($C593,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93" s="10" t="str">
        <f>IFERROR(__xludf.DUMMYFUNCTION("XLOOKUP($C593,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93" s="18"/>
      <c r="J593" s="18"/>
      <c r="K593" s="10" t="str">
        <f>IFERROR(__xludf.DUMMYFUNCTION("XLOOKUP($C593,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93" s="10" t="str">
        <f>IFERROR(__xludf.DUMMYFUNCTION("XLOOKUP($C593,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3" s="8"/>
      <c r="N593" s="8"/>
      <c r="O593" s="8"/>
      <c r="P593" s="8"/>
      <c r="Q593" s="8"/>
      <c r="R593" s="8"/>
      <c r="S593" s="8"/>
      <c r="T593" s="8"/>
      <c r="U593" s="8"/>
    </row>
    <row r="594">
      <c r="A594" s="10" t="s">
        <v>1898</v>
      </c>
      <c r="B594" s="10" t="s">
        <v>1899</v>
      </c>
      <c r="C594" s="12" t="s">
        <v>1997</v>
      </c>
      <c r="D594" s="13" t="s">
        <v>1998</v>
      </c>
      <c r="E594" s="16">
        <f t="array" ref="E594">XLOOKUP(C594,'DATA TK PANEN'!D:D,'DATA TK PANEN'!H:H)</f>
        <v>925.05</v>
      </c>
      <c r="F594" s="10">
        <f>IFERROR(__xludf.DUMMYFUNCTION("XLOOKUP(C594,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(AUTO)'!S6:S""))"),52.0)</f>
        <v>52</v>
      </c>
      <c r="G594" s="10">
        <f>IFERROR(__xludf.DUMMYFUNCTION("XLOOKUP($C594,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(AUTO)'!T6:T""))"),38.0)</f>
        <v>38</v>
      </c>
      <c r="H594" s="10">
        <f>IFERROR(__xludf.DUMMYFUNCTION("XLOOKUP($C594,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(AUTO)'!V6:V""))"),38.0)</f>
        <v>38</v>
      </c>
      <c r="I594" s="18"/>
      <c r="J594" s="18"/>
      <c r="K594" s="10">
        <f>IFERROR(__xludf.DUMMYFUNCTION("XLOOKUP($C594,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594" s="10">
        <f>IFERROR(__xludf.DUMMYFUNCTION("XLOOKUP($C594,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594" s="8"/>
      <c r="N594" s="8"/>
      <c r="O594" s="8"/>
      <c r="P594" s="8"/>
      <c r="Q594" s="8"/>
      <c r="R594" s="8"/>
      <c r="S594" s="8"/>
      <c r="T594" s="8"/>
      <c r="U594" s="8"/>
    </row>
    <row r="595">
      <c r="A595" s="10" t="s">
        <v>1898</v>
      </c>
      <c r="B595" s="10" t="s">
        <v>1899</v>
      </c>
      <c r="C595" s="12" t="s">
        <v>1999</v>
      </c>
      <c r="D595" s="13" t="s">
        <v>2000</v>
      </c>
      <c r="E595" s="16">
        <f t="array" ref="E595">XLOOKUP(C595,'DATA TK PANEN'!D:D,'DATA TK PANEN'!H:H)</f>
        <v>0</v>
      </c>
      <c r="F595" s="10" t="str">
        <f>IFERROR(__xludf.DUMMYFUNCTION("XLOOKUP(C595,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95" s="10" t="str">
        <f>IFERROR(__xludf.DUMMYFUNCTION("XLOOKUP($C595,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95" s="10" t="str">
        <f>IFERROR(__xludf.DUMMYFUNCTION("XLOOKUP($C595,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95" s="18"/>
      <c r="J595" s="18"/>
      <c r="K595" s="10" t="str">
        <f>IFERROR(__xludf.DUMMYFUNCTION("XLOOKUP($C595,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595" s="10" t="str">
        <f>IFERROR(__xludf.DUMMYFUNCTION("XLOOKUP($C595,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5" s="8"/>
      <c r="N595" s="8"/>
      <c r="O595" s="8"/>
      <c r="P595" s="8"/>
      <c r="Q595" s="8"/>
      <c r="R595" s="8"/>
      <c r="S595" s="8"/>
      <c r="T595" s="8"/>
      <c r="U595" s="8"/>
    </row>
    <row r="596">
      <c r="A596" s="10" t="s">
        <v>1898</v>
      </c>
      <c r="B596" s="10" t="s">
        <v>1899</v>
      </c>
      <c r="C596" s="12" t="s">
        <v>2001</v>
      </c>
      <c r="D596" s="13" t="s">
        <v>2002</v>
      </c>
      <c r="E596" s="16">
        <f t="array" ref="E596">XLOOKUP(C596,'DATA TK PANEN'!D:D,'DATA TK PANEN'!H:H)</f>
        <v>1601.88</v>
      </c>
      <c r="F596" s="10">
        <f>IFERROR(__xludf.DUMMYFUNCTION("XLOOKUP(C596,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(AUTO)'!S6:S""))"),92.0)</f>
        <v>92</v>
      </c>
      <c r="G596" s="10">
        <f>IFERROR(__xludf.DUMMYFUNCTION("XLOOKUP($C596,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(AUTO)'!T6:T""))"),47.0)</f>
        <v>47</v>
      </c>
      <c r="H596" s="10">
        <f>IFERROR(__xludf.DUMMYFUNCTION("XLOOKUP($C596,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(AUTO)'!V6:V""))"),72.0)</f>
        <v>72</v>
      </c>
      <c r="I596" s="18"/>
      <c r="J596" s="18"/>
      <c r="K596" s="10">
        <f>IFERROR(__xludf.DUMMYFUNCTION("XLOOKUP($C596,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596" s="10">
        <f>IFERROR(__xludf.DUMMYFUNCTION("XLOOKUP($C596,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(AUTO)'!X6:X""))"),5.0)</f>
        <v>5</v>
      </c>
      <c r="M596" s="8"/>
      <c r="N596" s="8"/>
      <c r="O596" s="8"/>
      <c r="P596" s="8"/>
      <c r="Q596" s="8"/>
      <c r="R596" s="8"/>
      <c r="S596" s="8"/>
      <c r="T596" s="8"/>
      <c r="U596" s="8"/>
    </row>
    <row r="597">
      <c r="A597" s="10" t="s">
        <v>1898</v>
      </c>
      <c r="B597" s="10" t="s">
        <v>1899</v>
      </c>
      <c r="C597" s="12" t="s">
        <v>2003</v>
      </c>
      <c r="D597" s="13" t="s">
        <v>2004</v>
      </c>
      <c r="E597" s="16">
        <f t="array" ref="E597">XLOOKUP(C597,'DATA TK PANEN'!D:D,'DATA TK PANEN'!H:H)</f>
        <v>1623.3</v>
      </c>
      <c r="F597" s="10" t="str">
        <f>IFERROR(__xludf.DUMMYFUNCTION("XLOOKUP(C597,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597" s="10" t="str">
        <f>IFERROR(__xludf.DUMMYFUNCTION("XLOOKUP($C597,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597" s="10" t="str">
        <f>IFERROR(__xludf.DUMMYFUNCTION("XLOOKUP($C597,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597" s="18"/>
      <c r="J597" s="18"/>
      <c r="K597" s="10">
        <f>IFERROR(__xludf.DUMMYFUNCTION("XLOOKUP($C597,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(AUTO)'!W6:W""))"),18.0)</f>
        <v>18</v>
      </c>
      <c r="L597" s="10" t="str">
        <f>IFERROR(__xludf.DUMMYFUNCTION("XLOOKUP($C597,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7" s="8"/>
      <c r="N597" s="8"/>
      <c r="O597" s="8"/>
      <c r="P597" s="8"/>
      <c r="Q597" s="8"/>
      <c r="R597" s="8"/>
      <c r="S597" s="8"/>
      <c r="T597" s="8"/>
      <c r="U597" s="8"/>
    </row>
    <row r="598">
      <c r="A598" s="10" t="s">
        <v>1898</v>
      </c>
      <c r="B598" s="10" t="s">
        <v>1899</v>
      </c>
      <c r="C598" s="12" t="s">
        <v>2005</v>
      </c>
      <c r="D598" s="13" t="s">
        <v>2006</v>
      </c>
      <c r="E598" s="16">
        <f t="array" ref="E598">XLOOKUP(C598,'DATA TK PANEN'!D:D,'DATA TK PANEN'!H:H)</f>
        <v>1321</v>
      </c>
      <c r="F598" s="10">
        <f>IFERROR(__xludf.DUMMYFUNCTION("XLOOKUP(C598,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(AUTO)'!S6:S""))"),34.0)</f>
        <v>34</v>
      </c>
      <c r="G598" s="10">
        <f>IFERROR(__xludf.DUMMYFUNCTION("XLOOKUP($C598,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(AUTO)'!T6:T""))"),32.0)</f>
        <v>32</v>
      </c>
      <c r="H598" s="10">
        <f>IFERROR(__xludf.DUMMYFUNCTION("XLOOKUP($C598,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(AUTO)'!V6:V""))"),32.0)</f>
        <v>32</v>
      </c>
      <c r="I598" s="18"/>
      <c r="J598" s="18"/>
      <c r="K598" s="10">
        <f>IFERROR(__xludf.DUMMYFUNCTION("XLOOKUP($C598,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(AUTO)'!W6:W""))"),2.0)</f>
        <v>2</v>
      </c>
      <c r="L598" s="10" t="str">
        <f>IFERROR(__xludf.DUMMYFUNCTION("XLOOKUP($C598,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8" s="8"/>
      <c r="N598" s="8"/>
      <c r="O598" s="8"/>
      <c r="P598" s="8"/>
      <c r="Q598" s="8"/>
      <c r="R598" s="8"/>
      <c r="S598" s="8"/>
      <c r="T598" s="8"/>
      <c r="U598" s="8"/>
    </row>
    <row r="599">
      <c r="A599" s="10" t="s">
        <v>1898</v>
      </c>
      <c r="B599" s="10" t="s">
        <v>1899</v>
      </c>
      <c r="C599" s="12" t="s">
        <v>2007</v>
      </c>
      <c r="D599" s="13" t="s">
        <v>2008</v>
      </c>
      <c r="E599" s="16">
        <f t="array" ref="E599">XLOOKUP(C599,'DATA TK PANEN'!D:D,'DATA TK PANEN'!H:H)</f>
        <v>1318</v>
      </c>
      <c r="F599" s="10">
        <f>IFERROR(__xludf.DUMMYFUNCTION("XLOOKUP(C599,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(AUTO)'!S6:S""))"),78.0)</f>
        <v>78</v>
      </c>
      <c r="G599" s="10">
        <f>IFERROR(__xludf.DUMMYFUNCTION("XLOOKUP($C599,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(AUTO)'!T6:T""))"),74.0)</f>
        <v>74</v>
      </c>
      <c r="H599" s="10">
        <f>IFERROR(__xludf.DUMMYFUNCTION("XLOOKUP($C599,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(AUTO)'!V6:V""))"),74.0)</f>
        <v>74</v>
      </c>
      <c r="I599" s="18"/>
      <c r="J599" s="18"/>
      <c r="K599" s="10">
        <f>IFERROR(__xludf.DUMMYFUNCTION("XLOOKUP($C599,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599" s="10" t="str">
        <f>IFERROR(__xludf.DUMMYFUNCTION("XLOOKUP($C599,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599" s="8"/>
      <c r="N599" s="8"/>
      <c r="O599" s="8"/>
      <c r="P599" s="8"/>
      <c r="Q599" s="8"/>
      <c r="R599" s="8"/>
      <c r="S599" s="8"/>
      <c r="T599" s="8"/>
      <c r="U599" s="8"/>
    </row>
    <row r="600">
      <c r="A600" s="10" t="s">
        <v>1898</v>
      </c>
      <c r="B600" s="10" t="s">
        <v>1899</v>
      </c>
      <c r="C600" s="12" t="s">
        <v>2009</v>
      </c>
      <c r="D600" s="13" t="s">
        <v>2010</v>
      </c>
      <c r="E600" s="16">
        <f t="array" ref="E600">XLOOKUP(C600,'DATA TK PANEN'!D:D,'DATA TK PANEN'!H:H)</f>
        <v>0</v>
      </c>
      <c r="F600" s="10" t="str">
        <f>IFERROR(__xludf.DUMMYFUNCTION("XLOOKUP(C600,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0" s="10" t="str">
        <f>IFERROR(__xludf.DUMMYFUNCTION("XLOOKUP($C600,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0" s="10" t="str">
        <f>IFERROR(__xludf.DUMMYFUNCTION("XLOOKUP($C600,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0" s="18"/>
      <c r="J600" s="18"/>
      <c r="K600" s="10" t="str">
        <f>IFERROR(__xludf.DUMMYFUNCTION("XLOOKUP($C600,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0" s="10" t="str">
        <f>IFERROR(__xludf.DUMMYFUNCTION("XLOOKUP($C600,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0" s="8"/>
      <c r="N600" s="8"/>
      <c r="O600" s="8"/>
      <c r="P600" s="8"/>
      <c r="Q600" s="8"/>
      <c r="R600" s="8"/>
      <c r="S600" s="8"/>
      <c r="T600" s="8"/>
      <c r="U600" s="8"/>
    </row>
    <row r="601">
      <c r="A601" s="10" t="s">
        <v>1898</v>
      </c>
      <c r="B601" s="10" t="s">
        <v>1899</v>
      </c>
      <c r="C601" s="12" t="s">
        <v>2011</v>
      </c>
      <c r="D601" s="13" t="s">
        <v>2012</v>
      </c>
      <c r="E601" s="16">
        <f t="array" ref="E601">XLOOKUP(C601,'DATA TK PANEN'!D:D,'DATA TK PANEN'!H:H)</f>
        <v>94.64</v>
      </c>
      <c r="F601" s="10" t="str">
        <f>IFERROR(__xludf.DUMMYFUNCTION("XLOOKUP(C601,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1" s="10" t="str">
        <f>IFERROR(__xludf.DUMMYFUNCTION("XLOOKUP($C601,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1" s="10" t="str">
        <f>IFERROR(__xludf.DUMMYFUNCTION("XLOOKUP($C601,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1" s="18"/>
      <c r="J601" s="18"/>
      <c r="K601" s="10" t="str">
        <f>IFERROR(__xludf.DUMMYFUNCTION("XLOOKUP($C601,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1" s="10" t="str">
        <f>IFERROR(__xludf.DUMMYFUNCTION("XLOOKUP($C601,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1" s="8"/>
      <c r="N601" s="8"/>
      <c r="O601" s="8"/>
      <c r="P601" s="8"/>
      <c r="Q601" s="8"/>
      <c r="R601" s="8"/>
      <c r="S601" s="8"/>
      <c r="T601" s="8"/>
      <c r="U601" s="8"/>
    </row>
    <row r="602">
      <c r="A602" s="10" t="s">
        <v>1898</v>
      </c>
      <c r="B602" s="10" t="s">
        <v>1899</v>
      </c>
      <c r="C602" s="12" t="s">
        <v>2013</v>
      </c>
      <c r="D602" s="13" t="s">
        <v>2014</v>
      </c>
      <c r="E602" s="16">
        <f t="array" ref="E602">XLOOKUP(C602,'DATA TK PANEN'!D:D,'DATA TK PANEN'!H:H)</f>
        <v>121</v>
      </c>
      <c r="F602" s="10">
        <f>IFERROR(__xludf.DUMMYFUNCTION("XLOOKUP(C602,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(AUTO)'!S6:S""))"),7.0)</f>
        <v>7</v>
      </c>
      <c r="G602" s="10">
        <f>IFERROR(__xludf.DUMMYFUNCTION("XLOOKUP($C602,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(AUTO)'!T6:T""))"),8.0)</f>
        <v>8</v>
      </c>
      <c r="H602" s="10">
        <f>IFERROR(__xludf.DUMMYFUNCTION("XLOOKUP($C602,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602" s="18"/>
      <c r="J602" s="18"/>
      <c r="K602" s="10" t="str">
        <f>IFERROR(__xludf.DUMMYFUNCTION("XLOOKUP($C602,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2" s="10" t="str">
        <f>IFERROR(__xludf.DUMMYFUNCTION("XLOOKUP($C602,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2" s="8"/>
      <c r="N602" s="8"/>
      <c r="O602" s="8"/>
      <c r="P602" s="8"/>
      <c r="Q602" s="8"/>
      <c r="R602" s="8"/>
      <c r="S602" s="8"/>
      <c r="T602" s="8"/>
      <c r="U602" s="8"/>
    </row>
    <row r="603">
      <c r="A603" s="10" t="s">
        <v>1898</v>
      </c>
      <c r="B603" s="10" t="s">
        <v>1899</v>
      </c>
      <c r="C603" s="12" t="s">
        <v>2015</v>
      </c>
      <c r="D603" s="13" t="s">
        <v>2016</v>
      </c>
      <c r="E603" s="16">
        <f t="array" ref="E603">XLOOKUP(C603,'DATA TK PANEN'!D:D,'DATA TK PANEN'!H:H)</f>
        <v>857.31</v>
      </c>
      <c r="F603" s="10" t="str">
        <f>IFERROR(__xludf.DUMMYFUNCTION("XLOOKUP(C603,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603" s="10" t="str">
        <f>IFERROR(__xludf.DUMMYFUNCTION("XLOOKUP($C603,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603" s="10" t="str">
        <f>IFERROR(__xludf.DUMMYFUNCTION("XLOOKUP($C603,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3" s="18"/>
      <c r="J603" s="18"/>
      <c r="K603" s="10" t="str">
        <f>IFERROR(__xludf.DUMMYFUNCTION("XLOOKUP($C603,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3" s="10">
        <f>IFERROR(__xludf.DUMMYFUNCTION("XLOOKUP($C603,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(AUTO)'!X6:X""))"),-2.0)</f>
        <v>-2</v>
      </c>
      <c r="M603" s="8"/>
      <c r="N603" s="8"/>
      <c r="O603" s="8"/>
      <c r="P603" s="8"/>
      <c r="Q603" s="8"/>
      <c r="R603" s="8"/>
      <c r="S603" s="8"/>
      <c r="T603" s="8"/>
      <c r="U603" s="8"/>
    </row>
    <row r="604">
      <c r="A604" s="10" t="s">
        <v>1898</v>
      </c>
      <c r="B604" s="10" t="s">
        <v>1899</v>
      </c>
      <c r="C604" s="12" t="s">
        <v>2017</v>
      </c>
      <c r="D604" s="13" t="s">
        <v>2018</v>
      </c>
      <c r="E604" s="16">
        <f t="array" ref="E604">XLOOKUP(C604,'DATA TK PANEN'!D:D,'DATA TK PANEN'!H:H)</f>
        <v>1463.81</v>
      </c>
      <c r="F604" s="10" t="str">
        <f>IFERROR(__xludf.DUMMYFUNCTION("XLOOKUP(C604,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4" s="10" t="str">
        <f>IFERROR(__xludf.DUMMYFUNCTION("XLOOKUP($C604,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4" s="10" t="str">
        <f>IFERROR(__xludf.DUMMYFUNCTION("XLOOKUP($C604,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4" s="18"/>
      <c r="J604" s="18"/>
      <c r="K604" s="10" t="str">
        <f>IFERROR(__xludf.DUMMYFUNCTION("XLOOKUP($C604,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4" s="10" t="str">
        <f>IFERROR(__xludf.DUMMYFUNCTION("XLOOKUP($C604,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4" s="8"/>
      <c r="N604" s="8"/>
      <c r="O604" s="8"/>
      <c r="P604" s="8"/>
      <c r="Q604" s="8"/>
      <c r="R604" s="8"/>
      <c r="S604" s="8"/>
      <c r="T604" s="8"/>
      <c r="U604" s="8"/>
    </row>
    <row r="605">
      <c r="A605" s="10" t="s">
        <v>1898</v>
      </c>
      <c r="B605" s="10" t="s">
        <v>1899</v>
      </c>
      <c r="C605" s="12" t="s">
        <v>2019</v>
      </c>
      <c r="D605" s="13" t="s">
        <v>2020</v>
      </c>
      <c r="E605" s="16">
        <f t="array" ref="E605">XLOOKUP(C605,'DATA TK PANEN'!D:D,'DATA TK PANEN'!H:H)</f>
        <v>0</v>
      </c>
      <c r="F605" s="10" t="str">
        <f>IFERROR(__xludf.DUMMYFUNCTION("XLOOKUP(C605,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5" s="10" t="str">
        <f>IFERROR(__xludf.DUMMYFUNCTION("XLOOKUP($C605,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5" s="10" t="str">
        <f>IFERROR(__xludf.DUMMYFUNCTION("XLOOKUP($C605,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5" s="18"/>
      <c r="J605" s="18"/>
      <c r="K605" s="10" t="str">
        <f>IFERROR(__xludf.DUMMYFUNCTION("XLOOKUP($C605,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5" s="10" t="str">
        <f>IFERROR(__xludf.DUMMYFUNCTION("XLOOKUP($C605,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5" s="8"/>
      <c r="N605" s="8"/>
      <c r="O605" s="8"/>
      <c r="P605" s="8"/>
      <c r="Q605" s="8"/>
      <c r="R605" s="8"/>
      <c r="S605" s="8"/>
      <c r="T605" s="8"/>
      <c r="U605" s="8"/>
    </row>
    <row r="606">
      <c r="A606" s="10" t="s">
        <v>1898</v>
      </c>
      <c r="B606" s="10" t="s">
        <v>1899</v>
      </c>
      <c r="C606" s="12" t="s">
        <v>2021</v>
      </c>
      <c r="D606" s="13" t="s">
        <v>2022</v>
      </c>
      <c r="E606" s="16">
        <f t="array" ref="E606">XLOOKUP(C606,'DATA TK PANEN'!D:D,'DATA TK PANEN'!H:H)</f>
        <v>193</v>
      </c>
      <c r="F606" s="10">
        <f>IFERROR(__xludf.DUMMYFUNCTION("XLOOKUP(C606,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(AUTO)'!S6:S""))"),16.0)</f>
        <v>16</v>
      </c>
      <c r="G606" s="10">
        <f>IFERROR(__xludf.DUMMYFUNCTION("XLOOKUP($C606,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606" s="10">
        <f>IFERROR(__xludf.DUMMYFUNCTION("XLOOKUP($C606,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(AUTO)'!V6:V""))"),10.0)</f>
        <v>10</v>
      </c>
      <c r="I606" s="18"/>
      <c r="J606" s="18"/>
      <c r="K606" s="10">
        <f>IFERROR(__xludf.DUMMYFUNCTION("XLOOKUP($C606,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(AUTO)'!W6:W""))"),4.0)</f>
        <v>4</v>
      </c>
      <c r="L606" s="10">
        <f>IFERROR(__xludf.DUMMYFUNCTION("XLOOKUP($C606,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606" s="8"/>
      <c r="N606" s="8"/>
      <c r="O606" s="8"/>
      <c r="P606" s="8"/>
      <c r="Q606" s="8"/>
      <c r="R606" s="8"/>
      <c r="S606" s="8"/>
      <c r="T606" s="8"/>
      <c r="U606" s="8"/>
    </row>
    <row r="607">
      <c r="A607" s="10" t="s">
        <v>1898</v>
      </c>
      <c r="B607" s="10" t="s">
        <v>1899</v>
      </c>
      <c r="C607" s="12" t="s">
        <v>2023</v>
      </c>
      <c r="D607" s="13" t="s">
        <v>2024</v>
      </c>
      <c r="E607" s="16">
        <f t="array" ref="E607">XLOOKUP(C607,'DATA TK PANEN'!D:D,'DATA TK PANEN'!H:H)</f>
        <v>170.04</v>
      </c>
      <c r="F607" s="10" t="str">
        <f>IFERROR(__xludf.DUMMYFUNCTION("XLOOKUP(C607,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7" s="10" t="str">
        <f>IFERROR(__xludf.DUMMYFUNCTION("XLOOKUP($C607,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7" s="10" t="str">
        <f>IFERROR(__xludf.DUMMYFUNCTION("XLOOKUP($C607,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7" s="18"/>
      <c r="J607" s="18"/>
      <c r="K607" s="10" t="str">
        <f>IFERROR(__xludf.DUMMYFUNCTION("XLOOKUP($C607,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7" s="10" t="str">
        <f>IFERROR(__xludf.DUMMYFUNCTION("XLOOKUP($C607,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7" s="8"/>
      <c r="N607" s="8"/>
      <c r="O607" s="8"/>
      <c r="P607" s="8"/>
      <c r="Q607" s="8"/>
      <c r="R607" s="8"/>
      <c r="S607" s="8"/>
      <c r="T607" s="8"/>
      <c r="U607" s="8"/>
    </row>
    <row r="608">
      <c r="A608" s="10" t="s">
        <v>1898</v>
      </c>
      <c r="B608" s="10" t="s">
        <v>1899</v>
      </c>
      <c r="C608" s="12" t="s">
        <v>2025</v>
      </c>
      <c r="D608" s="13" t="s">
        <v>2026</v>
      </c>
      <c r="E608" s="16">
        <f t="array" ref="E608">XLOOKUP(C608,'DATA TK PANEN'!D:D,'DATA TK PANEN'!H:H)</f>
        <v>6.46</v>
      </c>
      <c r="F608" s="10" t="str">
        <f>IFERROR(__xludf.DUMMYFUNCTION("XLOOKUP(C608,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08" s="10" t="str">
        <f>IFERROR(__xludf.DUMMYFUNCTION("XLOOKUP($C608,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08" s="10" t="str">
        <f>IFERROR(__xludf.DUMMYFUNCTION("XLOOKUP($C608,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08" s="18"/>
      <c r="J608" s="18"/>
      <c r="K608" s="10" t="str">
        <f>IFERROR(__xludf.DUMMYFUNCTION("XLOOKUP($C608,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08" s="10" t="str">
        <f>IFERROR(__xludf.DUMMYFUNCTION("XLOOKUP($C608,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08" s="8"/>
      <c r="N608" s="8"/>
      <c r="O608" s="8"/>
      <c r="P608" s="8"/>
      <c r="Q608" s="8"/>
      <c r="R608" s="8"/>
      <c r="S608" s="8"/>
      <c r="T608" s="8"/>
      <c r="U608" s="8"/>
    </row>
    <row r="609">
      <c r="A609" s="10" t="s">
        <v>1898</v>
      </c>
      <c r="B609" s="10" t="s">
        <v>1899</v>
      </c>
      <c r="C609" s="12" t="s">
        <v>2027</v>
      </c>
      <c r="D609" s="13" t="s">
        <v>2028</v>
      </c>
      <c r="E609" s="16">
        <f t="array" ref="E609">XLOOKUP(C609,'DATA TK PANEN'!D:D,'DATA TK PANEN'!H:H)</f>
        <v>1633</v>
      </c>
      <c r="F609" s="10">
        <f>IFERROR(__xludf.DUMMYFUNCTION("XLOOKUP(C609,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(AUTO)'!S6:S""))"),98.0)</f>
        <v>98</v>
      </c>
      <c r="G609" s="10">
        <f>IFERROR(__xludf.DUMMYFUNCTION("XLOOKUP($C609,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(AUTO)'!T6:T""))"),59.0)</f>
        <v>59</v>
      </c>
      <c r="H609" s="10">
        <f>IFERROR(__xludf.DUMMYFUNCTION("XLOOKUP($C609,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(AUTO)'!V6:V""))"),67.0)</f>
        <v>67</v>
      </c>
      <c r="I609" s="18"/>
      <c r="J609" s="18"/>
      <c r="K609" s="10">
        <f>IFERROR(__xludf.DUMMYFUNCTION("XLOOKUP($C609,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(AUTO)'!W6:W""))"),20.0)</f>
        <v>20</v>
      </c>
      <c r="L609" s="10">
        <f>IFERROR(__xludf.DUMMYFUNCTION("XLOOKUP($C609,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(AUTO)'!X6:X""))"),11.0)</f>
        <v>11</v>
      </c>
      <c r="M609" s="8"/>
      <c r="N609" s="8"/>
      <c r="O609" s="8"/>
      <c r="P609" s="8"/>
      <c r="Q609" s="8"/>
      <c r="R609" s="8"/>
      <c r="S609" s="8"/>
      <c r="T609" s="8"/>
      <c r="U609" s="8"/>
    </row>
    <row r="610">
      <c r="A610" s="10" t="s">
        <v>1898</v>
      </c>
      <c r="B610" s="10" t="s">
        <v>1899</v>
      </c>
      <c r="C610" s="12" t="s">
        <v>2029</v>
      </c>
      <c r="D610" s="13" t="s">
        <v>2030</v>
      </c>
      <c r="E610" s="16">
        <f t="array" ref="E610">XLOOKUP(C610,'DATA TK PANEN'!D:D,'DATA TK PANEN'!H:H)</f>
        <v>5463.88</v>
      </c>
      <c r="F610" s="10" t="str">
        <f>IFERROR(__xludf.DUMMYFUNCTION("XLOOKUP(C610,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0" s="10" t="str">
        <f>IFERROR(__xludf.DUMMYFUNCTION("XLOOKUP($C610,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0" s="10" t="str">
        <f>IFERROR(__xludf.DUMMYFUNCTION("XLOOKUP($C610,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0" s="18"/>
      <c r="J610" s="18"/>
      <c r="K610" s="10" t="str">
        <f>IFERROR(__xludf.DUMMYFUNCTION("XLOOKUP($C610,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0" s="10" t="str">
        <f>IFERROR(__xludf.DUMMYFUNCTION("XLOOKUP($C610,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0" s="8"/>
      <c r="N610" s="8"/>
      <c r="O610" s="8"/>
      <c r="P610" s="8"/>
      <c r="Q610" s="8"/>
      <c r="R610" s="8"/>
      <c r="S610" s="8"/>
      <c r="T610" s="8"/>
      <c r="U610" s="8"/>
    </row>
    <row r="611">
      <c r="A611" s="10" t="s">
        <v>1898</v>
      </c>
      <c r="B611" s="10" t="s">
        <v>1899</v>
      </c>
      <c r="C611" s="12" t="s">
        <v>2031</v>
      </c>
      <c r="D611" s="13" t="s">
        <v>2032</v>
      </c>
      <c r="E611" s="16">
        <f t="array" ref="E611">XLOOKUP(C611,'DATA TK PANEN'!D:D,'DATA TK PANEN'!H:H)</f>
        <v>213.6</v>
      </c>
      <c r="F611" s="10" t="str">
        <f>IFERROR(__xludf.DUMMYFUNCTION("XLOOKUP(C611,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1" s="10" t="str">
        <f>IFERROR(__xludf.DUMMYFUNCTION("XLOOKUP($C611,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1" s="10" t="str">
        <f>IFERROR(__xludf.DUMMYFUNCTION("XLOOKUP($C611,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1" s="18"/>
      <c r="J611" s="18"/>
      <c r="K611" s="10" t="str">
        <f>IFERROR(__xludf.DUMMYFUNCTION("XLOOKUP($C611,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1" s="10" t="str">
        <f>IFERROR(__xludf.DUMMYFUNCTION("XLOOKUP($C611,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1" s="8"/>
      <c r="N611" s="8"/>
      <c r="O611" s="8"/>
      <c r="P611" s="8"/>
      <c r="Q611" s="8"/>
      <c r="R611" s="8"/>
      <c r="S611" s="8"/>
      <c r="T611" s="8"/>
      <c r="U611" s="8"/>
    </row>
    <row r="612">
      <c r="A612" s="10" t="s">
        <v>1898</v>
      </c>
      <c r="B612" s="10" t="s">
        <v>1899</v>
      </c>
      <c r="C612" s="12" t="s">
        <v>2033</v>
      </c>
      <c r="D612" s="13" t="s">
        <v>2034</v>
      </c>
      <c r="E612" s="16">
        <f t="array" ref="E612">XLOOKUP(C612,'DATA TK PANEN'!D:D,'DATA TK PANEN'!H:H)</f>
        <v>2696.97</v>
      </c>
      <c r="F612" s="10" t="str">
        <f>IFERROR(__xludf.DUMMYFUNCTION("XLOOKUP(C612,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2" s="10" t="str">
        <f>IFERROR(__xludf.DUMMYFUNCTION("XLOOKUP($C612,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2" s="10" t="str">
        <f>IFERROR(__xludf.DUMMYFUNCTION("XLOOKUP($C612,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2" s="18"/>
      <c r="J612" s="18"/>
      <c r="K612" s="10" t="str">
        <f>IFERROR(__xludf.DUMMYFUNCTION("XLOOKUP($C612,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2" s="10" t="str">
        <f>IFERROR(__xludf.DUMMYFUNCTION("XLOOKUP($C612,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2" s="8"/>
      <c r="N612" s="8"/>
      <c r="O612" s="8"/>
      <c r="P612" s="8"/>
      <c r="Q612" s="8"/>
      <c r="R612" s="8"/>
      <c r="S612" s="8"/>
      <c r="T612" s="8"/>
      <c r="U612" s="8"/>
    </row>
    <row r="613">
      <c r="A613" s="10" t="s">
        <v>1898</v>
      </c>
      <c r="B613" s="10" t="s">
        <v>1899</v>
      </c>
      <c r="C613" s="12" t="s">
        <v>2035</v>
      </c>
      <c r="D613" s="13" t="s">
        <v>2036</v>
      </c>
      <c r="E613" s="16">
        <f t="array" ref="E613">XLOOKUP(C613,'DATA TK PANEN'!D:D,'DATA TK PANEN'!H:H)</f>
        <v>37.72</v>
      </c>
      <c r="F613" s="10" t="str">
        <f>IFERROR(__xludf.DUMMYFUNCTION("XLOOKUP(C613,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3" s="10" t="str">
        <f>IFERROR(__xludf.DUMMYFUNCTION("XLOOKUP($C613,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3" s="10" t="str">
        <f>IFERROR(__xludf.DUMMYFUNCTION("XLOOKUP($C613,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3" s="18"/>
      <c r="J613" s="18"/>
      <c r="K613" s="10" t="str">
        <f>IFERROR(__xludf.DUMMYFUNCTION("XLOOKUP($C613,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3" s="10" t="str">
        <f>IFERROR(__xludf.DUMMYFUNCTION("XLOOKUP($C613,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3" s="8"/>
      <c r="N613" s="8"/>
      <c r="O613" s="8"/>
      <c r="P613" s="8"/>
      <c r="Q613" s="8"/>
      <c r="R613" s="8"/>
      <c r="S613" s="8"/>
      <c r="T613" s="8"/>
      <c r="U613" s="8"/>
    </row>
    <row r="614">
      <c r="A614" s="10" t="s">
        <v>1898</v>
      </c>
      <c r="B614" s="10" t="s">
        <v>1899</v>
      </c>
      <c r="C614" s="12" t="s">
        <v>2037</v>
      </c>
      <c r="D614" s="13" t="s">
        <v>2038</v>
      </c>
      <c r="E614" s="16">
        <f t="array" ref="E614">XLOOKUP(C614,'DATA TK PANEN'!D:D,'DATA TK PANEN'!H:H)</f>
        <v>34.9</v>
      </c>
      <c r="F614" s="10" t="str">
        <f>IFERROR(__xludf.DUMMYFUNCTION("XLOOKUP(C614,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4" s="10" t="str">
        <f>IFERROR(__xludf.DUMMYFUNCTION("XLOOKUP($C614,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4" s="10" t="str">
        <f>IFERROR(__xludf.DUMMYFUNCTION("XLOOKUP($C614,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4" s="18"/>
      <c r="J614" s="18"/>
      <c r="K614" s="10" t="str">
        <f>IFERROR(__xludf.DUMMYFUNCTION("XLOOKUP($C614,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4" s="10" t="str">
        <f>IFERROR(__xludf.DUMMYFUNCTION("XLOOKUP($C614,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4" s="8"/>
      <c r="N614" s="8"/>
      <c r="O614" s="8"/>
      <c r="P614" s="8"/>
      <c r="Q614" s="8"/>
      <c r="R614" s="8"/>
      <c r="S614" s="8"/>
      <c r="T614" s="8"/>
      <c r="U614" s="8"/>
    </row>
    <row r="615">
      <c r="A615" s="10" t="s">
        <v>1898</v>
      </c>
      <c r="B615" s="10" t="s">
        <v>1899</v>
      </c>
      <c r="C615" s="12" t="s">
        <v>2039</v>
      </c>
      <c r="D615" s="13" t="s">
        <v>2040</v>
      </c>
      <c r="E615" s="16">
        <f t="array" ref="E615">XLOOKUP(C615,'DATA TK PANEN'!D:D,'DATA TK PANEN'!H:H)</f>
        <v>388.55</v>
      </c>
      <c r="F615" s="10">
        <f>IFERROR(__xludf.DUMMYFUNCTION("XLOOKUP(C615,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(AUTO)'!S6:S""))"),68.0)</f>
        <v>68</v>
      </c>
      <c r="G615" s="10">
        <f>IFERROR(__xludf.DUMMYFUNCTION("XLOOKUP($C615,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(AUTO)'!T6:T""))"),38.0)</f>
        <v>38</v>
      </c>
      <c r="H615" s="10">
        <f>IFERROR(__xludf.DUMMYFUNCTION("XLOOKUP($C615,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(AUTO)'!V6:V""))"),53.0)</f>
        <v>53</v>
      </c>
      <c r="I615" s="18"/>
      <c r="J615" s="18"/>
      <c r="K615" s="10">
        <f>IFERROR(__xludf.DUMMYFUNCTION("XLOOKUP($C615,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(AUTO)'!W6:W""))"),14.0)</f>
        <v>14</v>
      </c>
      <c r="L615" s="10">
        <f>IFERROR(__xludf.DUMMYFUNCTION("XLOOKUP($C615,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(AUTO)'!X6:X""))"),16.0)</f>
        <v>16</v>
      </c>
      <c r="M615" s="8"/>
      <c r="N615" s="8"/>
      <c r="O615" s="8"/>
      <c r="P615" s="8"/>
      <c r="Q615" s="8"/>
      <c r="R615" s="8"/>
      <c r="S615" s="8"/>
      <c r="T615" s="8"/>
      <c r="U615" s="8"/>
    </row>
    <row r="616">
      <c r="A616" s="10" t="s">
        <v>1898</v>
      </c>
      <c r="B616" s="10" t="s">
        <v>1899</v>
      </c>
      <c r="C616" s="12" t="s">
        <v>2041</v>
      </c>
      <c r="D616" s="13" t="s">
        <v>2042</v>
      </c>
      <c r="E616" s="16">
        <f t="array" ref="E616">XLOOKUP(C616,'DATA TK PANEN'!D:D,'DATA TK PANEN'!H:H)</f>
        <v>0</v>
      </c>
      <c r="F616" s="10" t="str">
        <f>IFERROR(__xludf.DUMMYFUNCTION("XLOOKUP(C616,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6" s="10" t="str">
        <f>IFERROR(__xludf.DUMMYFUNCTION("XLOOKUP($C616,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6" s="10" t="str">
        <f>IFERROR(__xludf.DUMMYFUNCTION("XLOOKUP($C616,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6" s="18"/>
      <c r="J616" s="18"/>
      <c r="K616" s="10" t="str">
        <f>IFERROR(__xludf.DUMMYFUNCTION("XLOOKUP($C616,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6" s="10" t="str">
        <f>IFERROR(__xludf.DUMMYFUNCTION("XLOOKUP($C616,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6" s="8"/>
      <c r="N616" s="8"/>
      <c r="O616" s="8"/>
      <c r="P616" s="8"/>
      <c r="Q616" s="8"/>
      <c r="R616" s="8"/>
      <c r="S616" s="8"/>
      <c r="T616" s="8"/>
      <c r="U616" s="8"/>
    </row>
    <row r="617">
      <c r="A617" s="10" t="s">
        <v>1898</v>
      </c>
      <c r="B617" s="10" t="s">
        <v>1899</v>
      </c>
      <c r="C617" s="12" t="s">
        <v>2043</v>
      </c>
      <c r="D617" s="13" t="s">
        <v>2044</v>
      </c>
      <c r="E617" s="16">
        <f t="array" ref="E617">XLOOKUP(C617,'DATA TK PANEN'!D:D,'DATA TK PANEN'!H:H)</f>
        <v>1346.08</v>
      </c>
      <c r="F617" s="10" t="str">
        <f>IFERROR(__xludf.DUMMYFUNCTION("XLOOKUP(C617,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17" s="10" t="str">
        <f>IFERROR(__xludf.DUMMYFUNCTION("XLOOKUP($C617,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17" s="10" t="str">
        <f>IFERROR(__xludf.DUMMYFUNCTION("XLOOKUP($C617,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17" s="18"/>
      <c r="J617" s="18"/>
      <c r="K617" s="10" t="str">
        <f>IFERROR(__xludf.DUMMYFUNCTION("XLOOKUP($C617,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17" s="10" t="str">
        <f>IFERROR(__xludf.DUMMYFUNCTION("XLOOKUP($C617,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7" s="8"/>
      <c r="N617" s="8"/>
      <c r="O617" s="8"/>
      <c r="P617" s="8"/>
      <c r="Q617" s="8"/>
      <c r="R617" s="8"/>
      <c r="S617" s="8"/>
      <c r="T617" s="8"/>
      <c r="U617" s="8"/>
    </row>
    <row r="618">
      <c r="A618" s="10" t="s">
        <v>1898</v>
      </c>
      <c r="B618" s="10" t="s">
        <v>1899</v>
      </c>
      <c r="C618" s="12" t="s">
        <v>2045</v>
      </c>
      <c r="D618" s="13" t="s">
        <v>2046</v>
      </c>
      <c r="E618" s="16">
        <f t="array" ref="E618">XLOOKUP(C618,'DATA TK PANEN'!D:D,'DATA TK PANEN'!H:H)</f>
        <v>1251</v>
      </c>
      <c r="F618" s="10">
        <f>IFERROR(__xludf.DUMMYFUNCTION("XLOOKUP(C618,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(AUTO)'!S6:S""))"),18.0)</f>
        <v>18</v>
      </c>
      <c r="G618" s="10">
        <f>IFERROR(__xludf.DUMMYFUNCTION("XLOOKUP($C618,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(AUTO)'!T6:T""))"),11.0)</f>
        <v>11</v>
      </c>
      <c r="H618" s="10">
        <f>IFERROR(__xludf.DUMMYFUNCTION("XLOOKUP($C618,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618" s="18"/>
      <c r="J618" s="18"/>
      <c r="K618" s="10">
        <f>IFERROR(__xludf.DUMMYFUNCTION("XLOOKUP($C618,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618" s="10" t="str">
        <f>IFERROR(__xludf.DUMMYFUNCTION("XLOOKUP($C618,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18" s="8"/>
      <c r="N618" s="8"/>
      <c r="O618" s="8"/>
      <c r="P618" s="8"/>
      <c r="Q618" s="8"/>
      <c r="R618" s="8"/>
      <c r="S618" s="8"/>
      <c r="T618" s="8"/>
      <c r="U618" s="8"/>
    </row>
    <row r="619">
      <c r="A619" s="10" t="s">
        <v>1898</v>
      </c>
      <c r="B619" s="10" t="s">
        <v>1899</v>
      </c>
      <c r="C619" s="12" t="s">
        <v>2047</v>
      </c>
      <c r="D619" s="13" t="s">
        <v>2048</v>
      </c>
      <c r="E619" s="16">
        <f t="array" ref="E619">XLOOKUP(C619,'DATA TK PANEN'!D:D,'DATA TK PANEN'!H:H)</f>
        <v>46</v>
      </c>
      <c r="F619" s="10">
        <f>IFERROR(__xludf.DUMMYFUNCTION("XLOOKUP(C619,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619" s="10">
        <f>IFERROR(__xludf.DUMMYFUNCTION("XLOOKUP($C619,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619" s="10">
        <f>IFERROR(__xludf.DUMMYFUNCTION("XLOOKUP($C619,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619" s="18"/>
      <c r="J619" s="18"/>
      <c r="K619" s="10">
        <f>IFERROR(__xludf.DUMMYFUNCTION("XLOOKUP($C619,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619" s="10">
        <f>IFERROR(__xludf.DUMMYFUNCTION("XLOOKUP($C619,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619" s="8"/>
      <c r="N619" s="8"/>
      <c r="O619" s="8"/>
      <c r="P619" s="8"/>
      <c r="Q619" s="8"/>
      <c r="R619" s="8"/>
      <c r="S619" s="8"/>
      <c r="T619" s="8"/>
      <c r="U619" s="8"/>
    </row>
    <row r="620">
      <c r="A620" s="10" t="s">
        <v>1898</v>
      </c>
      <c r="B620" s="10" t="s">
        <v>1899</v>
      </c>
      <c r="C620" s="12" t="s">
        <v>2049</v>
      </c>
      <c r="D620" s="13" t="s">
        <v>2050</v>
      </c>
      <c r="E620" s="16">
        <f t="array" ref="E620">XLOOKUP(C620,'DATA TK PANEN'!D:D,'DATA TK PANEN'!H:H)</f>
        <v>2302</v>
      </c>
      <c r="F620" s="10">
        <f>IFERROR(__xludf.DUMMYFUNCTION("XLOOKUP(C620,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(AUTO)'!S6:S""))"),138.0)</f>
        <v>138</v>
      </c>
      <c r="G620" s="10">
        <f>IFERROR(__xludf.DUMMYFUNCTION("XLOOKUP($C620,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(AUTO)'!T6:T""))"),24.0)</f>
        <v>24</v>
      </c>
      <c r="H620" s="10">
        <f>IFERROR(__xludf.DUMMYFUNCTION("XLOOKUP($C620,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(AUTO)'!V6:V""))"),45.0)</f>
        <v>45</v>
      </c>
      <c r="I620" s="18"/>
      <c r="J620" s="18"/>
      <c r="K620" s="10">
        <f>IFERROR(__xludf.DUMMYFUNCTION("XLOOKUP($C620,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(AUTO)'!W6:W""))"),19.0)</f>
        <v>19</v>
      </c>
      <c r="L620" s="10">
        <f>IFERROR(__xludf.DUMMYFUNCTION("XLOOKUP($C620,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(AUTO)'!X6:X""))"),74.0)</f>
        <v>74</v>
      </c>
      <c r="M620" s="8"/>
      <c r="N620" s="8"/>
      <c r="O620" s="8"/>
      <c r="P620" s="8"/>
      <c r="Q620" s="8"/>
      <c r="R620" s="8"/>
      <c r="S620" s="8"/>
      <c r="T620" s="8"/>
      <c r="U620" s="8"/>
    </row>
    <row r="621">
      <c r="A621" s="10" t="s">
        <v>1898</v>
      </c>
      <c r="B621" s="10" t="s">
        <v>1899</v>
      </c>
      <c r="C621" s="12" t="s">
        <v>2051</v>
      </c>
      <c r="D621" s="13" t="s">
        <v>2052</v>
      </c>
      <c r="E621" s="16">
        <f t="array" ref="E621">XLOOKUP(C621,'DATA TK PANEN'!D:D,'DATA TK PANEN'!H:H)</f>
        <v>179</v>
      </c>
      <c r="F621" s="10">
        <f>IFERROR(__xludf.DUMMYFUNCTION("XLOOKUP(C621,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(AUTO)'!S6:S""))"),37.0)</f>
        <v>37</v>
      </c>
      <c r="G621" s="10">
        <f>IFERROR(__xludf.DUMMYFUNCTION("XLOOKUP($C621,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621" s="10">
        <f>IFERROR(__xludf.DUMMYFUNCTION("XLOOKUP($C621,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(AUTO)'!V6:V""))"),19.0)</f>
        <v>19</v>
      </c>
      <c r="I621" s="18"/>
      <c r="J621" s="18"/>
      <c r="K621" s="10">
        <f>IFERROR(__xludf.DUMMYFUNCTION("XLOOKUP($C621,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(AUTO)'!W6:W""))"),13.0)</f>
        <v>13</v>
      </c>
      <c r="L621" s="10">
        <f>IFERROR(__xludf.DUMMYFUNCTION("XLOOKUP($C621,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(AUTO)'!X6:X""))"),14.0)</f>
        <v>14</v>
      </c>
      <c r="M621" s="8"/>
      <c r="N621" s="8"/>
      <c r="O621" s="8"/>
      <c r="P621" s="8"/>
      <c r="Q621" s="8"/>
      <c r="R621" s="8"/>
      <c r="S621" s="8"/>
      <c r="T621" s="8"/>
      <c r="U621" s="8"/>
    </row>
    <row r="622">
      <c r="A622" s="10" t="s">
        <v>1898</v>
      </c>
      <c r="B622" s="10" t="s">
        <v>1899</v>
      </c>
      <c r="C622" s="12" t="s">
        <v>2053</v>
      </c>
      <c r="D622" s="13" t="s">
        <v>2054</v>
      </c>
      <c r="E622" s="16">
        <f t="array" ref="E622">XLOOKUP(C622,'DATA TK PANEN'!D:D,'DATA TK PANEN'!H:H)</f>
        <v>10</v>
      </c>
      <c r="F622" s="10">
        <f>IFERROR(__xludf.DUMMYFUNCTION("XLOOKUP(C622,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(AUTO)'!S6:S""))"),1.0)</f>
        <v>1</v>
      </c>
      <c r="G622" s="10">
        <f>IFERROR(__xludf.DUMMYFUNCTION("XLOOKUP($C622,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(AUTO)'!T6:T""))"),1.0)</f>
        <v>1</v>
      </c>
      <c r="H622" s="10">
        <f>IFERROR(__xludf.DUMMYFUNCTION("XLOOKUP($C622,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(AUTO)'!V6:V""))"),1.0)</f>
        <v>1</v>
      </c>
      <c r="I622" s="18"/>
      <c r="J622" s="18"/>
      <c r="K622" s="10" t="str">
        <f>IFERROR(__xludf.DUMMYFUNCTION("XLOOKUP($C622,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2" s="10" t="str">
        <f>IFERROR(__xludf.DUMMYFUNCTION("XLOOKUP($C622,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22" s="8"/>
      <c r="N622" s="8"/>
      <c r="O622" s="8"/>
      <c r="P622" s="8"/>
      <c r="Q622" s="8"/>
      <c r="R622" s="8"/>
      <c r="S622" s="8"/>
      <c r="T622" s="8"/>
      <c r="U622" s="8"/>
    </row>
    <row r="623">
      <c r="A623" s="10" t="s">
        <v>1898</v>
      </c>
      <c r="B623" s="10" t="s">
        <v>1899</v>
      </c>
      <c r="C623" s="12" t="s">
        <v>2055</v>
      </c>
      <c r="D623" s="13" t="s">
        <v>2056</v>
      </c>
      <c r="E623" s="16">
        <f t="array" ref="E623">XLOOKUP(C623,'DATA TK PANEN'!D:D,'DATA TK PANEN'!H:H)</f>
        <v>3052.28</v>
      </c>
      <c r="F623" s="10" t="str">
        <f>IFERROR(__xludf.DUMMYFUNCTION("XLOOKUP(C623,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623" s="10" t="str">
        <f>IFERROR(__xludf.DUMMYFUNCTION("XLOOKUP($C623,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623" s="10" t="str">
        <f>IFERROR(__xludf.DUMMYFUNCTION("XLOOKUP($C623,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23" s="18"/>
      <c r="J623" s="18"/>
      <c r="K623" s="10" t="str">
        <f>IFERROR(__xludf.DUMMYFUNCTION("XLOOKUP($C623,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3" s="10">
        <f>IFERROR(__xludf.DUMMYFUNCTION("XLOOKUP($C623,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623" s="8"/>
      <c r="N623" s="8"/>
      <c r="O623" s="8"/>
      <c r="P623" s="8"/>
      <c r="Q623" s="8"/>
      <c r="R623" s="8"/>
      <c r="S623" s="8"/>
      <c r="T623" s="8"/>
      <c r="U623" s="8"/>
    </row>
    <row r="624">
      <c r="A624" s="10" t="s">
        <v>1898</v>
      </c>
      <c r="B624" s="10" t="s">
        <v>1899</v>
      </c>
      <c r="C624" s="12" t="s">
        <v>2057</v>
      </c>
      <c r="D624" s="13" t="s">
        <v>2058</v>
      </c>
      <c r="E624" s="16">
        <f t="array" ref="E624">XLOOKUP(C624,'DATA TK PANEN'!D:D,'DATA TK PANEN'!H:H)</f>
        <v>1915.06</v>
      </c>
      <c r="F624" s="10">
        <f>IFERROR(__xludf.DUMMYFUNCTION("XLOOKUP(C624,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(AUTO)'!S6:S""))"),95.0)</f>
        <v>95</v>
      </c>
      <c r="G624" s="10">
        <f>IFERROR(__xludf.DUMMYFUNCTION("XLOOKUP($C624,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(AUTO)'!T6:T""))"),95.0)</f>
        <v>95</v>
      </c>
      <c r="H624" s="10">
        <f>IFERROR(__xludf.DUMMYFUNCTION("XLOOKUP($C624,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(AUTO)'!V6:V""))"),95.0)</f>
        <v>95</v>
      </c>
      <c r="I624" s="18"/>
      <c r="J624" s="18"/>
      <c r="K624" s="10">
        <f>IFERROR(__xludf.DUMMYFUNCTION("XLOOKUP($C624,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624" s="10">
        <f>IFERROR(__xludf.DUMMYFUNCTION("XLOOKUP($C624,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624" s="8"/>
      <c r="N624" s="8"/>
      <c r="O624" s="8"/>
      <c r="P624" s="8"/>
      <c r="Q624" s="8"/>
      <c r="R624" s="8"/>
      <c r="S624" s="8"/>
      <c r="T624" s="8"/>
      <c r="U624" s="8"/>
    </row>
    <row r="625">
      <c r="A625" s="10" t="s">
        <v>1898</v>
      </c>
      <c r="B625" s="10" t="s">
        <v>1899</v>
      </c>
      <c r="C625" s="12" t="s">
        <v>2059</v>
      </c>
      <c r="D625" s="13" t="s">
        <v>2060</v>
      </c>
      <c r="E625" s="16">
        <f t="array" ref="E625">XLOOKUP(C625,'DATA TK PANEN'!D:D,'DATA TK PANEN'!H:H)</f>
        <v>445.57</v>
      </c>
      <c r="F625" s="10" t="str">
        <f>IFERROR(__xludf.DUMMYFUNCTION("XLOOKUP(C625,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25" s="10" t="str">
        <f>IFERROR(__xludf.DUMMYFUNCTION("XLOOKUP($C625,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25" s="10" t="str">
        <f>IFERROR(__xludf.DUMMYFUNCTION("XLOOKUP($C625,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25" s="18"/>
      <c r="J625" s="18"/>
      <c r="K625" s="10" t="str">
        <f>IFERROR(__xludf.DUMMYFUNCTION("XLOOKUP($C625,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5" s="10" t="str">
        <f>IFERROR(__xludf.DUMMYFUNCTION("XLOOKUP($C625,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25" s="8"/>
      <c r="N625" s="8"/>
      <c r="O625" s="8"/>
      <c r="P625" s="8"/>
      <c r="Q625" s="8"/>
      <c r="R625" s="8"/>
      <c r="S625" s="8"/>
      <c r="T625" s="8"/>
      <c r="U625" s="8"/>
    </row>
    <row r="626">
      <c r="A626" s="10" t="s">
        <v>1898</v>
      </c>
      <c r="B626" s="10" t="s">
        <v>1899</v>
      </c>
      <c r="C626" s="12" t="s">
        <v>2061</v>
      </c>
      <c r="D626" s="13" t="s">
        <v>2062</v>
      </c>
      <c r="E626" s="16">
        <f t="array" ref="E626">XLOOKUP(C626,'DATA TK PANEN'!D:D,'DATA TK PANEN'!H:H)</f>
        <v>0</v>
      </c>
      <c r="F626" s="10" t="str">
        <f>IFERROR(__xludf.DUMMYFUNCTION("XLOOKUP(C626,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26" s="10" t="str">
        <f>IFERROR(__xludf.DUMMYFUNCTION("XLOOKUP($C626,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26" s="10" t="str">
        <f>IFERROR(__xludf.DUMMYFUNCTION("XLOOKUP($C626,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26" s="18"/>
      <c r="J626" s="18"/>
      <c r="K626" s="10" t="str">
        <f>IFERROR(__xludf.DUMMYFUNCTION("XLOOKUP($C626,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6" s="10" t="str">
        <f>IFERROR(__xludf.DUMMYFUNCTION("XLOOKUP($C626,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26" s="8"/>
      <c r="N626" s="8"/>
      <c r="O626" s="8"/>
      <c r="P626" s="8"/>
      <c r="Q626" s="8"/>
      <c r="R626" s="8"/>
      <c r="S626" s="8"/>
      <c r="T626" s="8"/>
      <c r="U626" s="8"/>
    </row>
    <row r="627">
      <c r="A627" s="10" t="s">
        <v>1898</v>
      </c>
      <c r="B627" s="10" t="s">
        <v>1899</v>
      </c>
      <c r="C627" s="12" t="s">
        <v>2063</v>
      </c>
      <c r="D627" s="13" t="s">
        <v>2064</v>
      </c>
      <c r="E627" s="16">
        <f t="array" ref="E627">XLOOKUP(C627,'DATA TK PANEN'!D:D,'DATA TK PANEN'!H:H)</f>
        <v>365.52</v>
      </c>
      <c r="F627" s="10" t="str">
        <f>IFERROR(__xludf.DUMMYFUNCTION("XLOOKUP(C627,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27" s="10" t="str">
        <f>IFERROR(__xludf.DUMMYFUNCTION("XLOOKUP($C627,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27" s="10" t="str">
        <f>IFERROR(__xludf.DUMMYFUNCTION("XLOOKUP($C627,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27" s="18"/>
      <c r="J627" s="18"/>
      <c r="K627" s="10" t="str">
        <f>IFERROR(__xludf.DUMMYFUNCTION("XLOOKUP($C627,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7" s="10" t="str">
        <f>IFERROR(__xludf.DUMMYFUNCTION("XLOOKUP($C627,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27" s="8"/>
      <c r="N627" s="8"/>
      <c r="O627" s="8"/>
      <c r="P627" s="8"/>
      <c r="Q627" s="8"/>
      <c r="R627" s="8"/>
      <c r="S627" s="8"/>
      <c r="T627" s="8"/>
      <c r="U627" s="8"/>
    </row>
    <row r="628">
      <c r="A628" s="10" t="s">
        <v>1898</v>
      </c>
      <c r="B628" s="10" t="s">
        <v>1899</v>
      </c>
      <c r="C628" s="12" t="s">
        <v>2065</v>
      </c>
      <c r="D628" s="13" t="s">
        <v>2066</v>
      </c>
      <c r="E628" s="16">
        <f t="array" ref="E628">XLOOKUP(C628,'DATA TK PANEN'!D:D,'DATA TK PANEN'!H:H)</f>
        <v>350</v>
      </c>
      <c r="F628" s="10">
        <f>IFERROR(__xludf.DUMMYFUNCTION("XLOOKUP(C628,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(AUTO)'!S6:S""))"),21.0)</f>
        <v>21</v>
      </c>
      <c r="G628" s="10">
        <f>IFERROR(__xludf.DUMMYFUNCTION("XLOOKUP($C628,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(AUTO)'!T6:T""))"),20.0)</f>
        <v>20</v>
      </c>
      <c r="H628" s="10">
        <f>IFERROR(__xludf.DUMMYFUNCTION("XLOOKUP($C628,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(AUTO)'!V6:V""))"),20.0)</f>
        <v>20</v>
      </c>
      <c r="I628" s="18"/>
      <c r="J628" s="18"/>
      <c r="K628" s="10">
        <f>IFERROR(__xludf.DUMMYFUNCTION("XLOOKUP($C628,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628" s="10">
        <f>IFERROR(__xludf.DUMMYFUNCTION("XLOOKUP($C628,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(AUTO)'!X6:X""))"),2.0)</f>
        <v>2</v>
      </c>
      <c r="M628" s="8"/>
      <c r="N628" s="8"/>
      <c r="O628" s="8"/>
      <c r="P628" s="8"/>
      <c r="Q628" s="8"/>
      <c r="R628" s="8"/>
      <c r="S628" s="8"/>
      <c r="T628" s="8"/>
      <c r="U628" s="8"/>
    </row>
    <row r="629">
      <c r="A629" s="10" t="s">
        <v>1898</v>
      </c>
      <c r="B629" s="10" t="s">
        <v>1899</v>
      </c>
      <c r="C629" s="12" t="s">
        <v>2067</v>
      </c>
      <c r="D629" s="13" t="s">
        <v>2068</v>
      </c>
      <c r="E629" s="16">
        <f t="array" ref="E629">XLOOKUP(C629,'DATA TK PANEN'!D:D,'DATA TK PANEN'!H:H)</f>
        <v>35</v>
      </c>
      <c r="F629" s="10">
        <f>IFERROR(__xludf.DUMMYFUNCTION("XLOOKUP(C629,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629" s="10">
        <f>IFERROR(__xludf.DUMMYFUNCTION("XLOOKUP($C629,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(AUTO)'!T6:T""))"),2.0)</f>
        <v>2</v>
      </c>
      <c r="H629" s="10">
        <f>IFERROR(__xludf.DUMMYFUNCTION("XLOOKUP($C629,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629" s="18"/>
      <c r="J629" s="18"/>
      <c r="K629" s="10" t="str">
        <f>IFERROR(__xludf.DUMMYFUNCTION("XLOOKUP($C629,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29" s="10" t="str">
        <f>IFERROR(__xludf.DUMMYFUNCTION("XLOOKUP($C629,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29" s="8"/>
      <c r="N629" s="8"/>
      <c r="O629" s="8"/>
      <c r="P629" s="8"/>
      <c r="Q629" s="8"/>
      <c r="R629" s="8"/>
      <c r="S629" s="8"/>
      <c r="T629" s="8"/>
      <c r="U629" s="8"/>
    </row>
    <row r="630">
      <c r="A630" s="10" t="s">
        <v>1898</v>
      </c>
      <c r="B630" s="10" t="s">
        <v>1899</v>
      </c>
      <c r="C630" s="12" t="s">
        <v>2069</v>
      </c>
      <c r="D630" s="13" t="s">
        <v>2070</v>
      </c>
      <c r="E630" s="16">
        <f t="array" ref="E630">XLOOKUP(C630,'DATA TK PANEN'!D:D,'DATA TK PANEN'!H:H)</f>
        <v>15.11</v>
      </c>
      <c r="F630" s="10" t="str">
        <f>IFERROR(__xludf.DUMMYFUNCTION("XLOOKUP(C630,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30" s="10" t="str">
        <f>IFERROR(__xludf.DUMMYFUNCTION("XLOOKUP($C630,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0" s="10" t="str">
        <f>IFERROR(__xludf.DUMMYFUNCTION("XLOOKUP($C630,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0" s="18"/>
      <c r="J630" s="18"/>
      <c r="K630" s="10" t="str">
        <f>IFERROR(__xludf.DUMMYFUNCTION("XLOOKUP($C630,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0" s="10" t="str">
        <f>IFERROR(__xludf.DUMMYFUNCTION("XLOOKUP($C630,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0" s="8"/>
      <c r="N630" s="8"/>
      <c r="O630" s="8"/>
      <c r="P630" s="8"/>
      <c r="Q630" s="8"/>
      <c r="R630" s="8"/>
      <c r="S630" s="8"/>
      <c r="T630" s="8"/>
      <c r="U630" s="8"/>
    </row>
    <row r="631">
      <c r="A631" s="10" t="s">
        <v>1898</v>
      </c>
      <c r="B631" s="10" t="s">
        <v>1899</v>
      </c>
      <c r="C631" s="12" t="s">
        <v>2071</v>
      </c>
      <c r="D631" s="13" t="s">
        <v>2072</v>
      </c>
      <c r="E631" s="16">
        <f t="array" ref="E631">XLOOKUP(C631,'DATA TK PANEN'!D:D,'DATA TK PANEN'!H:H)</f>
        <v>338</v>
      </c>
      <c r="F631" s="10">
        <f>IFERROR(__xludf.DUMMYFUNCTION("XLOOKUP(C631,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(AUTO)'!S6:S""))"),20.0)</f>
        <v>20</v>
      </c>
      <c r="G631" s="10">
        <f>IFERROR(__xludf.DUMMYFUNCTION("XLOOKUP($C631,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(AUTO)'!T6:T""))"),18.0)</f>
        <v>18</v>
      </c>
      <c r="H631" s="10">
        <f>IFERROR(__xludf.DUMMYFUNCTION("XLOOKUP($C631,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631" s="18"/>
      <c r="J631" s="18"/>
      <c r="K631" s="10">
        <f>IFERROR(__xludf.DUMMYFUNCTION("XLOOKUP($C631,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631" s="10">
        <f>IFERROR(__xludf.DUMMYFUNCTION("XLOOKUP($C631,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(AUTO)'!X6:X""))"),4.0)</f>
        <v>4</v>
      </c>
      <c r="M631" s="8"/>
      <c r="N631" s="8"/>
      <c r="O631" s="8"/>
      <c r="P631" s="8"/>
      <c r="Q631" s="8"/>
      <c r="R631" s="8"/>
      <c r="S631" s="8"/>
      <c r="T631" s="8"/>
      <c r="U631" s="8"/>
    </row>
    <row r="632">
      <c r="A632" s="10" t="s">
        <v>1898</v>
      </c>
      <c r="B632" s="10" t="s">
        <v>2073</v>
      </c>
      <c r="C632" s="12" t="s">
        <v>1544</v>
      </c>
      <c r="D632" s="13" t="s">
        <v>2074</v>
      </c>
      <c r="E632" s="16">
        <f t="array" ref="E632">XLOOKUP(C632,'DATA TK PANEN'!D:D,'DATA TK PANEN'!H:H)</f>
        <v>22.19</v>
      </c>
      <c r="F632" s="10">
        <f>IFERROR(__xludf.DUMMYFUNCTION("XLOOKUP(C632,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2" s="10" t="str">
        <f>IFERROR(__xludf.DUMMYFUNCTION("XLOOKUP($C632,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2" s="10" t="str">
        <f>IFERROR(__xludf.DUMMYFUNCTION("XLOOKUP($C632,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2" s="18"/>
      <c r="J632" s="18"/>
      <c r="K632" s="10" t="str">
        <f>IFERROR(__xludf.DUMMYFUNCTION("XLOOKUP($C632,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2" s="10" t="str">
        <f>IFERROR(__xludf.DUMMYFUNCTION("XLOOKUP($C632,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2" s="8"/>
      <c r="N632" s="8"/>
      <c r="O632" s="8"/>
      <c r="P632" s="8"/>
      <c r="Q632" s="8"/>
      <c r="R632" s="8"/>
      <c r="S632" s="8"/>
      <c r="T632" s="8"/>
      <c r="U632" s="8"/>
    </row>
    <row r="633">
      <c r="A633" s="10" t="s">
        <v>1898</v>
      </c>
      <c r="B633" s="10" t="s">
        <v>2073</v>
      </c>
      <c r="C633" s="12" t="s">
        <v>1547</v>
      </c>
      <c r="D633" s="13" t="s">
        <v>2075</v>
      </c>
      <c r="E633" s="16">
        <f t="array" ref="E633">XLOOKUP(C633,'DATA TK PANEN'!D:D,'DATA TK PANEN'!H:H)</f>
        <v>54.09</v>
      </c>
      <c r="F633" s="10">
        <f>IFERROR(__xludf.DUMMYFUNCTION("XLOOKUP(C633,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3" s="10" t="str">
        <f>IFERROR(__xludf.DUMMYFUNCTION("XLOOKUP($C633,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3" s="10" t="str">
        <f>IFERROR(__xludf.DUMMYFUNCTION("XLOOKUP($C633,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3" s="18"/>
      <c r="J633" s="18"/>
      <c r="K633" s="10" t="str">
        <f>IFERROR(__xludf.DUMMYFUNCTION("XLOOKUP($C633,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3" s="10" t="str">
        <f>IFERROR(__xludf.DUMMYFUNCTION("XLOOKUP($C633,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3" s="8"/>
      <c r="N633" s="8"/>
      <c r="O633" s="8"/>
      <c r="P633" s="8"/>
      <c r="Q633" s="8"/>
      <c r="R633" s="8"/>
      <c r="S633" s="8"/>
      <c r="T633" s="8"/>
      <c r="U633" s="8"/>
    </row>
    <row r="634">
      <c r="A634" s="10" t="s">
        <v>1898</v>
      </c>
      <c r="B634" s="10" t="s">
        <v>2073</v>
      </c>
      <c r="C634" s="12" t="s">
        <v>2076</v>
      </c>
      <c r="D634" s="13" t="s">
        <v>2077</v>
      </c>
      <c r="E634" s="16" t="str">
        <f t="array" ref="E634">XLOOKUP(C634,'DATA TK PANEN'!D:D,'DATA TK PANEN'!H:H)</f>
        <v>Tidak Ditemukan</v>
      </c>
      <c r="F634" s="10">
        <f>IFERROR(__xludf.DUMMYFUNCTION("XLOOKUP(C634,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4" s="10" t="str">
        <f>IFERROR(__xludf.DUMMYFUNCTION("XLOOKUP($C634,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4" s="10" t="str">
        <f>IFERROR(__xludf.DUMMYFUNCTION("XLOOKUP($C634,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4" s="18"/>
      <c r="J634" s="18"/>
      <c r="K634" s="10" t="str">
        <f>IFERROR(__xludf.DUMMYFUNCTION("XLOOKUP($C634,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4" s="10" t="str">
        <f>IFERROR(__xludf.DUMMYFUNCTION("XLOOKUP($C634,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4" s="8"/>
      <c r="N634" s="8"/>
      <c r="O634" s="8"/>
      <c r="P634" s="8"/>
      <c r="Q634" s="8"/>
      <c r="R634" s="8"/>
      <c r="S634" s="8"/>
      <c r="T634" s="8"/>
      <c r="U634" s="8"/>
    </row>
    <row r="635">
      <c r="A635" s="10" t="s">
        <v>1898</v>
      </c>
      <c r="B635" s="10" t="s">
        <v>2073</v>
      </c>
      <c r="C635" s="12" t="s">
        <v>1599</v>
      </c>
      <c r="D635" s="13" t="s">
        <v>2078</v>
      </c>
      <c r="E635" s="16">
        <f t="array" ref="E635">XLOOKUP(C635,'DATA TK PANEN'!D:D,'DATA TK PANEN'!H:H)</f>
        <v>2370.45</v>
      </c>
      <c r="F635" s="10">
        <f>IFERROR(__xludf.DUMMYFUNCTION("XLOOKUP(C635,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5" s="10" t="str">
        <f>IFERROR(__xludf.DUMMYFUNCTION("XLOOKUP($C635,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5" s="10" t="str">
        <f>IFERROR(__xludf.DUMMYFUNCTION("XLOOKUP($C635,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5" s="18"/>
      <c r="J635" s="18"/>
      <c r="K635" s="10" t="str">
        <f>IFERROR(__xludf.DUMMYFUNCTION("XLOOKUP($C635,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5" s="10" t="str">
        <f>IFERROR(__xludf.DUMMYFUNCTION("XLOOKUP($C635,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5" s="8"/>
      <c r="N635" s="8"/>
      <c r="O635" s="8"/>
      <c r="P635" s="8"/>
      <c r="Q635" s="8"/>
      <c r="R635" s="8"/>
      <c r="S635" s="8"/>
      <c r="T635" s="8"/>
      <c r="U635" s="8"/>
    </row>
    <row r="636">
      <c r="A636" s="10" t="s">
        <v>1898</v>
      </c>
      <c r="B636" s="10" t="s">
        <v>2073</v>
      </c>
      <c r="C636" s="12" t="s">
        <v>1602</v>
      </c>
      <c r="D636" s="13" t="s">
        <v>2079</v>
      </c>
      <c r="E636" s="16">
        <f t="array" ref="E636">XLOOKUP(C636,'DATA TK PANEN'!D:D,'DATA TK PANEN'!H:H)</f>
        <v>594.95</v>
      </c>
      <c r="F636" s="10">
        <f>IFERROR(__xludf.DUMMYFUNCTION("XLOOKUP(C636,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6" s="10" t="str">
        <f>IFERROR(__xludf.DUMMYFUNCTION("XLOOKUP($C636,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6" s="10" t="str">
        <f>IFERROR(__xludf.DUMMYFUNCTION("XLOOKUP($C636,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6" s="18"/>
      <c r="J636" s="18"/>
      <c r="K636" s="10" t="str">
        <f>IFERROR(__xludf.DUMMYFUNCTION("XLOOKUP($C636,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6" s="10" t="str">
        <f>IFERROR(__xludf.DUMMYFUNCTION("XLOOKUP($C636,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6" s="8"/>
      <c r="N636" s="8"/>
      <c r="O636" s="8"/>
      <c r="P636" s="8"/>
      <c r="Q636" s="8"/>
      <c r="R636" s="8"/>
      <c r="S636" s="8"/>
      <c r="T636" s="8"/>
      <c r="U636" s="8"/>
    </row>
    <row r="637">
      <c r="A637" s="10" t="s">
        <v>1898</v>
      </c>
      <c r="B637" s="10" t="s">
        <v>2073</v>
      </c>
      <c r="C637" s="12" t="s">
        <v>2080</v>
      </c>
      <c r="D637" s="13" t="s">
        <v>2081</v>
      </c>
      <c r="E637" s="16">
        <f t="array" ref="E637">XLOOKUP(C637,'DATA TK PANEN'!D:D,'DATA TK PANEN'!H:H)</f>
        <v>324.46</v>
      </c>
      <c r="F637" s="10">
        <f>IFERROR(__xludf.DUMMYFUNCTION("XLOOKUP(C637,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637" s="10">
        <f>IFERROR(__xludf.DUMMYFUNCTION("XLOOKUP($C637,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637" s="10">
        <f>IFERROR(__xludf.DUMMYFUNCTION("XLOOKUP($C637,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637" s="18"/>
      <c r="J637" s="18"/>
      <c r="K637" s="10">
        <f>IFERROR(__xludf.DUMMYFUNCTION("XLOOKUP($C637,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(AUTO)'!W6:W""))"),6.0)</f>
        <v>6</v>
      </c>
      <c r="L637" s="10">
        <f>IFERROR(__xludf.DUMMYFUNCTION("XLOOKUP($C637,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(AUTO)'!X6:X""))"),8.0)</f>
        <v>8</v>
      </c>
      <c r="M637" s="8"/>
      <c r="N637" s="8"/>
      <c r="O637" s="8"/>
      <c r="P637" s="8"/>
      <c r="Q637" s="8"/>
      <c r="R637" s="8"/>
      <c r="S637" s="8"/>
      <c r="T637" s="8"/>
      <c r="U637" s="8"/>
    </row>
    <row r="638">
      <c r="A638" s="10" t="s">
        <v>1898</v>
      </c>
      <c r="B638" s="10" t="s">
        <v>2073</v>
      </c>
      <c r="C638" s="12" t="s">
        <v>1548</v>
      </c>
      <c r="D638" s="13" t="s">
        <v>2082</v>
      </c>
      <c r="E638" s="16">
        <f t="array" ref="E638">XLOOKUP(C638,'DATA TK PANEN'!D:D,'DATA TK PANEN'!H:H)</f>
        <v>10.44</v>
      </c>
      <c r="F638" s="10">
        <f>IFERROR(__xludf.DUMMYFUNCTION("XLOOKUP(C638,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8" s="10" t="str">
        <f>IFERROR(__xludf.DUMMYFUNCTION("XLOOKUP($C638,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8" s="10" t="str">
        <f>IFERROR(__xludf.DUMMYFUNCTION("XLOOKUP($C638,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8" s="18"/>
      <c r="J638" s="18"/>
      <c r="K638" s="10" t="str">
        <f>IFERROR(__xludf.DUMMYFUNCTION("XLOOKUP($C638,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8" s="10" t="str">
        <f>IFERROR(__xludf.DUMMYFUNCTION("XLOOKUP($C638,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8" s="8"/>
      <c r="N638" s="8"/>
      <c r="O638" s="8"/>
      <c r="P638" s="8"/>
      <c r="Q638" s="8"/>
      <c r="R638" s="8"/>
      <c r="S638" s="8"/>
      <c r="T638" s="8"/>
      <c r="U638" s="8"/>
    </row>
    <row r="639">
      <c r="A639" s="10" t="s">
        <v>1898</v>
      </c>
      <c r="B639" s="10" t="s">
        <v>2073</v>
      </c>
      <c r="C639" s="12" t="s">
        <v>1603</v>
      </c>
      <c r="D639" s="13" t="s">
        <v>2083</v>
      </c>
      <c r="E639" s="16">
        <f t="array" ref="E639">XLOOKUP(C639,'DATA TK PANEN'!D:D,'DATA TK PANEN'!H:H)</f>
        <v>286.09</v>
      </c>
      <c r="F639" s="10">
        <f>IFERROR(__xludf.DUMMYFUNCTION("XLOOKUP(C639,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39" s="10" t="str">
        <f>IFERROR(__xludf.DUMMYFUNCTION("XLOOKUP($C639,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39" s="10" t="str">
        <f>IFERROR(__xludf.DUMMYFUNCTION("XLOOKUP($C639,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39" s="18"/>
      <c r="J639" s="18"/>
      <c r="K639" s="10" t="str">
        <f>IFERROR(__xludf.DUMMYFUNCTION("XLOOKUP($C639,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39" s="10" t="str">
        <f>IFERROR(__xludf.DUMMYFUNCTION("XLOOKUP($C639,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39" s="8"/>
      <c r="N639" s="8"/>
      <c r="O639" s="8"/>
      <c r="P639" s="8"/>
      <c r="Q639" s="8"/>
      <c r="R639" s="8"/>
      <c r="S639" s="8"/>
      <c r="T639" s="8"/>
      <c r="U639" s="8"/>
    </row>
    <row r="640">
      <c r="A640" s="10" t="s">
        <v>1898</v>
      </c>
      <c r="B640" s="10" t="s">
        <v>2073</v>
      </c>
      <c r="C640" s="12" t="s">
        <v>1606</v>
      </c>
      <c r="D640" s="13" t="s">
        <v>2084</v>
      </c>
      <c r="E640" s="16">
        <f t="array" ref="E640">XLOOKUP(C640,'DATA TK PANEN'!D:D,'DATA TK PANEN'!H:H)</f>
        <v>257.42</v>
      </c>
      <c r="F640" s="10">
        <f>IFERROR(__xludf.DUMMYFUNCTION("XLOOKUP(C640,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40" s="10" t="str">
        <f>IFERROR(__xludf.DUMMYFUNCTION("XLOOKUP($C640,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0" s="10" t="str">
        <f>IFERROR(__xludf.DUMMYFUNCTION("XLOOKUP($C640,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0" s="18"/>
      <c r="J640" s="18"/>
      <c r="K640" s="10" t="str">
        <f>IFERROR(__xludf.DUMMYFUNCTION("XLOOKUP($C640,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0" s="10" t="str">
        <f>IFERROR(__xludf.DUMMYFUNCTION("XLOOKUP($C640,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0" s="8"/>
      <c r="N640" s="8"/>
      <c r="O640" s="8"/>
      <c r="P640" s="8"/>
      <c r="Q640" s="8"/>
      <c r="R640" s="8"/>
      <c r="S640" s="8"/>
      <c r="T640" s="8"/>
      <c r="U640" s="8"/>
    </row>
    <row r="641">
      <c r="A641" s="10" t="s">
        <v>1898</v>
      </c>
      <c r="B641" s="10" t="s">
        <v>2073</v>
      </c>
      <c r="C641" s="12" t="s">
        <v>1608</v>
      </c>
      <c r="D641" s="13" t="s">
        <v>2085</v>
      </c>
      <c r="E641" s="16">
        <f t="array" ref="E641">XLOOKUP(C641,'DATA TK PANEN'!D:D,'DATA TK PANEN'!H:H)</f>
        <v>709.3</v>
      </c>
      <c r="F641" s="10">
        <f>IFERROR(__xludf.DUMMYFUNCTION("XLOOKUP(C641,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41" s="10" t="str">
        <f>IFERROR(__xludf.DUMMYFUNCTION("XLOOKUP($C641,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1" s="10" t="str">
        <f>IFERROR(__xludf.DUMMYFUNCTION("XLOOKUP($C641,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1" s="18"/>
      <c r="J641" s="18"/>
      <c r="K641" s="10" t="str">
        <f>IFERROR(__xludf.DUMMYFUNCTION("XLOOKUP($C641,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1" s="10" t="str">
        <f>IFERROR(__xludf.DUMMYFUNCTION("XLOOKUP($C641,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1" s="8"/>
      <c r="N641" s="8"/>
      <c r="O641" s="8"/>
      <c r="P641" s="8"/>
      <c r="Q641" s="8"/>
      <c r="R641" s="8"/>
      <c r="S641" s="8"/>
      <c r="T641" s="8"/>
      <c r="U641" s="8"/>
    </row>
    <row r="642">
      <c r="A642" s="10" t="s">
        <v>1898</v>
      </c>
      <c r="B642" s="10" t="s">
        <v>2073</v>
      </c>
      <c r="C642" s="12" t="s">
        <v>2086</v>
      </c>
      <c r="D642" s="13" t="s">
        <v>2087</v>
      </c>
      <c r="E642" s="16">
        <f t="array" ref="E642">XLOOKUP(C642,'DATA TK PANEN'!D:D,'DATA TK PANEN'!H:H)</f>
        <v>0</v>
      </c>
      <c r="F642" s="10" t="str">
        <f>IFERROR(__xludf.DUMMYFUNCTION("XLOOKUP(C642,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42" s="10" t="str">
        <f>IFERROR(__xludf.DUMMYFUNCTION("XLOOKUP($C642,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2" s="10" t="str">
        <f>IFERROR(__xludf.DUMMYFUNCTION("XLOOKUP($C642,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2" s="18"/>
      <c r="J642" s="18"/>
      <c r="K642" s="10" t="str">
        <f>IFERROR(__xludf.DUMMYFUNCTION("XLOOKUP($C642,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2" s="10" t="str">
        <f>IFERROR(__xludf.DUMMYFUNCTION("XLOOKUP($C642,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2" s="8"/>
      <c r="N642" s="8"/>
      <c r="O642" s="8"/>
      <c r="P642" s="8"/>
      <c r="Q642" s="8"/>
      <c r="R642" s="8"/>
      <c r="S642" s="8"/>
      <c r="T642" s="8"/>
      <c r="U642" s="8"/>
    </row>
    <row r="643">
      <c r="A643" s="10" t="s">
        <v>1898</v>
      </c>
      <c r="B643" s="10" t="s">
        <v>2073</v>
      </c>
      <c r="C643" s="12" t="s">
        <v>2088</v>
      </c>
      <c r="D643" s="13" t="s">
        <v>2089</v>
      </c>
      <c r="E643" s="16">
        <f t="array" ref="E643">XLOOKUP(C643,'DATA TK PANEN'!D:D,'DATA TK PANEN'!H:H)</f>
        <v>28</v>
      </c>
      <c r="F643" s="10" t="str">
        <f>IFERROR(__xludf.DUMMYFUNCTION("XLOOKUP(C643,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43" s="10" t="str">
        <f>IFERROR(__xludf.DUMMYFUNCTION("XLOOKUP($C643,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3" s="10" t="str">
        <f>IFERROR(__xludf.DUMMYFUNCTION("XLOOKUP($C643,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3" s="18"/>
      <c r="J643" s="18"/>
      <c r="K643" s="10" t="str">
        <f>IFERROR(__xludf.DUMMYFUNCTION("XLOOKUP($C643,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3" s="10" t="str">
        <f>IFERROR(__xludf.DUMMYFUNCTION("XLOOKUP($C643,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3" s="8"/>
      <c r="N643" s="8"/>
      <c r="O643" s="8"/>
      <c r="P643" s="8"/>
      <c r="Q643" s="8"/>
      <c r="R643" s="8"/>
      <c r="S643" s="8"/>
      <c r="T643" s="8"/>
      <c r="U643" s="8"/>
    </row>
    <row r="644">
      <c r="A644" s="10" t="s">
        <v>1898</v>
      </c>
      <c r="B644" s="10" t="s">
        <v>2073</v>
      </c>
      <c r="C644" s="12" t="s">
        <v>2090</v>
      </c>
      <c r="D644" s="13" t="s">
        <v>2091</v>
      </c>
      <c r="E644" s="16">
        <f t="array" ref="E644">XLOOKUP(C644,'DATA TK PANEN'!D:D,'DATA TK PANEN'!H:H)</f>
        <v>0</v>
      </c>
      <c r="F644" s="10" t="str">
        <f>IFERROR(__xludf.DUMMYFUNCTION("XLOOKUP(C644,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44" s="10" t="str">
        <f>IFERROR(__xludf.DUMMYFUNCTION("XLOOKUP($C644,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4" s="10" t="str">
        <f>IFERROR(__xludf.DUMMYFUNCTION("XLOOKUP($C644,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4" s="18"/>
      <c r="J644" s="18"/>
      <c r="K644" s="10" t="str">
        <f>IFERROR(__xludf.DUMMYFUNCTION("XLOOKUP($C644,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4" s="10" t="str">
        <f>IFERROR(__xludf.DUMMYFUNCTION("XLOOKUP($C644,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4" s="8"/>
      <c r="N644" s="8"/>
      <c r="O644" s="8"/>
      <c r="P644" s="8"/>
      <c r="Q644" s="8"/>
      <c r="R644" s="8"/>
      <c r="S644" s="8"/>
      <c r="T644" s="8"/>
      <c r="U644" s="8"/>
    </row>
    <row r="645">
      <c r="A645" s="10" t="s">
        <v>1898</v>
      </c>
      <c r="B645" s="10" t="s">
        <v>2073</v>
      </c>
      <c r="C645" s="12" t="s">
        <v>2092</v>
      </c>
      <c r="D645" s="13" t="s">
        <v>2093</v>
      </c>
      <c r="E645" s="16">
        <f t="array" ref="E645">XLOOKUP(C645,'DATA TK PANEN'!D:D,'DATA TK PANEN'!H:H)</f>
        <v>0.19</v>
      </c>
      <c r="F645" s="10" t="str">
        <f>IFERROR(__xludf.DUMMYFUNCTION("XLOOKUP(C645,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45" s="10" t="str">
        <f>IFERROR(__xludf.DUMMYFUNCTION("XLOOKUP($C645,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5" s="10" t="str">
        <f>IFERROR(__xludf.DUMMYFUNCTION("XLOOKUP($C645,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5" s="18"/>
      <c r="J645" s="18"/>
      <c r="K645" s="10" t="str">
        <f>IFERROR(__xludf.DUMMYFUNCTION("XLOOKUP($C645,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5" s="10" t="str">
        <f>IFERROR(__xludf.DUMMYFUNCTION("XLOOKUP($C645,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5" s="8"/>
      <c r="N645" s="8"/>
      <c r="O645" s="8"/>
      <c r="P645" s="8"/>
      <c r="Q645" s="8"/>
      <c r="R645" s="8"/>
      <c r="S645" s="8"/>
      <c r="T645" s="8"/>
      <c r="U645" s="8"/>
    </row>
    <row r="646">
      <c r="A646" s="10" t="s">
        <v>1898</v>
      </c>
      <c r="B646" s="10" t="s">
        <v>2073</v>
      </c>
      <c r="C646" s="12" t="s">
        <v>2094</v>
      </c>
      <c r="D646" s="13" t="s">
        <v>2095</v>
      </c>
      <c r="E646" s="16">
        <f t="array" ref="E646">XLOOKUP(C646,'DATA TK PANEN'!D:D,'DATA TK PANEN'!H:H)</f>
        <v>3197.75</v>
      </c>
      <c r="F646" s="10">
        <f>IFERROR(__xludf.DUMMYFUNCTION("XLOOKUP(C646,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(AUTO)'!S6:S""))"),573.0)</f>
        <v>573</v>
      </c>
      <c r="G646" s="10">
        <f>IFERROR(__xludf.DUMMYFUNCTION("XLOOKUP($C646,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(AUTO)'!T6:T""))"),55.0)</f>
        <v>55</v>
      </c>
      <c r="H646" s="10">
        <f>IFERROR(__xludf.DUMMYFUNCTION("XLOOKUP($C646,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(AUTO)'!V6:V""))"),55.0)</f>
        <v>55</v>
      </c>
      <c r="I646" s="18"/>
      <c r="J646" s="18"/>
      <c r="K646" s="10">
        <f>IFERROR(__xludf.DUMMYFUNCTION("XLOOKUP($C646,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(AUTO)'!W6:W""))"),90.0)</f>
        <v>90</v>
      </c>
      <c r="L646" s="10">
        <f>IFERROR(__xludf.DUMMYFUNCTION("XLOOKUP($C646,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(AUTO)'!X6:X""))"),428.0)</f>
        <v>428</v>
      </c>
      <c r="M646" s="8"/>
      <c r="N646" s="8"/>
      <c r="O646" s="8"/>
      <c r="P646" s="8"/>
      <c r="Q646" s="8"/>
      <c r="R646" s="8"/>
      <c r="S646" s="8"/>
      <c r="T646" s="8"/>
      <c r="U646" s="8"/>
    </row>
    <row r="647">
      <c r="A647" s="10" t="s">
        <v>1898</v>
      </c>
      <c r="B647" s="10" t="s">
        <v>2073</v>
      </c>
      <c r="C647" s="12" t="s">
        <v>2096</v>
      </c>
      <c r="D647" s="13" t="s">
        <v>2097</v>
      </c>
      <c r="E647" s="16">
        <f t="array" ref="E647">XLOOKUP(C647,'DATA TK PANEN'!D:D,'DATA TK PANEN'!H:H)</f>
        <v>143.53</v>
      </c>
      <c r="F647" s="10">
        <f>IFERROR(__xludf.DUMMYFUNCTION("XLOOKUP(C647,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47" s="10" t="str">
        <f>IFERROR(__xludf.DUMMYFUNCTION("XLOOKUP($C647,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7" s="10" t="str">
        <f>IFERROR(__xludf.DUMMYFUNCTION("XLOOKUP($C647,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7" s="18"/>
      <c r="J647" s="18"/>
      <c r="K647" s="10" t="str">
        <f>IFERROR(__xludf.DUMMYFUNCTION("XLOOKUP($C647,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7" s="10" t="str">
        <f>IFERROR(__xludf.DUMMYFUNCTION("XLOOKUP($C647,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7" s="8"/>
      <c r="N647" s="8"/>
      <c r="O647" s="8"/>
      <c r="P647" s="8"/>
      <c r="Q647" s="8"/>
      <c r="R647" s="8"/>
      <c r="S647" s="8"/>
      <c r="T647" s="8"/>
      <c r="U647" s="8"/>
    </row>
    <row r="648">
      <c r="A648" s="10" t="s">
        <v>1898</v>
      </c>
      <c r="B648" s="10" t="s">
        <v>2073</v>
      </c>
      <c r="C648" s="12" t="s">
        <v>2098</v>
      </c>
      <c r="D648" s="13" t="s">
        <v>2099</v>
      </c>
      <c r="E648" s="16">
        <f t="array" ref="E648">XLOOKUP(C648,'DATA TK PANEN'!D:D,'DATA TK PANEN'!H:H)</f>
        <v>33.34</v>
      </c>
      <c r="F648" s="10">
        <f>IFERROR(__xludf.DUMMYFUNCTION("XLOOKUP(C648,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48" s="10" t="str">
        <f>IFERROR(__xludf.DUMMYFUNCTION("XLOOKUP($C648,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8" s="10" t="str">
        <f>IFERROR(__xludf.DUMMYFUNCTION("XLOOKUP($C648,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8" s="18"/>
      <c r="J648" s="18"/>
      <c r="K648" s="10" t="str">
        <f>IFERROR(__xludf.DUMMYFUNCTION("XLOOKUP($C648,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8" s="10" t="str">
        <f>IFERROR(__xludf.DUMMYFUNCTION("XLOOKUP($C648,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8" s="8"/>
      <c r="N648" s="8"/>
      <c r="O648" s="8"/>
      <c r="P648" s="8"/>
      <c r="Q648" s="8"/>
      <c r="R648" s="8"/>
      <c r="S648" s="8"/>
      <c r="T648" s="8"/>
      <c r="U648" s="8"/>
    </row>
    <row r="649">
      <c r="A649" s="10" t="s">
        <v>1898</v>
      </c>
      <c r="B649" s="10" t="s">
        <v>2073</v>
      </c>
      <c r="C649" s="12" t="s">
        <v>2100</v>
      </c>
      <c r="D649" s="13" t="s">
        <v>2101</v>
      </c>
      <c r="E649" s="16">
        <f t="array" ref="E649">XLOOKUP(C649,'DATA TK PANEN'!D:D,'DATA TK PANEN'!H:H)</f>
        <v>0</v>
      </c>
      <c r="F649" s="10" t="str">
        <f>IFERROR(__xludf.DUMMYFUNCTION("XLOOKUP(C649,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49" s="10" t="str">
        <f>IFERROR(__xludf.DUMMYFUNCTION("XLOOKUP($C649,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49" s="10" t="str">
        <f>IFERROR(__xludf.DUMMYFUNCTION("XLOOKUP($C649,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49" s="18"/>
      <c r="J649" s="18"/>
      <c r="K649" s="10" t="str">
        <f>IFERROR(__xludf.DUMMYFUNCTION("XLOOKUP($C649,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49" s="10" t="str">
        <f>IFERROR(__xludf.DUMMYFUNCTION("XLOOKUP($C649,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49" s="8"/>
      <c r="N649" s="8"/>
      <c r="O649" s="8"/>
      <c r="P649" s="8"/>
      <c r="Q649" s="8"/>
      <c r="R649" s="8"/>
      <c r="S649" s="8"/>
      <c r="T649" s="8"/>
      <c r="U649" s="8"/>
    </row>
    <row r="650">
      <c r="A650" s="10" t="s">
        <v>1898</v>
      </c>
      <c r="B650" s="10" t="s">
        <v>2073</v>
      </c>
      <c r="C650" s="12" t="s">
        <v>2102</v>
      </c>
      <c r="D650" s="13" t="s">
        <v>2103</v>
      </c>
      <c r="E650" s="16">
        <f t="array" ref="E650">XLOOKUP(C650,'DATA TK PANEN'!D:D,'DATA TK PANEN'!H:H)</f>
        <v>2200</v>
      </c>
      <c r="F650" s="10">
        <f>IFERROR(__xludf.DUMMYFUNCTION("XLOOKUP(C650,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(AUTO)'!S6:S""))"),174.0)</f>
        <v>174</v>
      </c>
      <c r="G650" s="10">
        <f>IFERROR(__xludf.DUMMYFUNCTION("XLOOKUP($C650,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(AUTO)'!T6:T""))"),45.0)</f>
        <v>45</v>
      </c>
      <c r="H650" s="10">
        <f>IFERROR(__xludf.DUMMYFUNCTION("XLOOKUP($C650,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(AUTO)'!V6:V""))"),55.0)</f>
        <v>55</v>
      </c>
      <c r="I650" s="18"/>
      <c r="J650" s="18"/>
      <c r="K650" s="10">
        <f>IFERROR(__xludf.DUMMYFUNCTION("XLOOKUP($C650,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(AUTO)'!W6:W""))"),7.0)</f>
        <v>7</v>
      </c>
      <c r="L650" s="10">
        <f>IFERROR(__xludf.DUMMYFUNCTION("XLOOKUP($C650,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(AUTO)'!X6:X""))"),20.0)</f>
        <v>20</v>
      </c>
      <c r="M650" s="8"/>
      <c r="N650" s="8"/>
      <c r="O650" s="8"/>
      <c r="P650" s="8"/>
      <c r="Q650" s="8"/>
      <c r="R650" s="8"/>
      <c r="S650" s="8"/>
      <c r="T650" s="8"/>
      <c r="U650" s="8"/>
    </row>
    <row r="651">
      <c r="A651" s="10" t="s">
        <v>1898</v>
      </c>
      <c r="B651" s="10" t="s">
        <v>2073</v>
      </c>
      <c r="C651" s="12" t="s">
        <v>2104</v>
      </c>
      <c r="D651" s="13" t="s">
        <v>2105</v>
      </c>
      <c r="E651" s="16">
        <f t="array" ref="E651">XLOOKUP(C651,'DATA TK PANEN'!D:D,'DATA TK PANEN'!H:H)</f>
        <v>0</v>
      </c>
      <c r="F651" s="10" t="str">
        <f>IFERROR(__xludf.DUMMYFUNCTION("XLOOKUP(C651,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1" s="10" t="str">
        <f>IFERROR(__xludf.DUMMYFUNCTION("XLOOKUP($C651,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1" s="10" t="str">
        <f>IFERROR(__xludf.DUMMYFUNCTION("XLOOKUP($C651,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1" s="18"/>
      <c r="J651" s="18"/>
      <c r="K651" s="10" t="str">
        <f>IFERROR(__xludf.DUMMYFUNCTION("XLOOKUP($C651,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1" s="10" t="str">
        <f>IFERROR(__xludf.DUMMYFUNCTION("XLOOKUP($C651,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1" s="8"/>
      <c r="N651" s="8"/>
      <c r="O651" s="8"/>
      <c r="P651" s="8"/>
      <c r="Q651" s="8"/>
      <c r="R651" s="8"/>
      <c r="S651" s="8"/>
      <c r="T651" s="8"/>
      <c r="U651" s="8"/>
    </row>
    <row r="652">
      <c r="A652" s="10" t="s">
        <v>1898</v>
      </c>
      <c r="B652" s="10" t="s">
        <v>2073</v>
      </c>
      <c r="C652" s="12" t="s">
        <v>2106</v>
      </c>
      <c r="D652" s="13" t="s">
        <v>2107</v>
      </c>
      <c r="E652" s="16">
        <f t="array" ref="E652">XLOOKUP(C652,'DATA TK PANEN'!D:D,'DATA TK PANEN'!H:H)</f>
        <v>0</v>
      </c>
      <c r="F652" s="10" t="str">
        <f>IFERROR(__xludf.DUMMYFUNCTION("XLOOKUP(C652,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2" s="10" t="str">
        <f>IFERROR(__xludf.DUMMYFUNCTION("XLOOKUP($C652,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2" s="10" t="str">
        <f>IFERROR(__xludf.DUMMYFUNCTION("XLOOKUP($C652,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2" s="18"/>
      <c r="J652" s="18"/>
      <c r="K652" s="10" t="str">
        <f>IFERROR(__xludf.DUMMYFUNCTION("XLOOKUP($C652,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2" s="10" t="str">
        <f>IFERROR(__xludf.DUMMYFUNCTION("XLOOKUP($C652,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2" s="8"/>
      <c r="N652" s="8"/>
      <c r="O652" s="8"/>
      <c r="P652" s="8"/>
      <c r="Q652" s="8"/>
      <c r="R652" s="8"/>
      <c r="S652" s="8"/>
      <c r="T652" s="8"/>
      <c r="U652" s="8"/>
    </row>
    <row r="653">
      <c r="A653" s="10" t="s">
        <v>1898</v>
      </c>
      <c r="B653" s="10" t="s">
        <v>2073</v>
      </c>
      <c r="C653" s="12" t="s">
        <v>2108</v>
      </c>
      <c r="D653" s="13" t="s">
        <v>2109</v>
      </c>
      <c r="E653" s="16">
        <f t="array" ref="E653">XLOOKUP(C653,'DATA TK PANEN'!D:D,'DATA TK PANEN'!H:H)</f>
        <v>126.61</v>
      </c>
      <c r="F653" s="10">
        <f>IFERROR(__xludf.DUMMYFUNCTION("XLOOKUP(C653,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653" s="10">
        <f>IFERROR(__xludf.DUMMYFUNCTION("XLOOKUP($C653,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653" s="10">
        <f>IFERROR(__xludf.DUMMYFUNCTION("XLOOKUP($C653,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653" s="18"/>
      <c r="J653" s="18"/>
      <c r="K653" s="10">
        <f>IFERROR(__xludf.DUMMYFUNCTION("XLOOKUP($C653,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653" s="10">
        <f>IFERROR(__xludf.DUMMYFUNCTION("XLOOKUP($C653,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653" s="8"/>
      <c r="N653" s="8"/>
      <c r="O653" s="8"/>
      <c r="P653" s="8"/>
      <c r="Q653" s="8"/>
      <c r="R653" s="8"/>
      <c r="S653" s="8"/>
      <c r="T653" s="8"/>
      <c r="U653" s="8"/>
    </row>
    <row r="654">
      <c r="A654" s="10" t="s">
        <v>1898</v>
      </c>
      <c r="B654" s="10" t="s">
        <v>2073</v>
      </c>
      <c r="C654" s="12" t="s">
        <v>2110</v>
      </c>
      <c r="D654" s="13" t="s">
        <v>2111</v>
      </c>
      <c r="E654" s="16">
        <f t="array" ref="E654">XLOOKUP(C654,'DATA TK PANEN'!D:D,'DATA TK PANEN'!H:H)</f>
        <v>0</v>
      </c>
      <c r="F654" s="10" t="str">
        <f>IFERROR(__xludf.DUMMYFUNCTION("XLOOKUP(C654,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4" s="10" t="str">
        <f>IFERROR(__xludf.DUMMYFUNCTION("XLOOKUP($C654,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4" s="10" t="str">
        <f>IFERROR(__xludf.DUMMYFUNCTION("XLOOKUP($C654,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4" s="18"/>
      <c r="J654" s="18"/>
      <c r="K654" s="10" t="str">
        <f>IFERROR(__xludf.DUMMYFUNCTION("XLOOKUP($C654,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4" s="10" t="str">
        <f>IFERROR(__xludf.DUMMYFUNCTION("XLOOKUP($C654,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4" s="8"/>
      <c r="N654" s="8"/>
      <c r="O654" s="8"/>
      <c r="P654" s="8"/>
      <c r="Q654" s="8"/>
      <c r="R654" s="8"/>
      <c r="S654" s="8"/>
      <c r="T654" s="8"/>
      <c r="U654" s="8"/>
    </row>
    <row r="655">
      <c r="A655" s="10" t="s">
        <v>1898</v>
      </c>
      <c r="B655" s="10" t="s">
        <v>2073</v>
      </c>
      <c r="C655" s="12" t="s">
        <v>2112</v>
      </c>
      <c r="D655" s="13" t="s">
        <v>2113</v>
      </c>
      <c r="E655" s="16">
        <f t="array" ref="E655">XLOOKUP(C655,'DATA TK PANEN'!D:D,'DATA TK PANEN'!H:H)</f>
        <v>14.7</v>
      </c>
      <c r="F655" s="10">
        <f>IFERROR(__xludf.DUMMYFUNCTION("XLOOKUP(C655,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655" s="10" t="str">
        <f>IFERROR(__xludf.DUMMYFUNCTION("XLOOKUP($C655,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5" s="10" t="str">
        <f>IFERROR(__xludf.DUMMYFUNCTION("XLOOKUP($C655,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5" s="18"/>
      <c r="J655" s="18"/>
      <c r="K655" s="10" t="str">
        <f>IFERROR(__xludf.DUMMYFUNCTION("XLOOKUP($C655,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5" s="10" t="str">
        <f>IFERROR(__xludf.DUMMYFUNCTION("XLOOKUP($C655,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5" s="8"/>
      <c r="N655" s="8"/>
      <c r="O655" s="8"/>
      <c r="P655" s="8"/>
      <c r="Q655" s="8"/>
      <c r="R655" s="8"/>
      <c r="S655" s="8"/>
      <c r="T655" s="8"/>
      <c r="U655" s="8"/>
    </row>
    <row r="656">
      <c r="A656" s="10" t="s">
        <v>1898</v>
      </c>
      <c r="B656" s="10" t="s">
        <v>2073</v>
      </c>
      <c r="C656" s="12" t="s">
        <v>2114</v>
      </c>
      <c r="D656" s="13" t="s">
        <v>2115</v>
      </c>
      <c r="E656" s="16" t="str">
        <f t="array" ref="E656">XLOOKUP(C656,'DATA TK PANEN'!D:D,'DATA TK PANEN'!H:H)</f>
        <v>Tidak Ditemukan</v>
      </c>
      <c r="F656" s="10" t="str">
        <f>IFERROR(__xludf.DUMMYFUNCTION("XLOOKUP(C656,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6" s="10" t="str">
        <f>IFERROR(__xludf.DUMMYFUNCTION("XLOOKUP($C656,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6" s="10" t="str">
        <f>IFERROR(__xludf.DUMMYFUNCTION("XLOOKUP($C656,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6" s="18"/>
      <c r="J656" s="18"/>
      <c r="K656" s="10" t="str">
        <f>IFERROR(__xludf.DUMMYFUNCTION("XLOOKUP($C656,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6" s="10" t="str">
        <f>IFERROR(__xludf.DUMMYFUNCTION("XLOOKUP($C656,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6" s="8"/>
      <c r="N656" s="8"/>
      <c r="O656" s="8"/>
      <c r="P656" s="8"/>
      <c r="Q656" s="8"/>
      <c r="R656" s="8"/>
      <c r="S656" s="8"/>
      <c r="T656" s="8"/>
      <c r="U656" s="8"/>
    </row>
    <row r="657">
      <c r="A657" s="10" t="s">
        <v>1898</v>
      </c>
      <c r="B657" s="10" t="s">
        <v>2073</v>
      </c>
      <c r="C657" s="12" t="s">
        <v>2116</v>
      </c>
      <c r="D657" s="13" t="s">
        <v>2117</v>
      </c>
      <c r="E657" s="16">
        <f t="array" ref="E657">XLOOKUP(C657,'DATA TK PANEN'!D:D,'DATA TK PANEN'!H:H)</f>
        <v>0</v>
      </c>
      <c r="F657" s="10" t="str">
        <f>IFERROR(__xludf.DUMMYFUNCTION("XLOOKUP(C657,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7" s="10" t="str">
        <f>IFERROR(__xludf.DUMMYFUNCTION("XLOOKUP($C657,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7" s="10" t="str">
        <f>IFERROR(__xludf.DUMMYFUNCTION("XLOOKUP($C657,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7" s="18"/>
      <c r="J657" s="18"/>
      <c r="K657" s="10" t="str">
        <f>IFERROR(__xludf.DUMMYFUNCTION("XLOOKUP($C657,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7" s="10" t="str">
        <f>IFERROR(__xludf.DUMMYFUNCTION("XLOOKUP($C657,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7" s="8"/>
      <c r="N657" s="8"/>
      <c r="O657" s="8"/>
      <c r="P657" s="8"/>
      <c r="Q657" s="8"/>
      <c r="R657" s="8"/>
      <c r="S657" s="8"/>
      <c r="T657" s="8"/>
      <c r="U657" s="8"/>
    </row>
    <row r="658">
      <c r="A658" s="10" t="s">
        <v>1898</v>
      </c>
      <c r="B658" s="10" t="s">
        <v>2073</v>
      </c>
      <c r="C658" s="12" t="s">
        <v>2118</v>
      </c>
      <c r="D658" s="13" t="s">
        <v>2119</v>
      </c>
      <c r="E658" s="16">
        <f t="array" ref="E658">XLOOKUP(C658,'DATA TK PANEN'!D:D,'DATA TK PANEN'!H:H)</f>
        <v>0</v>
      </c>
      <c r="F658" s="10" t="str">
        <f>IFERROR(__xludf.DUMMYFUNCTION("XLOOKUP(C658,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58" s="10" t="str">
        <f>IFERROR(__xludf.DUMMYFUNCTION("XLOOKUP($C658,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8" s="10" t="str">
        <f>IFERROR(__xludf.DUMMYFUNCTION("XLOOKUP($C658,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8" s="18"/>
      <c r="J658" s="18"/>
      <c r="K658" s="10" t="str">
        <f>IFERROR(__xludf.DUMMYFUNCTION("XLOOKUP($C658,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8" s="10" t="str">
        <f>IFERROR(__xludf.DUMMYFUNCTION("XLOOKUP($C658,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8" s="8"/>
      <c r="N658" s="8"/>
      <c r="O658" s="8"/>
      <c r="P658" s="8"/>
      <c r="Q658" s="8"/>
      <c r="R658" s="8"/>
      <c r="S658" s="8"/>
      <c r="T658" s="8"/>
      <c r="U658" s="8"/>
    </row>
    <row r="659">
      <c r="A659" s="10" t="s">
        <v>1898</v>
      </c>
      <c r="B659" s="10" t="s">
        <v>2073</v>
      </c>
      <c r="C659" s="12" t="s">
        <v>2120</v>
      </c>
      <c r="D659" s="13" t="s">
        <v>2121</v>
      </c>
      <c r="E659" s="16">
        <f t="array" ref="E659">XLOOKUP(C659,'DATA TK PANEN'!D:D,'DATA TK PANEN'!H:H)</f>
        <v>23.58</v>
      </c>
      <c r="F659" s="10">
        <f>IFERROR(__xludf.DUMMYFUNCTION("XLOOKUP(C659,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59" s="10" t="str">
        <f>IFERROR(__xludf.DUMMYFUNCTION("XLOOKUP($C659,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59" s="10" t="str">
        <f>IFERROR(__xludf.DUMMYFUNCTION("XLOOKUP($C659,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59" s="18"/>
      <c r="J659" s="18"/>
      <c r="K659" s="10" t="str">
        <f>IFERROR(__xludf.DUMMYFUNCTION("XLOOKUP($C659,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59" s="10" t="str">
        <f>IFERROR(__xludf.DUMMYFUNCTION("XLOOKUP($C659,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59" s="8"/>
      <c r="N659" s="8"/>
      <c r="O659" s="8"/>
      <c r="P659" s="8"/>
      <c r="Q659" s="8"/>
      <c r="R659" s="8"/>
      <c r="S659" s="8"/>
      <c r="T659" s="8"/>
      <c r="U659" s="8"/>
    </row>
    <row r="660">
      <c r="A660" s="10" t="s">
        <v>1898</v>
      </c>
      <c r="B660" s="10" t="s">
        <v>2073</v>
      </c>
      <c r="C660" s="12" t="s">
        <v>2122</v>
      </c>
      <c r="D660" s="13" t="s">
        <v>2123</v>
      </c>
      <c r="E660" s="16" t="str">
        <f t="array" ref="E660">XLOOKUP(C660,'DATA TK PANEN'!D:D,'DATA TK PANEN'!H:H)</f>
        <v>Tidak Ditemukan</v>
      </c>
      <c r="F660" s="10" t="str">
        <f>IFERROR(__xludf.DUMMYFUNCTION("XLOOKUP(C660,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0" s="10" t="str">
        <f>IFERROR(__xludf.DUMMYFUNCTION("XLOOKUP($C660,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0" s="10" t="str">
        <f>IFERROR(__xludf.DUMMYFUNCTION("XLOOKUP($C660,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0" s="18"/>
      <c r="J660" s="18"/>
      <c r="K660" s="10" t="str">
        <f>IFERROR(__xludf.DUMMYFUNCTION("XLOOKUP($C660,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0" s="10" t="str">
        <f>IFERROR(__xludf.DUMMYFUNCTION("XLOOKUP($C660,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0" s="8"/>
      <c r="N660" s="8"/>
      <c r="O660" s="8"/>
      <c r="P660" s="8"/>
      <c r="Q660" s="8"/>
      <c r="R660" s="8"/>
      <c r="S660" s="8"/>
      <c r="T660" s="8"/>
      <c r="U660" s="8"/>
    </row>
    <row r="661">
      <c r="A661" s="10" t="s">
        <v>1898</v>
      </c>
      <c r="B661" s="10" t="s">
        <v>2073</v>
      </c>
      <c r="C661" s="12" t="s">
        <v>2124</v>
      </c>
      <c r="D661" s="13" t="s">
        <v>2125</v>
      </c>
      <c r="E661" s="16" t="str">
        <f t="array" ref="E661">XLOOKUP(C661,'DATA TK PANEN'!D:D,'DATA TK PANEN'!H:H)</f>
        <v>Tidak Ditemukan</v>
      </c>
      <c r="F661" s="10" t="str">
        <f>IFERROR(__xludf.DUMMYFUNCTION("XLOOKUP(C661,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1" s="10" t="str">
        <f>IFERROR(__xludf.DUMMYFUNCTION("XLOOKUP($C661,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1" s="10" t="str">
        <f>IFERROR(__xludf.DUMMYFUNCTION("XLOOKUP($C661,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1" s="18"/>
      <c r="J661" s="18"/>
      <c r="K661" s="10" t="str">
        <f>IFERROR(__xludf.DUMMYFUNCTION("XLOOKUP($C661,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1" s="10" t="str">
        <f>IFERROR(__xludf.DUMMYFUNCTION("XLOOKUP($C661,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1" s="8"/>
      <c r="N661" s="8"/>
      <c r="O661" s="8"/>
      <c r="P661" s="8"/>
      <c r="Q661" s="8"/>
      <c r="R661" s="8"/>
      <c r="S661" s="8"/>
      <c r="T661" s="8"/>
      <c r="U661" s="8"/>
    </row>
    <row r="662">
      <c r="A662" s="10" t="s">
        <v>1898</v>
      </c>
      <c r="B662" s="10" t="s">
        <v>2073</v>
      </c>
      <c r="C662" s="12" t="s">
        <v>2126</v>
      </c>
      <c r="D662" s="13" t="s">
        <v>2127</v>
      </c>
      <c r="E662" s="16">
        <f t="array" ref="E662">XLOOKUP(C662,'DATA TK PANEN'!D:D,'DATA TK PANEN'!H:H)</f>
        <v>4.38</v>
      </c>
      <c r="F662" s="10" t="str">
        <f>IFERROR(__xludf.DUMMYFUNCTION("XLOOKUP(C662,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2" s="10" t="str">
        <f>IFERROR(__xludf.DUMMYFUNCTION("XLOOKUP($C662,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2" s="10" t="str">
        <f>IFERROR(__xludf.DUMMYFUNCTION("XLOOKUP($C662,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2" s="18"/>
      <c r="J662" s="18"/>
      <c r="K662" s="10" t="str">
        <f>IFERROR(__xludf.DUMMYFUNCTION("XLOOKUP($C662,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2" s="10" t="str">
        <f>IFERROR(__xludf.DUMMYFUNCTION("XLOOKUP($C662,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2" s="8"/>
      <c r="N662" s="8"/>
      <c r="O662" s="8"/>
      <c r="P662" s="8"/>
      <c r="Q662" s="8"/>
      <c r="R662" s="8"/>
      <c r="S662" s="8"/>
      <c r="T662" s="8"/>
      <c r="U662" s="8"/>
    </row>
    <row r="663">
      <c r="A663" s="10" t="s">
        <v>1898</v>
      </c>
      <c r="B663" s="10" t="s">
        <v>2073</v>
      </c>
      <c r="C663" s="12" t="s">
        <v>2128</v>
      </c>
      <c r="D663" s="13" t="s">
        <v>2129</v>
      </c>
      <c r="E663" s="16">
        <f t="array" ref="E663">XLOOKUP(C663,'DATA TK PANEN'!D:D,'DATA TK PANEN'!H:H)</f>
        <v>0</v>
      </c>
      <c r="F663" s="10" t="str">
        <f>IFERROR(__xludf.DUMMYFUNCTION("XLOOKUP(C663,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3" s="10" t="str">
        <f>IFERROR(__xludf.DUMMYFUNCTION("XLOOKUP($C663,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3" s="10" t="str">
        <f>IFERROR(__xludf.DUMMYFUNCTION("XLOOKUP($C663,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3" s="18"/>
      <c r="J663" s="18"/>
      <c r="K663" s="10" t="str">
        <f>IFERROR(__xludf.DUMMYFUNCTION("XLOOKUP($C663,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3" s="10" t="str">
        <f>IFERROR(__xludf.DUMMYFUNCTION("XLOOKUP($C663,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3" s="8"/>
      <c r="N663" s="8"/>
      <c r="O663" s="8"/>
      <c r="P663" s="8"/>
      <c r="Q663" s="8"/>
      <c r="R663" s="8"/>
      <c r="S663" s="8"/>
      <c r="T663" s="8"/>
      <c r="U663" s="8"/>
    </row>
    <row r="664">
      <c r="A664" s="10" t="s">
        <v>1898</v>
      </c>
      <c r="B664" s="10" t="s">
        <v>2073</v>
      </c>
      <c r="C664" s="12" t="s">
        <v>2130</v>
      </c>
      <c r="D664" s="13" t="s">
        <v>2131</v>
      </c>
      <c r="E664" s="16">
        <f t="array" ref="E664">XLOOKUP(C664,'DATA TK PANEN'!D:D,'DATA TK PANEN'!H:H)</f>
        <v>0</v>
      </c>
      <c r="F664" s="10" t="str">
        <f>IFERROR(__xludf.DUMMYFUNCTION("XLOOKUP(C664,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4" s="10" t="str">
        <f>IFERROR(__xludf.DUMMYFUNCTION("XLOOKUP($C664,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4" s="10" t="str">
        <f>IFERROR(__xludf.DUMMYFUNCTION("XLOOKUP($C664,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4" s="18"/>
      <c r="J664" s="18"/>
      <c r="K664" s="10" t="str">
        <f>IFERROR(__xludf.DUMMYFUNCTION("XLOOKUP($C664,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4" s="10" t="str">
        <f>IFERROR(__xludf.DUMMYFUNCTION("XLOOKUP($C664,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4" s="8"/>
      <c r="N664" s="8"/>
      <c r="O664" s="8"/>
      <c r="P664" s="8"/>
      <c r="Q664" s="8"/>
      <c r="R664" s="8"/>
      <c r="S664" s="8"/>
      <c r="T664" s="8"/>
      <c r="U664" s="8"/>
    </row>
    <row r="665">
      <c r="A665" s="10" t="s">
        <v>1898</v>
      </c>
      <c r="B665" s="10" t="s">
        <v>2073</v>
      </c>
      <c r="C665" s="12" t="s">
        <v>2132</v>
      </c>
      <c r="D665" s="13" t="s">
        <v>2133</v>
      </c>
      <c r="E665" s="16">
        <f t="array" ref="E665">XLOOKUP(C665,'DATA TK PANEN'!D:D,'DATA TK PANEN'!H:H)</f>
        <v>2</v>
      </c>
      <c r="F665" s="10" t="str">
        <f>IFERROR(__xludf.DUMMYFUNCTION("XLOOKUP(C665,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5" s="10" t="str">
        <f>IFERROR(__xludf.DUMMYFUNCTION("XLOOKUP($C665,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5" s="10" t="str">
        <f>IFERROR(__xludf.DUMMYFUNCTION("XLOOKUP($C665,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5" s="18"/>
      <c r="J665" s="18"/>
      <c r="K665" s="10" t="str">
        <f>IFERROR(__xludf.DUMMYFUNCTION("XLOOKUP($C665,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5" s="10" t="str">
        <f>IFERROR(__xludf.DUMMYFUNCTION("XLOOKUP($C665,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5" s="8"/>
      <c r="N665" s="8"/>
      <c r="O665" s="8"/>
      <c r="P665" s="8"/>
      <c r="Q665" s="8"/>
      <c r="R665" s="8"/>
      <c r="S665" s="8"/>
      <c r="T665" s="8"/>
      <c r="U665" s="8"/>
    </row>
    <row r="666">
      <c r="A666" s="10" t="s">
        <v>1898</v>
      </c>
      <c r="B666" s="10" t="s">
        <v>2073</v>
      </c>
      <c r="C666" s="12" t="s">
        <v>2134</v>
      </c>
      <c r="D666" s="13" t="s">
        <v>2135</v>
      </c>
      <c r="E666" s="16" t="str">
        <f t="array" ref="E666">XLOOKUP(C666,'DATA TK PANEN'!D:D,'DATA TK PANEN'!H:H)</f>
        <v>Tidak Ditemukan</v>
      </c>
      <c r="F666" s="10">
        <f>IFERROR(__xludf.DUMMYFUNCTION("XLOOKUP(C666,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66" s="10" t="str">
        <f>IFERROR(__xludf.DUMMYFUNCTION("XLOOKUP($C666,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6" s="10" t="str">
        <f>IFERROR(__xludf.DUMMYFUNCTION("XLOOKUP($C666,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6" s="18"/>
      <c r="J666" s="18"/>
      <c r="K666" s="10" t="str">
        <f>IFERROR(__xludf.DUMMYFUNCTION("XLOOKUP($C666,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6" s="10" t="str">
        <f>IFERROR(__xludf.DUMMYFUNCTION("XLOOKUP($C666,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6" s="8"/>
      <c r="N666" s="8"/>
      <c r="O666" s="8"/>
      <c r="P666" s="8"/>
      <c r="Q666" s="8"/>
      <c r="R666" s="8"/>
      <c r="S666" s="8"/>
      <c r="T666" s="8"/>
      <c r="U666" s="8"/>
    </row>
    <row r="667">
      <c r="A667" s="10" t="s">
        <v>1898</v>
      </c>
      <c r="B667" s="10" t="s">
        <v>2073</v>
      </c>
      <c r="C667" s="12" t="s">
        <v>2136</v>
      </c>
      <c r="D667" s="13" t="s">
        <v>2137</v>
      </c>
      <c r="E667" s="16">
        <f t="array" ref="E667">XLOOKUP(C667,'DATA TK PANEN'!D:D,'DATA TK PANEN'!H:H)</f>
        <v>0</v>
      </c>
      <c r="F667" s="10" t="str">
        <f>IFERROR(__xludf.DUMMYFUNCTION("XLOOKUP(C667,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7" s="10" t="str">
        <f>IFERROR(__xludf.DUMMYFUNCTION("XLOOKUP($C667,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7" s="10" t="str">
        <f>IFERROR(__xludf.DUMMYFUNCTION("XLOOKUP($C667,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7" s="18"/>
      <c r="J667" s="18"/>
      <c r="K667" s="10" t="str">
        <f>IFERROR(__xludf.DUMMYFUNCTION("XLOOKUP($C667,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7" s="10" t="str">
        <f>IFERROR(__xludf.DUMMYFUNCTION("XLOOKUP($C667,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7" s="8"/>
      <c r="N667" s="8"/>
      <c r="O667" s="8"/>
      <c r="P667" s="8"/>
      <c r="Q667" s="8"/>
      <c r="R667" s="8"/>
      <c r="S667" s="8"/>
      <c r="T667" s="8"/>
      <c r="U667" s="8"/>
    </row>
    <row r="668">
      <c r="A668" s="10" t="s">
        <v>1898</v>
      </c>
      <c r="B668" s="10" t="s">
        <v>2073</v>
      </c>
      <c r="C668" s="12" t="s">
        <v>2138</v>
      </c>
      <c r="D668" s="13" t="s">
        <v>2139</v>
      </c>
      <c r="E668" s="16">
        <f t="array" ref="E668">XLOOKUP(C668,'DATA TK PANEN'!D:D,'DATA TK PANEN'!H:H)</f>
        <v>0</v>
      </c>
      <c r="F668" s="10" t="str">
        <f>IFERROR(__xludf.DUMMYFUNCTION("XLOOKUP(C668,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68" s="10" t="str">
        <f>IFERROR(__xludf.DUMMYFUNCTION("XLOOKUP($C668,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68" s="10" t="str">
        <f>IFERROR(__xludf.DUMMYFUNCTION("XLOOKUP($C668,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68" s="18"/>
      <c r="J668" s="18"/>
      <c r="K668" s="10" t="str">
        <f>IFERROR(__xludf.DUMMYFUNCTION("XLOOKUP($C668,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68" s="10" t="str">
        <f>IFERROR(__xludf.DUMMYFUNCTION("XLOOKUP($C668,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68" s="8"/>
      <c r="N668" s="8"/>
      <c r="O668" s="8"/>
      <c r="P668" s="8"/>
      <c r="Q668" s="8"/>
      <c r="R668" s="8"/>
      <c r="S668" s="8"/>
      <c r="T668" s="8"/>
      <c r="U668" s="8"/>
    </row>
    <row r="669">
      <c r="A669" s="10" t="s">
        <v>1898</v>
      </c>
      <c r="B669" s="10" t="s">
        <v>2073</v>
      </c>
      <c r="C669" s="12" t="s">
        <v>2140</v>
      </c>
      <c r="D669" s="13" t="s">
        <v>2141</v>
      </c>
      <c r="E669" s="16">
        <f t="array" ref="E669">XLOOKUP(C669,'DATA TK PANEN'!D:D,'DATA TK PANEN'!H:H)</f>
        <v>286.54</v>
      </c>
      <c r="F669" s="10">
        <f>IFERROR(__xludf.DUMMYFUNCTION("XLOOKUP(C669,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(AUTO)'!S6:S""))"),19.0)</f>
        <v>19</v>
      </c>
      <c r="G669" s="10">
        <f>IFERROR(__xludf.DUMMYFUNCTION("XLOOKUP($C669,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(AUTO)'!T6:T""))"),10.0)</f>
        <v>10</v>
      </c>
      <c r="H669" s="10">
        <f>IFERROR(__xludf.DUMMYFUNCTION("XLOOKUP($C669,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(AUTO)'!V6:V""))"),15.0)</f>
        <v>15</v>
      </c>
      <c r="I669" s="18"/>
      <c r="J669" s="18"/>
      <c r="K669" s="10">
        <f>IFERROR(__xludf.DUMMYFUNCTION("XLOOKUP($C669,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669" s="10">
        <f>IFERROR(__xludf.DUMMYFUNCTION("XLOOKUP($C669,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669" s="8"/>
      <c r="N669" s="8"/>
      <c r="O669" s="8"/>
      <c r="P669" s="8"/>
      <c r="Q669" s="8"/>
      <c r="R669" s="8"/>
      <c r="S669" s="8"/>
      <c r="T669" s="8"/>
      <c r="U669" s="8"/>
    </row>
    <row r="670">
      <c r="A670" s="10" t="s">
        <v>1898</v>
      </c>
      <c r="B670" s="10" t="s">
        <v>2073</v>
      </c>
      <c r="C670" s="12" t="s">
        <v>2142</v>
      </c>
      <c r="D670" s="13" t="s">
        <v>2143</v>
      </c>
      <c r="E670" s="16">
        <f t="array" ref="E670">XLOOKUP(C670,'DATA TK PANEN'!D:D,'DATA TK PANEN'!H:H)</f>
        <v>37.27</v>
      </c>
      <c r="F670" s="10">
        <f>IFERROR(__xludf.DUMMYFUNCTION("XLOOKUP(C670,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70" s="10" t="str">
        <f>IFERROR(__xludf.DUMMYFUNCTION("XLOOKUP($C670,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0" s="10" t="str">
        <f>IFERROR(__xludf.DUMMYFUNCTION("XLOOKUP($C670,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0" s="18"/>
      <c r="J670" s="18"/>
      <c r="K670" s="10" t="str">
        <f>IFERROR(__xludf.DUMMYFUNCTION("XLOOKUP($C670,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0" s="10" t="str">
        <f>IFERROR(__xludf.DUMMYFUNCTION("XLOOKUP($C670,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0" s="8"/>
      <c r="N670" s="8"/>
      <c r="O670" s="8"/>
      <c r="P670" s="8"/>
      <c r="Q670" s="8"/>
      <c r="R670" s="8"/>
      <c r="S670" s="8"/>
      <c r="T670" s="8"/>
      <c r="U670" s="8"/>
    </row>
    <row r="671">
      <c r="A671" s="10" t="s">
        <v>1898</v>
      </c>
      <c r="B671" s="10" t="s">
        <v>2073</v>
      </c>
      <c r="C671" s="12" t="s">
        <v>2144</v>
      </c>
      <c r="D671" s="13" t="s">
        <v>2145</v>
      </c>
      <c r="E671" s="16">
        <f t="array" ref="E671">XLOOKUP(C671,'DATA TK PANEN'!D:D,'DATA TK PANEN'!H:H)</f>
        <v>0</v>
      </c>
      <c r="F671" s="10" t="str">
        <f>IFERROR(__xludf.DUMMYFUNCTION("XLOOKUP(C671,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1" s="10" t="str">
        <f>IFERROR(__xludf.DUMMYFUNCTION("XLOOKUP($C671,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1" s="10" t="str">
        <f>IFERROR(__xludf.DUMMYFUNCTION("XLOOKUP($C671,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1" s="18"/>
      <c r="J671" s="18"/>
      <c r="K671" s="10" t="str">
        <f>IFERROR(__xludf.DUMMYFUNCTION("XLOOKUP($C671,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1" s="10" t="str">
        <f>IFERROR(__xludf.DUMMYFUNCTION("XLOOKUP($C671,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1" s="8"/>
      <c r="N671" s="8"/>
      <c r="O671" s="8"/>
      <c r="P671" s="8"/>
      <c r="Q671" s="8"/>
      <c r="R671" s="8"/>
      <c r="S671" s="8"/>
      <c r="T671" s="8"/>
      <c r="U671" s="8"/>
    </row>
    <row r="672">
      <c r="A672" s="10" t="s">
        <v>1898</v>
      </c>
      <c r="B672" s="10" t="s">
        <v>2073</v>
      </c>
      <c r="C672" s="12" t="s">
        <v>2146</v>
      </c>
      <c r="D672" s="13" t="s">
        <v>2147</v>
      </c>
      <c r="E672" s="16">
        <f t="array" ref="E672">XLOOKUP(C672,'DATA TK PANEN'!D:D,'DATA TK PANEN'!H:H)</f>
        <v>0.85</v>
      </c>
      <c r="F672" s="10" t="str">
        <f>IFERROR(__xludf.DUMMYFUNCTION("XLOOKUP(C672,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2" s="10" t="str">
        <f>IFERROR(__xludf.DUMMYFUNCTION("XLOOKUP($C672,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2" s="10" t="str">
        <f>IFERROR(__xludf.DUMMYFUNCTION("XLOOKUP($C672,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2" s="18"/>
      <c r="J672" s="18"/>
      <c r="K672" s="10" t="str">
        <f>IFERROR(__xludf.DUMMYFUNCTION("XLOOKUP($C672,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2" s="10" t="str">
        <f>IFERROR(__xludf.DUMMYFUNCTION("XLOOKUP($C672,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2" s="8"/>
      <c r="N672" s="8"/>
      <c r="O672" s="8"/>
      <c r="P672" s="8"/>
      <c r="Q672" s="8"/>
      <c r="R672" s="8"/>
      <c r="S672" s="8"/>
      <c r="T672" s="8"/>
      <c r="U672" s="8"/>
    </row>
    <row r="673">
      <c r="A673" s="10" t="s">
        <v>1898</v>
      </c>
      <c r="B673" s="10" t="s">
        <v>2073</v>
      </c>
      <c r="C673" s="12" t="s">
        <v>2148</v>
      </c>
      <c r="D673" s="13" t="s">
        <v>2149</v>
      </c>
      <c r="E673" s="16" t="str">
        <f t="array" ref="E673">XLOOKUP(C673,'DATA TK PANEN'!D:D,'DATA TK PANEN'!H:H)</f>
        <v>Tidak Ditemukan</v>
      </c>
      <c r="F673" s="10" t="str">
        <f>IFERROR(__xludf.DUMMYFUNCTION("XLOOKUP(C673,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3" s="10" t="str">
        <f>IFERROR(__xludf.DUMMYFUNCTION("XLOOKUP($C673,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3" s="10" t="str">
        <f>IFERROR(__xludf.DUMMYFUNCTION("XLOOKUP($C673,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3" s="18"/>
      <c r="J673" s="18"/>
      <c r="K673" s="10" t="str">
        <f>IFERROR(__xludf.DUMMYFUNCTION("XLOOKUP($C673,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3" s="10" t="str">
        <f>IFERROR(__xludf.DUMMYFUNCTION("XLOOKUP($C673,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3" s="8"/>
      <c r="N673" s="8"/>
      <c r="O673" s="8"/>
      <c r="P673" s="8"/>
      <c r="Q673" s="8"/>
      <c r="R673" s="8"/>
      <c r="S673" s="8"/>
      <c r="T673" s="8"/>
      <c r="U673" s="8"/>
    </row>
    <row r="674">
      <c r="A674" s="10" t="s">
        <v>1898</v>
      </c>
      <c r="B674" s="10" t="s">
        <v>2073</v>
      </c>
      <c r="C674" s="12" t="s">
        <v>2150</v>
      </c>
      <c r="D674" s="13" t="s">
        <v>2151</v>
      </c>
      <c r="E674" s="16">
        <f t="array" ref="E674">XLOOKUP(C674,'DATA TK PANEN'!D:D,'DATA TK PANEN'!H:H)</f>
        <v>873.05</v>
      </c>
      <c r="F674" s="10">
        <f>IFERROR(__xludf.DUMMYFUNCTION("XLOOKUP(C674,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(AUTO)'!S6:S""))"),52.0)</f>
        <v>52</v>
      </c>
      <c r="G674" s="10" t="str">
        <f>IFERROR(__xludf.DUMMYFUNCTION("XLOOKUP($C674,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4" s="10" t="str">
        <f>IFERROR(__xludf.DUMMYFUNCTION("XLOOKUP($C674,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4" s="18"/>
      <c r="J674" s="18"/>
      <c r="K674" s="10" t="str">
        <f>IFERROR(__xludf.DUMMYFUNCTION("XLOOKUP($C674,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4" s="10" t="str">
        <f>IFERROR(__xludf.DUMMYFUNCTION("XLOOKUP($C674,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4" s="8"/>
      <c r="N674" s="8"/>
      <c r="O674" s="8"/>
      <c r="P674" s="8"/>
      <c r="Q674" s="8"/>
      <c r="R674" s="8"/>
      <c r="S674" s="8"/>
      <c r="T674" s="8"/>
      <c r="U674" s="8"/>
    </row>
    <row r="675">
      <c r="A675" s="10" t="s">
        <v>1898</v>
      </c>
      <c r="B675" s="10" t="s">
        <v>2073</v>
      </c>
      <c r="C675" s="12" t="s">
        <v>2152</v>
      </c>
      <c r="D675" s="13" t="s">
        <v>2153</v>
      </c>
      <c r="E675" s="16">
        <f t="array" ref="E675">XLOOKUP(C675,'DATA TK PANEN'!D:D,'DATA TK PANEN'!H:H)</f>
        <v>9</v>
      </c>
      <c r="F675" s="10" t="str">
        <f>IFERROR(__xludf.DUMMYFUNCTION("XLOOKUP(C675,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5" s="10" t="str">
        <f>IFERROR(__xludf.DUMMYFUNCTION("XLOOKUP($C675,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5" s="10" t="str">
        <f>IFERROR(__xludf.DUMMYFUNCTION("XLOOKUP($C675,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5" s="18"/>
      <c r="J675" s="18"/>
      <c r="K675" s="10" t="str">
        <f>IFERROR(__xludf.DUMMYFUNCTION("XLOOKUP($C675,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5" s="10" t="str">
        <f>IFERROR(__xludf.DUMMYFUNCTION("XLOOKUP($C675,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5" s="8"/>
      <c r="N675" s="8"/>
      <c r="O675" s="8"/>
      <c r="P675" s="8"/>
      <c r="Q675" s="8"/>
      <c r="R675" s="8"/>
      <c r="S675" s="8"/>
      <c r="T675" s="8"/>
      <c r="U675" s="8"/>
    </row>
    <row r="676">
      <c r="A676" s="10" t="s">
        <v>1898</v>
      </c>
      <c r="B676" s="10" t="s">
        <v>2073</v>
      </c>
      <c r="C676" s="12" t="s">
        <v>2154</v>
      </c>
      <c r="D676" s="13" t="s">
        <v>2155</v>
      </c>
      <c r="E676" s="16">
        <f t="array" ref="E676">XLOOKUP(C676,'DATA TK PANEN'!D:D,'DATA TK PANEN'!H:H)</f>
        <v>246</v>
      </c>
      <c r="F676" s="10">
        <f>IFERROR(__xludf.DUMMYFUNCTION("XLOOKUP(C676,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(AUTO)'!S6:S""))"),4.0)</f>
        <v>4</v>
      </c>
      <c r="G676" s="10">
        <f>IFERROR(__xludf.DUMMYFUNCTION("XLOOKUP($C676,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676" s="10">
        <f>IFERROR(__xludf.DUMMYFUNCTION("XLOOKUP($C676,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676" s="18"/>
      <c r="J676" s="18"/>
      <c r="K676" s="10">
        <f>IFERROR(__xludf.DUMMYFUNCTION("XLOOKUP($C676,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676" s="10">
        <f>IFERROR(__xludf.DUMMYFUNCTION("XLOOKUP($C676,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676" s="8"/>
      <c r="N676" s="8"/>
      <c r="O676" s="8"/>
      <c r="P676" s="8"/>
      <c r="Q676" s="8"/>
      <c r="R676" s="8"/>
      <c r="S676" s="8"/>
      <c r="T676" s="8"/>
      <c r="U676" s="8"/>
    </row>
    <row r="677">
      <c r="A677" s="10" t="s">
        <v>1898</v>
      </c>
      <c r="B677" s="10" t="s">
        <v>2073</v>
      </c>
      <c r="C677" s="12" t="s">
        <v>2156</v>
      </c>
      <c r="D677" s="13" t="s">
        <v>2157</v>
      </c>
      <c r="E677" s="16">
        <f t="array" ref="E677">XLOOKUP(C677,'DATA TK PANEN'!D:D,'DATA TK PANEN'!H:H)</f>
        <v>100</v>
      </c>
      <c r="F677" s="10">
        <f>IFERROR(__xludf.DUMMYFUNCTION("XLOOKUP(C677,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(AUTO)'!S6:S""))"),11.0)</f>
        <v>11</v>
      </c>
      <c r="G677" s="10" t="str">
        <f>IFERROR(__xludf.DUMMYFUNCTION("XLOOKUP($C677,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7" s="10" t="str">
        <f>IFERROR(__xludf.DUMMYFUNCTION("XLOOKUP($C677,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7" s="18"/>
      <c r="J677" s="18"/>
      <c r="K677" s="10" t="str">
        <f>IFERROR(__xludf.DUMMYFUNCTION("XLOOKUP($C677,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7" s="10" t="str">
        <f>IFERROR(__xludf.DUMMYFUNCTION("XLOOKUP($C677,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7" s="8"/>
      <c r="N677" s="8"/>
      <c r="O677" s="8"/>
      <c r="P677" s="8"/>
      <c r="Q677" s="8"/>
      <c r="R677" s="8"/>
      <c r="S677" s="8"/>
      <c r="T677" s="8"/>
      <c r="U677" s="8"/>
    </row>
    <row r="678">
      <c r="A678" s="10" t="s">
        <v>1898</v>
      </c>
      <c r="B678" s="10" t="s">
        <v>2073</v>
      </c>
      <c r="C678" s="12" t="s">
        <v>2158</v>
      </c>
      <c r="D678" s="13" t="s">
        <v>2159</v>
      </c>
      <c r="E678" s="16">
        <f t="array" ref="E678">XLOOKUP(C678,'DATA TK PANEN'!D:D,'DATA TK PANEN'!H:H)</f>
        <v>0</v>
      </c>
      <c r="F678" s="10" t="str">
        <f>IFERROR(__xludf.DUMMYFUNCTION("XLOOKUP(C678,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8" s="10" t="str">
        <f>IFERROR(__xludf.DUMMYFUNCTION("XLOOKUP($C678,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8" s="10" t="str">
        <f>IFERROR(__xludf.DUMMYFUNCTION("XLOOKUP($C678,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8" s="18"/>
      <c r="J678" s="18"/>
      <c r="K678" s="10" t="str">
        <f>IFERROR(__xludf.DUMMYFUNCTION("XLOOKUP($C678,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8" s="10" t="str">
        <f>IFERROR(__xludf.DUMMYFUNCTION("XLOOKUP($C678,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8" s="8"/>
      <c r="N678" s="8"/>
      <c r="O678" s="8"/>
      <c r="P678" s="8"/>
      <c r="Q678" s="8"/>
      <c r="R678" s="8"/>
      <c r="S678" s="8"/>
      <c r="T678" s="8"/>
      <c r="U678" s="8"/>
    </row>
    <row r="679">
      <c r="A679" s="10" t="s">
        <v>1898</v>
      </c>
      <c r="B679" s="10" t="s">
        <v>2073</v>
      </c>
      <c r="C679" s="12" t="s">
        <v>2160</v>
      </c>
      <c r="D679" s="13" t="s">
        <v>2161</v>
      </c>
      <c r="E679" s="16">
        <f t="array" ref="E679">XLOOKUP(C679,'DATA TK PANEN'!D:D,'DATA TK PANEN'!H:H)</f>
        <v>0</v>
      </c>
      <c r="F679" s="10" t="str">
        <f>IFERROR(__xludf.DUMMYFUNCTION("XLOOKUP(C679,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79" s="10" t="str">
        <f>IFERROR(__xludf.DUMMYFUNCTION("XLOOKUP($C679,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79" s="10" t="str">
        <f>IFERROR(__xludf.DUMMYFUNCTION("XLOOKUP($C679,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79" s="18"/>
      <c r="J679" s="18"/>
      <c r="K679" s="10" t="str">
        <f>IFERROR(__xludf.DUMMYFUNCTION("XLOOKUP($C679,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79" s="10" t="str">
        <f>IFERROR(__xludf.DUMMYFUNCTION("XLOOKUP($C679,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79" s="8"/>
      <c r="N679" s="8"/>
      <c r="O679" s="8"/>
      <c r="P679" s="8"/>
      <c r="Q679" s="8"/>
      <c r="R679" s="8"/>
      <c r="S679" s="8"/>
      <c r="T679" s="8"/>
      <c r="U679" s="8"/>
    </row>
    <row r="680">
      <c r="A680" s="10" t="s">
        <v>1898</v>
      </c>
      <c r="B680" s="10" t="s">
        <v>2073</v>
      </c>
      <c r="C680" s="12" t="s">
        <v>2162</v>
      </c>
      <c r="D680" s="13" t="s">
        <v>2163</v>
      </c>
      <c r="E680" s="16">
        <f t="array" ref="E680">XLOOKUP(C680,'DATA TK PANEN'!D:D,'DATA TK PANEN'!H:H)</f>
        <v>18.56</v>
      </c>
      <c r="F680" s="10">
        <f>IFERROR(__xludf.DUMMYFUNCTION("XLOOKUP(C680,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(AUTO)'!S6:S""))"),3.0)</f>
        <v>3</v>
      </c>
      <c r="G680" s="10" t="str">
        <f>IFERROR(__xludf.DUMMYFUNCTION("XLOOKUP($C680,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0" s="10" t="str">
        <f>IFERROR(__xludf.DUMMYFUNCTION("XLOOKUP($C680,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0" s="18"/>
      <c r="J680" s="18"/>
      <c r="K680" s="10" t="str">
        <f>IFERROR(__xludf.DUMMYFUNCTION("XLOOKUP($C680,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0" s="10" t="str">
        <f>IFERROR(__xludf.DUMMYFUNCTION("XLOOKUP($C680,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0" s="8"/>
      <c r="N680" s="8"/>
      <c r="O680" s="8"/>
      <c r="P680" s="8"/>
      <c r="Q680" s="8"/>
      <c r="R680" s="8"/>
      <c r="S680" s="8"/>
      <c r="T680" s="8"/>
      <c r="U680" s="8"/>
    </row>
    <row r="681">
      <c r="A681" s="10" t="s">
        <v>1898</v>
      </c>
      <c r="B681" s="10" t="s">
        <v>2073</v>
      </c>
      <c r="C681" s="12" t="s">
        <v>2164</v>
      </c>
      <c r="D681" s="13" t="s">
        <v>2165</v>
      </c>
      <c r="E681" s="16">
        <f t="array" ref="E681">XLOOKUP(C681,'DATA TK PANEN'!D:D,'DATA TK PANEN'!H:H)</f>
        <v>10</v>
      </c>
      <c r="F681" s="10" t="str">
        <f>IFERROR(__xludf.DUMMYFUNCTION("XLOOKUP(C681,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1" s="10" t="str">
        <f>IFERROR(__xludf.DUMMYFUNCTION("XLOOKUP($C681,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1" s="10" t="str">
        <f>IFERROR(__xludf.DUMMYFUNCTION("XLOOKUP($C681,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1" s="18"/>
      <c r="J681" s="18"/>
      <c r="K681" s="10" t="str">
        <f>IFERROR(__xludf.DUMMYFUNCTION("XLOOKUP($C681,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1" s="10" t="str">
        <f>IFERROR(__xludf.DUMMYFUNCTION("XLOOKUP($C681,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1" s="8"/>
      <c r="N681" s="8"/>
      <c r="O681" s="8"/>
      <c r="P681" s="8"/>
      <c r="Q681" s="8"/>
      <c r="R681" s="8"/>
      <c r="S681" s="8"/>
      <c r="T681" s="8"/>
      <c r="U681" s="8"/>
    </row>
    <row r="682">
      <c r="A682" s="10" t="s">
        <v>1898</v>
      </c>
      <c r="B682" s="10" t="s">
        <v>2073</v>
      </c>
      <c r="C682" s="12" t="s">
        <v>2166</v>
      </c>
      <c r="D682" s="13" t="s">
        <v>2167</v>
      </c>
      <c r="E682" s="16">
        <f t="array" ref="E682">XLOOKUP(C682,'DATA TK PANEN'!D:D,'DATA TK PANEN'!H:H)</f>
        <v>0</v>
      </c>
      <c r="F682" s="10" t="str">
        <f>IFERROR(__xludf.DUMMYFUNCTION("XLOOKUP(C682,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2" s="10" t="str">
        <f>IFERROR(__xludf.DUMMYFUNCTION("XLOOKUP($C682,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2" s="10" t="str">
        <f>IFERROR(__xludf.DUMMYFUNCTION("XLOOKUP($C682,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2" s="18"/>
      <c r="J682" s="18"/>
      <c r="K682" s="10" t="str">
        <f>IFERROR(__xludf.DUMMYFUNCTION("XLOOKUP($C682,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2" s="10" t="str">
        <f>IFERROR(__xludf.DUMMYFUNCTION("XLOOKUP($C682,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2" s="8"/>
      <c r="N682" s="8"/>
      <c r="O682" s="8"/>
      <c r="P682" s="8"/>
      <c r="Q682" s="8"/>
      <c r="R682" s="8"/>
      <c r="S682" s="8"/>
      <c r="T682" s="8"/>
      <c r="U682" s="8"/>
    </row>
    <row r="683">
      <c r="A683" s="10" t="s">
        <v>1898</v>
      </c>
      <c r="B683" s="10" t="s">
        <v>2073</v>
      </c>
      <c r="C683" s="12" t="s">
        <v>2168</v>
      </c>
      <c r="D683" s="13" t="s">
        <v>2169</v>
      </c>
      <c r="E683" s="16">
        <f t="array" ref="E683">XLOOKUP(C683,'DATA TK PANEN'!D:D,'DATA TK PANEN'!H:H)</f>
        <v>3339</v>
      </c>
      <c r="F683" s="10">
        <f>IFERROR(__xludf.DUMMYFUNCTION("XLOOKUP(C683,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(AUTO)'!S6:S""))"),200.0)</f>
        <v>200</v>
      </c>
      <c r="G683" s="10">
        <f>IFERROR(__xludf.DUMMYFUNCTION("XLOOKUP($C683,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(AUTO)'!T6:T""))"),67.0)</f>
        <v>67</v>
      </c>
      <c r="H683" s="10">
        <f>IFERROR(__xludf.DUMMYFUNCTION("XLOOKUP($C683,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(AUTO)'!V6:V""))"),67.0)</f>
        <v>67</v>
      </c>
      <c r="I683" s="18"/>
      <c r="J683" s="18"/>
      <c r="K683" s="10">
        <f>IFERROR(__xludf.DUMMYFUNCTION("XLOOKUP($C683,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(AUTO)'!W6:W""))"),10.0)</f>
        <v>10</v>
      </c>
      <c r="L683" s="10">
        <f>IFERROR(__xludf.DUMMYFUNCTION("XLOOKUP($C683,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(AUTO)'!X6:X""))"),15.0)</f>
        <v>15</v>
      </c>
      <c r="M683" s="8"/>
      <c r="N683" s="8"/>
      <c r="O683" s="8"/>
      <c r="P683" s="8"/>
      <c r="Q683" s="8"/>
      <c r="R683" s="8"/>
      <c r="S683" s="8"/>
      <c r="T683" s="8"/>
      <c r="U683" s="8"/>
    </row>
    <row r="684">
      <c r="A684" s="10" t="s">
        <v>1898</v>
      </c>
      <c r="B684" s="10" t="s">
        <v>2073</v>
      </c>
      <c r="C684" s="12" t="s">
        <v>2170</v>
      </c>
      <c r="D684" s="13" t="s">
        <v>2171</v>
      </c>
      <c r="E684" s="16" t="str">
        <f t="array" ref="E684">XLOOKUP(C684,'DATA TK PANEN'!D:D,'DATA TK PANEN'!H:H)</f>
        <v>Tidak Ditemukan</v>
      </c>
      <c r="F684" s="10" t="str">
        <f>IFERROR(__xludf.DUMMYFUNCTION("XLOOKUP(C684,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(AUTO)'!S6:S""))"),"")</f>
        <v/>
      </c>
      <c r="G684" s="10" t="str">
        <f>IFERROR(__xludf.DUMMYFUNCTION("XLOOKUP($C684,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(AUTO)'!T6:T""))"),"")</f>
        <v/>
      </c>
      <c r="H684" s="10" t="str">
        <f>IFERROR(__xludf.DUMMYFUNCTION("XLOOKUP($C684,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4" s="18"/>
      <c r="J684" s="18"/>
      <c r="K684" s="10" t="str">
        <f>IFERROR(__xludf.DUMMYFUNCTION("XLOOKUP($C684,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4" s="10" t="str">
        <f>IFERROR(__xludf.DUMMYFUNCTION("XLOOKUP($C684,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4" s="8"/>
      <c r="N684" s="8"/>
      <c r="O684" s="8"/>
      <c r="P684" s="8"/>
      <c r="Q684" s="8"/>
      <c r="R684" s="8"/>
      <c r="S684" s="8"/>
      <c r="T684" s="8"/>
      <c r="U684" s="8"/>
    </row>
    <row r="685">
      <c r="A685" s="10" t="s">
        <v>1898</v>
      </c>
      <c r="B685" s="10" t="s">
        <v>2073</v>
      </c>
      <c r="C685" s="12" t="s">
        <v>2172</v>
      </c>
      <c r="D685" s="13" t="s">
        <v>2173</v>
      </c>
      <c r="E685" s="16">
        <f t="array" ref="E685">XLOOKUP(C685,'DATA TK PANEN'!D:D,'DATA TK PANEN'!H:H)</f>
        <v>1100.98</v>
      </c>
      <c r="F685" s="10" t="str">
        <f>IFERROR(__xludf.DUMMYFUNCTION("XLOOKUP(C685,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5" s="10" t="str">
        <f>IFERROR(__xludf.DUMMYFUNCTION("XLOOKUP($C685,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5" s="10" t="str">
        <f>IFERROR(__xludf.DUMMYFUNCTION("XLOOKUP($C685,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5" s="18"/>
      <c r="J685" s="18"/>
      <c r="K685" s="10" t="str">
        <f>IFERROR(__xludf.DUMMYFUNCTION("XLOOKUP($C685,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5" s="10" t="str">
        <f>IFERROR(__xludf.DUMMYFUNCTION("XLOOKUP($C685,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5" s="8"/>
      <c r="N685" s="8"/>
      <c r="O685" s="8"/>
      <c r="P685" s="8"/>
      <c r="Q685" s="8"/>
      <c r="R685" s="8"/>
      <c r="S685" s="8"/>
      <c r="T685" s="8"/>
      <c r="U685" s="8"/>
    </row>
    <row r="686">
      <c r="A686" s="10" t="s">
        <v>1898</v>
      </c>
      <c r="B686" s="10" t="s">
        <v>2073</v>
      </c>
      <c r="C686" s="12" t="s">
        <v>2174</v>
      </c>
      <c r="D686" s="13" t="s">
        <v>2175</v>
      </c>
      <c r="E686" s="16">
        <f t="array" ref="E686">XLOOKUP(C686,'DATA TK PANEN'!D:D,'DATA TK PANEN'!H:H)</f>
        <v>0</v>
      </c>
      <c r="F686" s="10" t="str">
        <f>IFERROR(__xludf.DUMMYFUNCTION("XLOOKUP(C686,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6" s="10" t="str">
        <f>IFERROR(__xludf.DUMMYFUNCTION("XLOOKUP($C686,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6" s="10" t="str">
        <f>IFERROR(__xludf.DUMMYFUNCTION("XLOOKUP($C686,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6" s="18"/>
      <c r="J686" s="18"/>
      <c r="K686" s="10" t="str">
        <f>IFERROR(__xludf.DUMMYFUNCTION("XLOOKUP($C686,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6" s="10" t="str">
        <f>IFERROR(__xludf.DUMMYFUNCTION("XLOOKUP($C686,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6" s="8"/>
      <c r="N686" s="8"/>
      <c r="O686" s="8"/>
      <c r="P686" s="8"/>
      <c r="Q686" s="8"/>
      <c r="R686" s="8"/>
      <c r="S686" s="8"/>
      <c r="T686" s="8"/>
      <c r="U686" s="8"/>
    </row>
    <row r="687">
      <c r="A687" s="10" t="s">
        <v>1898</v>
      </c>
      <c r="B687" s="10" t="s">
        <v>2073</v>
      </c>
      <c r="C687" s="12" t="s">
        <v>2176</v>
      </c>
      <c r="D687" s="13" t="s">
        <v>2177</v>
      </c>
      <c r="E687" s="16">
        <f t="array" ref="E687">XLOOKUP(C687,'DATA TK PANEN'!D:D,'DATA TK PANEN'!H:H)</f>
        <v>173.68</v>
      </c>
      <c r="F687" s="10">
        <f>IFERROR(__xludf.DUMMYFUNCTION("XLOOKUP(C687,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687" s="10" t="str">
        <f>IFERROR(__xludf.DUMMYFUNCTION("XLOOKUP($C687,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7" s="10" t="str">
        <f>IFERROR(__xludf.DUMMYFUNCTION("XLOOKUP($C687,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687" s="18"/>
      <c r="J687" s="18"/>
      <c r="K687" s="10" t="str">
        <f>IFERROR(__xludf.DUMMYFUNCTION("XLOOKUP($C687,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7" s="10" t="str">
        <f>IFERROR(__xludf.DUMMYFUNCTION("XLOOKUP($C687,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7" s="8"/>
      <c r="N687" s="8"/>
      <c r="O687" s="8"/>
      <c r="P687" s="8"/>
      <c r="Q687" s="8"/>
      <c r="R687" s="8"/>
      <c r="S687" s="8"/>
      <c r="T687" s="8"/>
      <c r="U687" s="8"/>
    </row>
    <row r="688">
      <c r="A688" s="10" t="s">
        <v>2178</v>
      </c>
      <c r="B688" s="10" t="s">
        <v>2179</v>
      </c>
      <c r="C688" s="12" t="s">
        <v>2180</v>
      </c>
      <c r="D688" s="13" t="s">
        <v>2181</v>
      </c>
      <c r="E688" s="16">
        <f t="array" ref="E688">XLOOKUP(C688,'DATA TK PANEN'!D:D,'DATA TK PANEN'!H:H)</f>
        <v>4.9</v>
      </c>
      <c r="F688" s="10" t="str">
        <f>IFERROR(__xludf.DUMMYFUNCTION("XLOOKUP(C688,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8" s="10" t="str">
        <f>IFERROR(__xludf.DUMMYFUNCTION("XLOOKUP($C688,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8" s="10" t="str">
        <f>IFERROR(__xludf.DUMMYFUNCTION("XLOOKUP($C688,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88" s="18"/>
      <c r="J688" s="18"/>
      <c r="K688" s="10" t="str">
        <f>IFERROR(__xludf.DUMMYFUNCTION("XLOOKUP($C688,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8" s="10" t="str">
        <f>IFERROR(__xludf.DUMMYFUNCTION("XLOOKUP($C688,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8" s="8"/>
      <c r="N688" s="8"/>
      <c r="O688" s="8"/>
      <c r="P688" s="8"/>
      <c r="Q688" s="8"/>
      <c r="R688" s="8"/>
      <c r="S688" s="8"/>
      <c r="T688" s="8"/>
      <c r="U688" s="8"/>
    </row>
    <row r="689">
      <c r="A689" s="10" t="s">
        <v>2178</v>
      </c>
      <c r="B689" s="10" t="s">
        <v>2179</v>
      </c>
      <c r="C689" s="12" t="s">
        <v>2182</v>
      </c>
      <c r="D689" s="13" t="s">
        <v>2183</v>
      </c>
      <c r="E689" s="16">
        <f t="array" ref="E689">XLOOKUP(C689,'DATA TK PANEN'!D:D,'DATA TK PANEN'!H:H)</f>
        <v>0</v>
      </c>
      <c r="F689" s="10" t="str">
        <f>IFERROR(__xludf.DUMMYFUNCTION("XLOOKUP(C689,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89" s="10" t="str">
        <f>IFERROR(__xludf.DUMMYFUNCTION("XLOOKUP($C689,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89" s="10" t="str">
        <f>IFERROR(__xludf.DUMMYFUNCTION("XLOOKUP($C689,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89" s="18"/>
      <c r="J689" s="18"/>
      <c r="K689" s="10" t="str">
        <f>IFERROR(__xludf.DUMMYFUNCTION("XLOOKUP($C689,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89" s="10" t="str">
        <f>IFERROR(__xludf.DUMMYFUNCTION("XLOOKUP($C689,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89" s="8"/>
      <c r="N689" s="8"/>
      <c r="O689" s="8"/>
      <c r="P689" s="8"/>
      <c r="Q689" s="8"/>
      <c r="R689" s="8"/>
      <c r="S689" s="8"/>
      <c r="T689" s="8"/>
      <c r="U689" s="8"/>
    </row>
    <row r="690">
      <c r="A690" s="10" t="s">
        <v>2178</v>
      </c>
      <c r="B690" s="10" t="s">
        <v>2179</v>
      </c>
      <c r="C690" s="12" t="s">
        <v>1655</v>
      </c>
      <c r="D690" s="13" t="s">
        <v>2184</v>
      </c>
      <c r="E690" s="16">
        <f t="array" ref="E690">XLOOKUP(C690,'DATA TK PANEN'!D:D,'DATA TK PANEN'!H:H)</f>
        <v>0</v>
      </c>
      <c r="F690" s="10" t="str">
        <f>IFERROR(__xludf.DUMMYFUNCTION("XLOOKUP(C690,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0" s="10" t="str">
        <f>IFERROR(__xludf.DUMMYFUNCTION("XLOOKUP($C690,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0" s="10" t="str">
        <f>IFERROR(__xludf.DUMMYFUNCTION("XLOOKUP($C690,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0" s="18"/>
      <c r="J690" s="18"/>
      <c r="K690" s="10" t="str">
        <f>IFERROR(__xludf.DUMMYFUNCTION("XLOOKUP($C690,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0" s="10" t="str">
        <f>IFERROR(__xludf.DUMMYFUNCTION("XLOOKUP($C690,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0" s="8"/>
      <c r="N690" s="8"/>
      <c r="O690" s="8"/>
      <c r="P690" s="8"/>
      <c r="Q690" s="8"/>
      <c r="R690" s="8"/>
      <c r="S690" s="8"/>
      <c r="T690" s="8"/>
      <c r="U690" s="8"/>
    </row>
    <row r="691">
      <c r="A691" s="10" t="s">
        <v>2178</v>
      </c>
      <c r="B691" s="10" t="s">
        <v>2179</v>
      </c>
      <c r="C691" s="12" t="s">
        <v>1704</v>
      </c>
      <c r="D691" s="13" t="s">
        <v>2185</v>
      </c>
      <c r="E691" s="16">
        <f t="array" ref="E691">XLOOKUP(C691,'DATA TK PANEN'!D:D,'DATA TK PANEN'!H:H)</f>
        <v>0</v>
      </c>
      <c r="F691" s="10" t="str">
        <f>IFERROR(__xludf.DUMMYFUNCTION("XLOOKUP(C691,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1" s="10" t="str">
        <f>IFERROR(__xludf.DUMMYFUNCTION("XLOOKUP($C691,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1" s="10" t="str">
        <f>IFERROR(__xludf.DUMMYFUNCTION("XLOOKUP($C691,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1" s="18"/>
      <c r="J691" s="18"/>
      <c r="K691" s="10" t="str">
        <f>IFERROR(__xludf.DUMMYFUNCTION("XLOOKUP($C691,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1" s="10" t="str">
        <f>IFERROR(__xludf.DUMMYFUNCTION("XLOOKUP($C691,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1" s="8"/>
      <c r="N691" s="8"/>
      <c r="O691" s="8"/>
      <c r="P691" s="8"/>
      <c r="Q691" s="8"/>
      <c r="R691" s="8"/>
      <c r="S691" s="8"/>
      <c r="T691" s="8"/>
      <c r="U691" s="8"/>
    </row>
    <row r="692">
      <c r="A692" s="10" t="s">
        <v>2178</v>
      </c>
      <c r="B692" s="10" t="s">
        <v>2179</v>
      </c>
      <c r="C692" s="12" t="s">
        <v>2186</v>
      </c>
      <c r="D692" s="13" t="s">
        <v>2187</v>
      </c>
      <c r="E692" s="16" t="str">
        <f t="array" ref="E692">XLOOKUP(C692,'DATA TK PANEN'!D:D,'DATA TK PANEN'!H:H)</f>
        <v>Tidak Ditemukan</v>
      </c>
      <c r="F692" s="10" t="str">
        <f>IFERROR(__xludf.DUMMYFUNCTION("XLOOKUP(C692,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2" s="10" t="str">
        <f>IFERROR(__xludf.DUMMYFUNCTION("XLOOKUP($C692,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2" s="10" t="str">
        <f>IFERROR(__xludf.DUMMYFUNCTION("XLOOKUP($C692,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2" s="18"/>
      <c r="J692" s="18"/>
      <c r="K692" s="10" t="str">
        <f>IFERROR(__xludf.DUMMYFUNCTION("XLOOKUP($C692,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2" s="10" t="str">
        <f>IFERROR(__xludf.DUMMYFUNCTION("XLOOKUP($C692,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2" s="8"/>
      <c r="N692" s="8"/>
      <c r="O692" s="8"/>
      <c r="P692" s="8"/>
      <c r="Q692" s="8"/>
      <c r="R692" s="8"/>
      <c r="S692" s="8"/>
      <c r="T692" s="8"/>
      <c r="U692" s="8"/>
    </row>
    <row r="693">
      <c r="A693" s="10" t="s">
        <v>2178</v>
      </c>
      <c r="B693" s="10" t="s">
        <v>2179</v>
      </c>
      <c r="C693" s="12" t="s">
        <v>2188</v>
      </c>
      <c r="D693" s="13" t="s">
        <v>2189</v>
      </c>
      <c r="E693" s="16">
        <f t="array" ref="E693">XLOOKUP(C693,'DATA TK PANEN'!D:D,'DATA TK PANEN'!H:H)</f>
        <v>0</v>
      </c>
      <c r="F693" s="10" t="str">
        <f>IFERROR(__xludf.DUMMYFUNCTION("XLOOKUP(C693,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3" s="10" t="str">
        <f>IFERROR(__xludf.DUMMYFUNCTION("XLOOKUP($C693,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3" s="10" t="str">
        <f>IFERROR(__xludf.DUMMYFUNCTION("XLOOKUP($C693,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3" s="18"/>
      <c r="J693" s="18"/>
      <c r="K693" s="10" t="str">
        <f>IFERROR(__xludf.DUMMYFUNCTION("XLOOKUP($C693,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3" s="10" t="str">
        <f>IFERROR(__xludf.DUMMYFUNCTION("XLOOKUP($C693,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3" s="8"/>
      <c r="N693" s="8"/>
      <c r="O693" s="8"/>
      <c r="P693" s="8"/>
      <c r="Q693" s="8"/>
      <c r="R693" s="8"/>
      <c r="S693" s="8"/>
      <c r="T693" s="8"/>
      <c r="U693" s="8"/>
    </row>
    <row r="694">
      <c r="A694" s="10" t="s">
        <v>2178</v>
      </c>
      <c r="B694" s="10" t="s">
        <v>2179</v>
      </c>
      <c r="C694" s="12" t="s">
        <v>2191</v>
      </c>
      <c r="D694" s="13" t="s">
        <v>2192</v>
      </c>
      <c r="E694" s="16" t="str">
        <f t="array" ref="E694">XLOOKUP(C694,'DATA TK PANEN'!D:D,'DATA TK PANEN'!H:H)</f>
        <v>Tidak Ditemukan</v>
      </c>
      <c r="F694" s="10" t="str">
        <f>IFERROR(__xludf.DUMMYFUNCTION("XLOOKUP(C694,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4" s="10" t="str">
        <f>IFERROR(__xludf.DUMMYFUNCTION("XLOOKUP($C694,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4" s="10" t="str">
        <f>IFERROR(__xludf.DUMMYFUNCTION("XLOOKUP($C694,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4" s="18"/>
      <c r="J694" s="18"/>
      <c r="K694" s="10" t="str">
        <f>IFERROR(__xludf.DUMMYFUNCTION("XLOOKUP($C694,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4" s="10" t="str">
        <f>IFERROR(__xludf.DUMMYFUNCTION("XLOOKUP($C694,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4" s="8"/>
      <c r="N694" s="8"/>
      <c r="O694" s="8"/>
      <c r="P694" s="8"/>
      <c r="Q694" s="8"/>
      <c r="R694" s="8"/>
      <c r="S694" s="8"/>
      <c r="T694" s="8"/>
      <c r="U694" s="8"/>
    </row>
    <row r="695">
      <c r="A695" s="10" t="s">
        <v>2178</v>
      </c>
      <c r="B695" s="10" t="s">
        <v>2179</v>
      </c>
      <c r="C695" s="12" t="s">
        <v>2194</v>
      </c>
      <c r="D695" s="13" t="s">
        <v>2195</v>
      </c>
      <c r="E695" s="16" t="str">
        <f t="array" ref="E695">XLOOKUP(C695,'DATA TK PANEN'!D:D,'DATA TK PANEN'!H:H)</f>
        <v>Tidak Ditemukan</v>
      </c>
      <c r="F695" s="10" t="str">
        <f>IFERROR(__xludf.DUMMYFUNCTION("XLOOKUP(C695,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5" s="10" t="str">
        <f>IFERROR(__xludf.DUMMYFUNCTION("XLOOKUP($C695,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5" s="10" t="str">
        <f>IFERROR(__xludf.DUMMYFUNCTION("XLOOKUP($C695,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5" s="18"/>
      <c r="J695" s="18"/>
      <c r="K695" s="10" t="str">
        <f>IFERROR(__xludf.DUMMYFUNCTION("XLOOKUP($C695,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5" s="10" t="str">
        <f>IFERROR(__xludf.DUMMYFUNCTION("XLOOKUP($C695,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5" s="8"/>
      <c r="N695" s="8"/>
      <c r="O695" s="8"/>
      <c r="P695" s="8"/>
      <c r="Q695" s="8"/>
      <c r="R695" s="8"/>
      <c r="S695" s="8"/>
      <c r="T695" s="8"/>
      <c r="U695" s="8"/>
    </row>
    <row r="696">
      <c r="A696" s="10" t="s">
        <v>2178</v>
      </c>
      <c r="B696" s="10" t="s">
        <v>2179</v>
      </c>
      <c r="C696" s="12" t="s">
        <v>2196</v>
      </c>
      <c r="D696" s="13" t="s">
        <v>2197</v>
      </c>
      <c r="E696" s="16">
        <f t="array" ref="E696">XLOOKUP(C696,'DATA TK PANEN'!D:D,'DATA TK PANEN'!H:H)</f>
        <v>0</v>
      </c>
      <c r="F696" s="10" t="str">
        <f>IFERROR(__xludf.DUMMYFUNCTION("XLOOKUP(C696,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6" s="10" t="str">
        <f>IFERROR(__xludf.DUMMYFUNCTION("XLOOKUP($C696,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6" s="10" t="str">
        <f>IFERROR(__xludf.DUMMYFUNCTION("XLOOKUP($C696,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6" s="18"/>
      <c r="J696" s="18"/>
      <c r="K696" s="10" t="str">
        <f>IFERROR(__xludf.DUMMYFUNCTION("XLOOKUP($C696,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6" s="10" t="str">
        <f>IFERROR(__xludf.DUMMYFUNCTION("XLOOKUP($C696,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6" s="8"/>
      <c r="N696" s="8"/>
      <c r="O696" s="8"/>
      <c r="P696" s="8"/>
      <c r="Q696" s="8"/>
      <c r="R696" s="8"/>
      <c r="S696" s="8"/>
      <c r="T696" s="8"/>
      <c r="U696" s="8"/>
    </row>
    <row r="697">
      <c r="A697" s="10" t="s">
        <v>2178</v>
      </c>
      <c r="B697" s="10" t="s">
        <v>2179</v>
      </c>
      <c r="C697" s="12" t="s">
        <v>2198</v>
      </c>
      <c r="D697" s="13" t="s">
        <v>2199</v>
      </c>
      <c r="E697" s="16" t="str">
        <f t="array" ref="E697">XLOOKUP(C697,'DATA TK PANEN'!D:D,'DATA TK PANEN'!H:H)</f>
        <v>Tidak Ditemukan</v>
      </c>
      <c r="F697" s="10" t="str">
        <f>IFERROR(__xludf.DUMMYFUNCTION("XLOOKUP(C697,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7" s="10" t="str">
        <f>IFERROR(__xludf.DUMMYFUNCTION("XLOOKUP($C697,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7" s="10" t="str">
        <f>IFERROR(__xludf.DUMMYFUNCTION("XLOOKUP($C697,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7" s="18"/>
      <c r="J697" s="18"/>
      <c r="K697" s="10" t="str">
        <f>IFERROR(__xludf.DUMMYFUNCTION("XLOOKUP($C697,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7" s="10" t="str">
        <f>IFERROR(__xludf.DUMMYFUNCTION("XLOOKUP($C697,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7" s="8"/>
      <c r="N697" s="8"/>
      <c r="O697" s="8"/>
      <c r="P697" s="8"/>
      <c r="Q697" s="8"/>
      <c r="R697" s="8"/>
      <c r="S697" s="8"/>
      <c r="T697" s="8"/>
      <c r="U697" s="8"/>
    </row>
    <row r="698">
      <c r="A698" s="10" t="s">
        <v>2178</v>
      </c>
      <c r="B698" s="10" t="s">
        <v>2179</v>
      </c>
      <c r="C698" s="12" t="s">
        <v>2201</v>
      </c>
      <c r="D698" s="13" t="s">
        <v>2202</v>
      </c>
      <c r="E698" s="16" t="str">
        <f t="array" ref="E698">XLOOKUP(C698,'DATA TK PANEN'!D:D,'DATA TK PANEN'!H:H)</f>
        <v>Tidak Ditemukan</v>
      </c>
      <c r="F698" s="10" t="str">
        <f>IFERROR(__xludf.DUMMYFUNCTION("XLOOKUP(C698,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8" s="10" t="str">
        <f>IFERROR(__xludf.DUMMYFUNCTION("XLOOKUP($C698,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8" s="10" t="str">
        <f>IFERROR(__xludf.DUMMYFUNCTION("XLOOKUP($C698,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8" s="18"/>
      <c r="J698" s="18"/>
      <c r="K698" s="10" t="str">
        <f>IFERROR(__xludf.DUMMYFUNCTION("XLOOKUP($C698,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8" s="10" t="str">
        <f>IFERROR(__xludf.DUMMYFUNCTION("XLOOKUP($C698,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8" s="8"/>
      <c r="N698" s="8"/>
      <c r="O698" s="8"/>
      <c r="P698" s="8"/>
      <c r="Q698" s="8"/>
      <c r="R698" s="8"/>
      <c r="S698" s="8"/>
      <c r="T698" s="8"/>
      <c r="U698" s="8"/>
    </row>
    <row r="699">
      <c r="A699" s="10" t="s">
        <v>2178</v>
      </c>
      <c r="B699" s="10" t="s">
        <v>2179</v>
      </c>
      <c r="C699" s="12" t="s">
        <v>2203</v>
      </c>
      <c r="D699" s="13" t="s">
        <v>2204</v>
      </c>
      <c r="E699" s="16">
        <f t="array" ref="E699">XLOOKUP(C699,'DATA TK PANEN'!D:D,'DATA TK PANEN'!H:H)</f>
        <v>7.2</v>
      </c>
      <c r="F699" s="10" t="str">
        <f>IFERROR(__xludf.DUMMYFUNCTION("XLOOKUP(C699,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699" s="10" t="str">
        <f>IFERROR(__xludf.DUMMYFUNCTION("XLOOKUP($C699,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699" s="10" t="str">
        <f>IFERROR(__xludf.DUMMYFUNCTION("XLOOKUP($C699,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699" s="18"/>
      <c r="J699" s="18"/>
      <c r="K699" s="10" t="str">
        <f>IFERROR(__xludf.DUMMYFUNCTION("XLOOKUP($C699,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699" s="10" t="str">
        <f>IFERROR(__xludf.DUMMYFUNCTION("XLOOKUP($C699,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699" s="8"/>
      <c r="N699" s="8"/>
      <c r="O699" s="8"/>
      <c r="P699" s="8"/>
      <c r="Q699" s="8"/>
      <c r="R699" s="8"/>
      <c r="S699" s="8"/>
      <c r="T699" s="8"/>
      <c r="U699" s="8"/>
    </row>
    <row r="700">
      <c r="A700" s="10" t="s">
        <v>2178</v>
      </c>
      <c r="B700" s="10" t="s">
        <v>2179</v>
      </c>
      <c r="C700" s="12" t="s">
        <v>2206</v>
      </c>
      <c r="D700" s="13" t="s">
        <v>2207</v>
      </c>
      <c r="E700" s="16">
        <f t="array" ref="E700">XLOOKUP(C700,'DATA TK PANEN'!D:D,'DATA TK PANEN'!H:H)</f>
        <v>0</v>
      </c>
      <c r="F700" s="10" t="str">
        <f>IFERROR(__xludf.DUMMYFUNCTION("XLOOKUP(C700,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0" s="10" t="str">
        <f>IFERROR(__xludf.DUMMYFUNCTION("XLOOKUP($C700,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0" s="10" t="str">
        <f>IFERROR(__xludf.DUMMYFUNCTION("XLOOKUP($C700,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0" s="18"/>
      <c r="J700" s="18"/>
      <c r="K700" s="10" t="str">
        <f>IFERROR(__xludf.DUMMYFUNCTION("XLOOKUP($C700,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0" s="10" t="str">
        <f>IFERROR(__xludf.DUMMYFUNCTION("XLOOKUP($C700,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0" s="8"/>
      <c r="N700" s="8"/>
      <c r="O700" s="8"/>
      <c r="P700" s="8"/>
      <c r="Q700" s="8"/>
      <c r="R700" s="8"/>
      <c r="S700" s="8"/>
      <c r="T700" s="8"/>
      <c r="U700" s="8"/>
    </row>
    <row r="701">
      <c r="A701" s="10" t="s">
        <v>2178</v>
      </c>
      <c r="B701" s="10" t="s">
        <v>2179</v>
      </c>
      <c r="C701" s="12" t="s">
        <v>2209</v>
      </c>
      <c r="D701" s="13" t="s">
        <v>2210</v>
      </c>
      <c r="E701" s="16">
        <f t="array" ref="E701">XLOOKUP(C701,'DATA TK PANEN'!D:D,'DATA TK PANEN'!H:H)</f>
        <v>208.7</v>
      </c>
      <c r="F701" s="10">
        <f>IFERROR(__xludf.DUMMYFUNCTION("XLOOKUP(C701,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701" s="10">
        <f>IFERROR(__xludf.DUMMYFUNCTION("XLOOKUP($C701,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(AUTO)'!T6:T""))"),39.0)</f>
        <v>39</v>
      </c>
      <c r="H701" s="10">
        <f>IFERROR(__xludf.DUMMYFUNCTION("XLOOKUP($C701,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(AUTO)'!V6:V""))"),39.0)</f>
        <v>39</v>
      </c>
      <c r="I701" s="18"/>
      <c r="J701" s="18"/>
      <c r="K701" s="10" t="str">
        <f>IFERROR(__xludf.DUMMYFUNCTION("XLOOKUP($C701,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1" s="10" t="str">
        <f>IFERROR(__xludf.DUMMYFUNCTION("XLOOKUP($C701,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1" s="8"/>
      <c r="N701" s="8"/>
      <c r="O701" s="8"/>
      <c r="P701" s="8"/>
      <c r="Q701" s="8"/>
      <c r="R701" s="8"/>
      <c r="S701" s="8"/>
      <c r="T701" s="8"/>
      <c r="U701" s="8"/>
    </row>
    <row r="702">
      <c r="A702" s="10" t="s">
        <v>2178</v>
      </c>
      <c r="B702" s="10" t="s">
        <v>2179</v>
      </c>
      <c r="C702" s="12" t="s">
        <v>2212</v>
      </c>
      <c r="D702" s="13" t="s">
        <v>2213</v>
      </c>
      <c r="E702" s="16">
        <f t="array" ref="E702">XLOOKUP(C702,'DATA TK PANEN'!D:D,'DATA TK PANEN'!H:H)</f>
        <v>0</v>
      </c>
      <c r="F702" s="10" t="str">
        <f>IFERROR(__xludf.DUMMYFUNCTION("XLOOKUP(C702,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2" s="10" t="str">
        <f>IFERROR(__xludf.DUMMYFUNCTION("XLOOKUP($C702,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2" s="10" t="str">
        <f>IFERROR(__xludf.DUMMYFUNCTION("XLOOKUP($C702,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2" s="18"/>
      <c r="J702" s="18"/>
      <c r="K702" s="10" t="str">
        <f>IFERROR(__xludf.DUMMYFUNCTION("XLOOKUP($C702,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2" s="10" t="str">
        <f>IFERROR(__xludf.DUMMYFUNCTION("XLOOKUP($C702,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2" s="8"/>
      <c r="N702" s="8"/>
      <c r="O702" s="8"/>
      <c r="P702" s="8"/>
      <c r="Q702" s="8"/>
      <c r="R702" s="8"/>
      <c r="S702" s="8"/>
      <c r="T702" s="8"/>
      <c r="U702" s="8"/>
    </row>
    <row r="703">
      <c r="A703" s="10" t="s">
        <v>2178</v>
      </c>
      <c r="B703" s="10" t="s">
        <v>2179</v>
      </c>
      <c r="C703" s="12" t="s">
        <v>2214</v>
      </c>
      <c r="D703" s="13" t="s">
        <v>2215</v>
      </c>
      <c r="E703" s="16">
        <f t="array" ref="E703">XLOOKUP(C703,'DATA TK PANEN'!D:D,'DATA TK PANEN'!H:H)</f>
        <v>2392.51</v>
      </c>
      <c r="F703" s="10">
        <f>IFERROR(__xludf.DUMMYFUNCTION("XLOOKUP(C703,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(AUTO)'!S6:S""))"),144.0)</f>
        <v>144</v>
      </c>
      <c r="G703" s="10">
        <f>IFERROR(__xludf.DUMMYFUNCTION("XLOOKUP($C703,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(AUTO)'!T6:T""))"),44.0)</f>
        <v>44</v>
      </c>
      <c r="H703" s="10">
        <f>IFERROR(__xludf.DUMMYFUNCTION("XLOOKUP($C703,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(AUTO)'!V6:V""))"),6.0)</f>
        <v>6</v>
      </c>
      <c r="I703" s="18"/>
      <c r="J703" s="18"/>
      <c r="K703" s="10" t="str">
        <f>IFERROR(__xludf.DUMMYFUNCTION("XLOOKUP($C703,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3" s="10" t="str">
        <f>IFERROR(__xludf.DUMMYFUNCTION("XLOOKUP($C703,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3" s="8"/>
      <c r="N703" s="8"/>
      <c r="O703" s="8"/>
      <c r="P703" s="8"/>
      <c r="Q703" s="8"/>
      <c r="R703" s="8"/>
      <c r="S703" s="8"/>
      <c r="T703" s="8"/>
      <c r="U703" s="8"/>
    </row>
    <row r="704">
      <c r="A704" s="10" t="s">
        <v>2178</v>
      </c>
      <c r="B704" s="10" t="s">
        <v>2179</v>
      </c>
      <c r="C704" s="12" t="s">
        <v>2216</v>
      </c>
      <c r="D704" s="13" t="s">
        <v>2217</v>
      </c>
      <c r="E704" s="16">
        <f t="array" ref="E704">XLOOKUP(C704,'DATA TK PANEN'!D:D,'DATA TK PANEN'!H:H)</f>
        <v>0</v>
      </c>
      <c r="F704" s="10" t="str">
        <f>IFERROR(__xludf.DUMMYFUNCTION("XLOOKUP(C704,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4" s="10" t="str">
        <f>IFERROR(__xludf.DUMMYFUNCTION("XLOOKUP($C704,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4" s="10" t="str">
        <f>IFERROR(__xludf.DUMMYFUNCTION("XLOOKUP($C704,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4" s="18"/>
      <c r="J704" s="18"/>
      <c r="K704" s="10" t="str">
        <f>IFERROR(__xludf.DUMMYFUNCTION("XLOOKUP($C704,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4" s="10" t="str">
        <f>IFERROR(__xludf.DUMMYFUNCTION("XLOOKUP($C704,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4" s="8"/>
      <c r="N704" s="8"/>
      <c r="O704" s="8"/>
      <c r="P704" s="8"/>
      <c r="Q704" s="8"/>
      <c r="R704" s="8"/>
      <c r="S704" s="8"/>
      <c r="T704" s="8"/>
      <c r="U704" s="8"/>
    </row>
    <row r="705">
      <c r="A705" s="10" t="s">
        <v>2178</v>
      </c>
      <c r="B705" s="10" t="s">
        <v>2179</v>
      </c>
      <c r="C705" s="12" t="s">
        <v>2218</v>
      </c>
      <c r="D705" s="13" t="s">
        <v>2219</v>
      </c>
      <c r="E705" s="16">
        <f t="array" ref="E705">XLOOKUP(C705,'DATA TK PANEN'!D:D,'DATA TK PANEN'!H:H)</f>
        <v>10.48</v>
      </c>
      <c r="F705" s="10" t="str">
        <f>IFERROR(__xludf.DUMMYFUNCTION("XLOOKUP(C705,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5" s="10" t="str">
        <f>IFERROR(__xludf.DUMMYFUNCTION("XLOOKUP($C705,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5" s="10" t="str">
        <f>IFERROR(__xludf.DUMMYFUNCTION("XLOOKUP($C705,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5" s="18"/>
      <c r="J705" s="18"/>
      <c r="K705" s="10" t="str">
        <f>IFERROR(__xludf.DUMMYFUNCTION("XLOOKUP($C705,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5" s="10" t="str">
        <f>IFERROR(__xludf.DUMMYFUNCTION("XLOOKUP($C705,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5" s="8"/>
      <c r="N705" s="8"/>
      <c r="O705" s="8"/>
      <c r="P705" s="8"/>
      <c r="Q705" s="8"/>
      <c r="R705" s="8"/>
      <c r="S705" s="8"/>
      <c r="T705" s="8"/>
      <c r="U705" s="8"/>
    </row>
    <row r="706">
      <c r="A706" s="10" t="s">
        <v>2178</v>
      </c>
      <c r="B706" s="10" t="s">
        <v>2179</v>
      </c>
      <c r="C706" s="12" t="s">
        <v>2220</v>
      </c>
      <c r="D706" s="13" t="s">
        <v>2221</v>
      </c>
      <c r="E706" s="16">
        <f t="array" ref="E706">XLOOKUP(C706,'DATA TK PANEN'!D:D,'DATA TK PANEN'!H:H)</f>
        <v>0</v>
      </c>
      <c r="F706" s="10" t="str">
        <f>IFERROR(__xludf.DUMMYFUNCTION("XLOOKUP(C706,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6" s="10" t="str">
        <f>IFERROR(__xludf.DUMMYFUNCTION("XLOOKUP($C706,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6" s="10" t="str">
        <f>IFERROR(__xludf.DUMMYFUNCTION("XLOOKUP($C706,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6" s="18"/>
      <c r="J706" s="18"/>
      <c r="K706" s="10" t="str">
        <f>IFERROR(__xludf.DUMMYFUNCTION("XLOOKUP($C706,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6" s="10" t="str">
        <f>IFERROR(__xludf.DUMMYFUNCTION("XLOOKUP($C706,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6" s="8"/>
      <c r="N706" s="8"/>
      <c r="O706" s="8"/>
      <c r="P706" s="8"/>
      <c r="Q706" s="8"/>
      <c r="R706" s="8"/>
      <c r="S706" s="8"/>
      <c r="T706" s="8"/>
      <c r="U706" s="8"/>
    </row>
    <row r="707">
      <c r="A707" s="10" t="s">
        <v>2178</v>
      </c>
      <c r="B707" s="10" t="s">
        <v>2179</v>
      </c>
      <c r="C707" s="12" t="s">
        <v>2223</v>
      </c>
      <c r="D707" s="13" t="s">
        <v>2224</v>
      </c>
      <c r="E707" s="16">
        <f t="array" ref="E707">XLOOKUP(C707,'DATA TK PANEN'!D:D,'DATA TK PANEN'!H:H)</f>
        <v>36.78</v>
      </c>
      <c r="F707" s="10" t="str">
        <f>IFERROR(__xludf.DUMMYFUNCTION("XLOOKUP(C707,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7" s="10" t="str">
        <f>IFERROR(__xludf.DUMMYFUNCTION("XLOOKUP($C707,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7" s="10" t="str">
        <f>IFERROR(__xludf.DUMMYFUNCTION("XLOOKUP($C707,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7" s="18"/>
      <c r="J707" s="18"/>
      <c r="K707" s="10" t="str">
        <f>IFERROR(__xludf.DUMMYFUNCTION("XLOOKUP($C707,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7" s="10" t="str">
        <f>IFERROR(__xludf.DUMMYFUNCTION("XLOOKUP($C707,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7" s="8"/>
      <c r="N707" s="8"/>
      <c r="O707" s="8"/>
      <c r="P707" s="8"/>
      <c r="Q707" s="8"/>
      <c r="R707" s="8"/>
      <c r="S707" s="8"/>
      <c r="T707" s="8"/>
      <c r="U707" s="8"/>
    </row>
    <row r="708">
      <c r="A708" s="10" t="s">
        <v>2178</v>
      </c>
      <c r="B708" s="10" t="s">
        <v>2179</v>
      </c>
      <c r="C708" s="12" t="s">
        <v>2226</v>
      </c>
      <c r="D708" s="13" t="s">
        <v>2227</v>
      </c>
      <c r="E708" s="16" t="str">
        <f t="array" ref="E708">XLOOKUP(C708,'DATA TK PANEN'!D:D,'DATA TK PANEN'!H:H)</f>
        <v>Tidak Ditemukan</v>
      </c>
      <c r="F708" s="10" t="str">
        <f>IFERROR(__xludf.DUMMYFUNCTION("XLOOKUP(C708,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8" s="10" t="str">
        <f>IFERROR(__xludf.DUMMYFUNCTION("XLOOKUP($C708,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8" s="10" t="str">
        <f>IFERROR(__xludf.DUMMYFUNCTION("XLOOKUP($C708,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8" s="18"/>
      <c r="J708" s="18"/>
      <c r="K708" s="10" t="str">
        <f>IFERROR(__xludf.DUMMYFUNCTION("XLOOKUP($C708,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8" s="10" t="str">
        <f>IFERROR(__xludf.DUMMYFUNCTION("XLOOKUP($C708,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8" s="8"/>
      <c r="N708" s="8"/>
      <c r="O708" s="8"/>
      <c r="P708" s="8"/>
      <c r="Q708" s="8"/>
      <c r="R708" s="8"/>
      <c r="S708" s="8"/>
      <c r="T708" s="8"/>
      <c r="U708" s="8"/>
    </row>
    <row r="709">
      <c r="A709" s="10" t="s">
        <v>2178</v>
      </c>
      <c r="B709" s="10" t="s">
        <v>2179</v>
      </c>
      <c r="C709" s="12" t="s">
        <v>2229</v>
      </c>
      <c r="D709" s="13" t="s">
        <v>2230</v>
      </c>
      <c r="E709" s="16">
        <f t="array" ref="E709">XLOOKUP(C709,'DATA TK PANEN'!D:D,'DATA TK PANEN'!H:H)</f>
        <v>0</v>
      </c>
      <c r="F709" s="10" t="str">
        <f>IFERROR(__xludf.DUMMYFUNCTION("XLOOKUP(C709,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09" s="10" t="str">
        <f>IFERROR(__xludf.DUMMYFUNCTION("XLOOKUP($C709,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09" s="10" t="str">
        <f>IFERROR(__xludf.DUMMYFUNCTION("XLOOKUP($C709,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09" s="18"/>
      <c r="J709" s="18"/>
      <c r="K709" s="10" t="str">
        <f>IFERROR(__xludf.DUMMYFUNCTION("XLOOKUP($C709,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09" s="10" t="str">
        <f>IFERROR(__xludf.DUMMYFUNCTION("XLOOKUP($C709,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09" s="8"/>
      <c r="N709" s="8"/>
      <c r="O709" s="8"/>
      <c r="P709" s="8"/>
      <c r="Q709" s="8"/>
      <c r="R709" s="8"/>
      <c r="S709" s="8"/>
      <c r="T709" s="8"/>
      <c r="U709" s="8"/>
    </row>
    <row r="710">
      <c r="A710" s="10" t="s">
        <v>2178</v>
      </c>
      <c r="B710" s="10" t="s">
        <v>2179</v>
      </c>
      <c r="C710" s="12" t="s">
        <v>2232</v>
      </c>
      <c r="D710" s="13" t="s">
        <v>2233</v>
      </c>
      <c r="E710" s="16" t="str">
        <f t="array" ref="E710">XLOOKUP(C710,'DATA TK PANEN'!D:D,'DATA TK PANEN'!H:H)</f>
        <v>Tidak Ditemukan</v>
      </c>
      <c r="F710" s="10" t="str">
        <f>IFERROR(__xludf.DUMMYFUNCTION("XLOOKUP(C710,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0" s="10" t="str">
        <f>IFERROR(__xludf.DUMMYFUNCTION("XLOOKUP($C710,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0" s="10" t="str">
        <f>IFERROR(__xludf.DUMMYFUNCTION("XLOOKUP($C710,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0" s="18"/>
      <c r="J710" s="18"/>
      <c r="K710" s="10" t="str">
        <f>IFERROR(__xludf.DUMMYFUNCTION("XLOOKUP($C710,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0" s="10" t="str">
        <f>IFERROR(__xludf.DUMMYFUNCTION("XLOOKUP($C710,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0" s="8"/>
      <c r="N710" s="8"/>
      <c r="O710" s="8"/>
      <c r="P710" s="8"/>
      <c r="Q710" s="8"/>
      <c r="R710" s="8"/>
      <c r="S710" s="8"/>
      <c r="T710" s="8"/>
      <c r="U710" s="8"/>
    </row>
    <row r="711">
      <c r="A711" s="10" t="s">
        <v>2178</v>
      </c>
      <c r="B711" s="10" t="s">
        <v>2179</v>
      </c>
      <c r="C711" s="12" t="s">
        <v>2234</v>
      </c>
      <c r="D711" s="13" t="s">
        <v>2235</v>
      </c>
      <c r="E711" s="16">
        <f t="array" ref="E711">XLOOKUP(C711,'DATA TK PANEN'!D:D,'DATA TK PANEN'!H:H)</f>
        <v>941.98</v>
      </c>
      <c r="F711" s="10" t="str">
        <f>IFERROR(__xludf.DUMMYFUNCTION("XLOOKUP(C711,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1" s="10" t="str">
        <f>IFERROR(__xludf.DUMMYFUNCTION("XLOOKUP($C711,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1" s="10" t="str">
        <f>IFERROR(__xludf.DUMMYFUNCTION("XLOOKUP($C711,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1" s="18"/>
      <c r="J711" s="18"/>
      <c r="K711" s="10" t="str">
        <f>IFERROR(__xludf.DUMMYFUNCTION("XLOOKUP($C711,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1" s="10" t="str">
        <f>IFERROR(__xludf.DUMMYFUNCTION("XLOOKUP($C711,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1" s="8"/>
      <c r="N711" s="8"/>
      <c r="O711" s="8"/>
      <c r="P711" s="8"/>
      <c r="Q711" s="8"/>
      <c r="R711" s="8"/>
      <c r="S711" s="8"/>
      <c r="T711" s="8"/>
      <c r="U711" s="8"/>
    </row>
    <row r="712">
      <c r="A712" s="10" t="s">
        <v>2178</v>
      </c>
      <c r="B712" s="10" t="s">
        <v>2179</v>
      </c>
      <c r="C712" s="12" t="s">
        <v>2236</v>
      </c>
      <c r="D712" s="13" t="s">
        <v>2237</v>
      </c>
      <c r="E712" s="16">
        <f t="array" ref="E712">XLOOKUP(C712,'DATA TK PANEN'!D:D,'DATA TK PANEN'!H:H)</f>
        <v>0</v>
      </c>
      <c r="F712" s="10" t="str">
        <f>IFERROR(__xludf.DUMMYFUNCTION("XLOOKUP(C712,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2" s="10" t="str">
        <f>IFERROR(__xludf.DUMMYFUNCTION("XLOOKUP($C712,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2" s="10" t="str">
        <f>IFERROR(__xludf.DUMMYFUNCTION("XLOOKUP($C712,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2" s="18"/>
      <c r="J712" s="18"/>
      <c r="K712" s="10" t="str">
        <f>IFERROR(__xludf.DUMMYFUNCTION("XLOOKUP($C712,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2" s="10" t="str">
        <f>IFERROR(__xludf.DUMMYFUNCTION("XLOOKUP($C712,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2" s="8"/>
      <c r="N712" s="8"/>
      <c r="O712" s="8"/>
      <c r="P712" s="8"/>
      <c r="Q712" s="8"/>
      <c r="R712" s="8"/>
      <c r="S712" s="8"/>
      <c r="T712" s="8"/>
      <c r="U712" s="8"/>
    </row>
    <row r="713">
      <c r="A713" s="10" t="s">
        <v>2178</v>
      </c>
      <c r="B713" s="10" t="s">
        <v>2179</v>
      </c>
      <c r="C713" s="12" t="s">
        <v>2238</v>
      </c>
      <c r="D713" s="13" t="s">
        <v>2239</v>
      </c>
      <c r="E713" s="16">
        <f t="array" ref="E713">XLOOKUP(C713,'DATA TK PANEN'!D:D,'DATA TK PANEN'!H:H)</f>
        <v>39</v>
      </c>
      <c r="F713" s="10" t="str">
        <f>IFERROR(__xludf.DUMMYFUNCTION("XLOOKUP(C713,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3" s="10" t="str">
        <f>IFERROR(__xludf.DUMMYFUNCTION("XLOOKUP($C713,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3" s="10" t="str">
        <f>IFERROR(__xludf.DUMMYFUNCTION("XLOOKUP($C713,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3" s="18"/>
      <c r="J713" s="18"/>
      <c r="K713" s="10" t="str">
        <f>IFERROR(__xludf.DUMMYFUNCTION("XLOOKUP($C713,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3" s="10" t="str">
        <f>IFERROR(__xludf.DUMMYFUNCTION("XLOOKUP($C713,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3" s="8"/>
      <c r="N713" s="8"/>
      <c r="O713" s="8"/>
      <c r="P713" s="8"/>
      <c r="Q713" s="8"/>
      <c r="R713" s="8"/>
      <c r="S713" s="8"/>
      <c r="T713" s="8"/>
      <c r="U713" s="8"/>
    </row>
    <row r="714">
      <c r="A714" s="10" t="s">
        <v>2178</v>
      </c>
      <c r="B714" s="10" t="s">
        <v>2179</v>
      </c>
      <c r="C714" s="12" t="s">
        <v>2240</v>
      </c>
      <c r="D714" s="13" t="s">
        <v>2241</v>
      </c>
      <c r="E714" s="16">
        <f t="array" ref="E714">XLOOKUP(C714,'DATA TK PANEN'!D:D,'DATA TK PANEN'!H:H)</f>
        <v>4.34</v>
      </c>
      <c r="F714" s="10" t="str">
        <f>IFERROR(__xludf.DUMMYFUNCTION("XLOOKUP(C714,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4" s="10" t="str">
        <f>IFERROR(__xludf.DUMMYFUNCTION("XLOOKUP($C714,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4" s="10" t="str">
        <f>IFERROR(__xludf.DUMMYFUNCTION("XLOOKUP($C714,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4" s="18"/>
      <c r="J714" s="18"/>
      <c r="K714" s="10" t="str">
        <f>IFERROR(__xludf.DUMMYFUNCTION("XLOOKUP($C714,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4" s="10" t="str">
        <f>IFERROR(__xludf.DUMMYFUNCTION("XLOOKUP($C714,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4" s="8"/>
      <c r="N714" s="8"/>
      <c r="O714" s="8"/>
      <c r="P714" s="8"/>
      <c r="Q714" s="8"/>
      <c r="R714" s="8"/>
      <c r="S714" s="8"/>
      <c r="T714" s="8"/>
      <c r="U714" s="8"/>
    </row>
    <row r="715">
      <c r="A715" s="10" t="s">
        <v>2178</v>
      </c>
      <c r="B715" s="10" t="s">
        <v>2179</v>
      </c>
      <c r="C715" s="12" t="s">
        <v>2243</v>
      </c>
      <c r="D715" s="13" t="s">
        <v>2244</v>
      </c>
      <c r="E715" s="16">
        <f t="array" ref="E715">XLOOKUP(C715,'DATA TK PANEN'!D:D,'DATA TK PANEN'!H:H)</f>
        <v>0</v>
      </c>
      <c r="F715" s="10" t="str">
        <f>IFERROR(__xludf.DUMMYFUNCTION("XLOOKUP(C715,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5" s="10" t="str">
        <f>IFERROR(__xludf.DUMMYFUNCTION("XLOOKUP($C715,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5" s="10" t="str">
        <f>IFERROR(__xludf.DUMMYFUNCTION("XLOOKUP($C715,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5" s="18"/>
      <c r="J715" s="18"/>
      <c r="K715" s="10" t="str">
        <f>IFERROR(__xludf.DUMMYFUNCTION("XLOOKUP($C715,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5" s="10" t="str">
        <f>IFERROR(__xludf.DUMMYFUNCTION("XLOOKUP($C715,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5" s="8"/>
      <c r="N715" s="8"/>
      <c r="O715" s="8"/>
      <c r="P715" s="8"/>
      <c r="Q715" s="8"/>
      <c r="R715" s="8"/>
      <c r="S715" s="8"/>
      <c r="T715" s="8"/>
      <c r="U715" s="8"/>
    </row>
    <row r="716">
      <c r="A716" s="10" t="s">
        <v>2178</v>
      </c>
      <c r="B716" s="10" t="s">
        <v>2179</v>
      </c>
      <c r="C716" s="12" t="s">
        <v>2245</v>
      </c>
      <c r="D716" s="13" t="s">
        <v>2246</v>
      </c>
      <c r="E716" s="16">
        <f t="array" ref="E716">XLOOKUP(C716,'DATA TK PANEN'!D:D,'DATA TK PANEN'!H:H)</f>
        <v>2.92</v>
      </c>
      <c r="F716" s="10" t="str">
        <f>IFERROR(__xludf.DUMMYFUNCTION("XLOOKUP(C716,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6" s="10" t="str">
        <f>IFERROR(__xludf.DUMMYFUNCTION("XLOOKUP($C716,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6" s="10" t="str">
        <f>IFERROR(__xludf.DUMMYFUNCTION("XLOOKUP($C716,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6" s="18"/>
      <c r="J716" s="18"/>
      <c r="K716" s="10" t="str">
        <f>IFERROR(__xludf.DUMMYFUNCTION("XLOOKUP($C716,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6" s="10" t="str">
        <f>IFERROR(__xludf.DUMMYFUNCTION("XLOOKUP($C716,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6" s="8"/>
      <c r="N716" s="8"/>
      <c r="O716" s="8"/>
      <c r="P716" s="8"/>
      <c r="Q716" s="8"/>
      <c r="R716" s="8"/>
      <c r="S716" s="8"/>
      <c r="T716" s="8"/>
      <c r="U716" s="8"/>
    </row>
    <row r="717">
      <c r="A717" s="10" t="s">
        <v>2178</v>
      </c>
      <c r="B717" s="10" t="s">
        <v>2179</v>
      </c>
      <c r="C717" s="12" t="s">
        <v>2247</v>
      </c>
      <c r="D717" s="13" t="s">
        <v>2248</v>
      </c>
      <c r="E717" s="16">
        <f t="array" ref="E717">XLOOKUP(C717,'DATA TK PANEN'!D:D,'DATA TK PANEN'!H:H)</f>
        <v>12.71</v>
      </c>
      <c r="F717" s="10" t="str">
        <f>IFERROR(__xludf.DUMMYFUNCTION("XLOOKUP(C717,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7" s="10" t="str">
        <f>IFERROR(__xludf.DUMMYFUNCTION("XLOOKUP($C717,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7" s="10" t="str">
        <f>IFERROR(__xludf.DUMMYFUNCTION("XLOOKUP($C717,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7" s="18"/>
      <c r="J717" s="18"/>
      <c r="K717" s="10" t="str">
        <f>IFERROR(__xludf.DUMMYFUNCTION("XLOOKUP($C717,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7" s="10" t="str">
        <f>IFERROR(__xludf.DUMMYFUNCTION("XLOOKUP($C717,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7" s="8"/>
      <c r="N717" s="8"/>
      <c r="O717" s="8"/>
      <c r="P717" s="8"/>
      <c r="Q717" s="8"/>
      <c r="R717" s="8"/>
      <c r="S717" s="8"/>
      <c r="T717" s="8"/>
      <c r="U717" s="8"/>
    </row>
    <row r="718">
      <c r="A718" s="10" t="s">
        <v>2178</v>
      </c>
      <c r="B718" s="10" t="s">
        <v>2179</v>
      </c>
      <c r="C718" s="12" t="s">
        <v>2249</v>
      </c>
      <c r="D718" s="13" t="s">
        <v>2250</v>
      </c>
      <c r="E718" s="16">
        <f t="array" ref="E718">XLOOKUP(C718,'DATA TK PANEN'!D:D,'DATA TK PANEN'!H:H)</f>
        <v>29.19</v>
      </c>
      <c r="F718" s="10" t="str">
        <f>IFERROR(__xludf.DUMMYFUNCTION("XLOOKUP(C718,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8" s="10" t="str">
        <f>IFERROR(__xludf.DUMMYFUNCTION("XLOOKUP($C718,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8" s="10" t="str">
        <f>IFERROR(__xludf.DUMMYFUNCTION("XLOOKUP($C718,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8" s="18"/>
      <c r="J718" s="18"/>
      <c r="K718" s="10" t="str">
        <f>IFERROR(__xludf.DUMMYFUNCTION("XLOOKUP($C718,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8" s="10" t="str">
        <f>IFERROR(__xludf.DUMMYFUNCTION("XLOOKUP($C718,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8" s="8"/>
      <c r="N718" s="8"/>
      <c r="O718" s="8"/>
      <c r="P718" s="8"/>
      <c r="Q718" s="8"/>
      <c r="R718" s="8"/>
      <c r="S718" s="8"/>
      <c r="T718" s="8"/>
      <c r="U718" s="8"/>
    </row>
    <row r="719">
      <c r="A719" s="10" t="s">
        <v>2178</v>
      </c>
      <c r="B719" s="10" t="s">
        <v>2179</v>
      </c>
      <c r="C719" s="12" t="s">
        <v>2251</v>
      </c>
      <c r="D719" s="13" t="s">
        <v>2252</v>
      </c>
      <c r="E719" s="16">
        <f t="array" ref="E719">XLOOKUP(C719,'DATA TK PANEN'!D:D,'DATA TK PANEN'!H:H)</f>
        <v>0</v>
      </c>
      <c r="F719" s="10" t="str">
        <f>IFERROR(__xludf.DUMMYFUNCTION("XLOOKUP(C719,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19" s="10" t="str">
        <f>IFERROR(__xludf.DUMMYFUNCTION("XLOOKUP($C719,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19" s="10" t="str">
        <f>IFERROR(__xludf.DUMMYFUNCTION("XLOOKUP($C719,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19" s="18"/>
      <c r="J719" s="18"/>
      <c r="K719" s="10" t="str">
        <f>IFERROR(__xludf.DUMMYFUNCTION("XLOOKUP($C719,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19" s="10" t="str">
        <f>IFERROR(__xludf.DUMMYFUNCTION("XLOOKUP($C719,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19" s="8"/>
      <c r="N719" s="8"/>
      <c r="O719" s="8"/>
      <c r="P719" s="8"/>
      <c r="Q719" s="8"/>
      <c r="R719" s="8"/>
      <c r="S719" s="8"/>
      <c r="T719" s="8"/>
      <c r="U719" s="8"/>
    </row>
    <row r="720">
      <c r="A720" s="10" t="s">
        <v>2178</v>
      </c>
      <c r="B720" s="10" t="s">
        <v>2179</v>
      </c>
      <c r="C720" s="12" t="s">
        <v>2253</v>
      </c>
      <c r="D720" s="13" t="s">
        <v>2254</v>
      </c>
      <c r="E720" s="16">
        <f t="array" ref="E720">XLOOKUP(C720,'DATA TK PANEN'!D:D,'DATA TK PANEN'!H:H)</f>
        <v>1259.23</v>
      </c>
      <c r="F720" s="10">
        <f>IFERROR(__xludf.DUMMYFUNCTION("XLOOKUP(C720,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(AUTO)'!S6:S""))"),76.0)</f>
        <v>76</v>
      </c>
      <c r="G720" s="10">
        <f>IFERROR(__xludf.DUMMYFUNCTION("XLOOKUP($C720,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(AUTO)'!T6:T""))"),297.0)</f>
        <v>297</v>
      </c>
      <c r="H720" s="10">
        <f>IFERROR(__xludf.DUMMYFUNCTION("XLOOKUP($C720,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(AUTO)'!V6:V""))"),297.0)</f>
        <v>297</v>
      </c>
      <c r="I720" s="18"/>
      <c r="J720" s="18"/>
      <c r="K720" s="10" t="str">
        <f>IFERROR(__xludf.DUMMYFUNCTION("XLOOKUP($C720,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0" s="10" t="str">
        <f>IFERROR(__xludf.DUMMYFUNCTION("XLOOKUP($C720,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0" s="8"/>
      <c r="N720" s="8"/>
      <c r="O720" s="8"/>
      <c r="P720" s="8"/>
      <c r="Q720" s="8"/>
      <c r="R720" s="8"/>
      <c r="S720" s="8"/>
      <c r="T720" s="8"/>
      <c r="U720" s="8"/>
    </row>
    <row r="721">
      <c r="A721" s="10" t="s">
        <v>2178</v>
      </c>
      <c r="B721" s="10" t="s">
        <v>2179</v>
      </c>
      <c r="C721" s="12" t="s">
        <v>2255</v>
      </c>
      <c r="D721" s="13" t="s">
        <v>2256</v>
      </c>
      <c r="E721" s="16">
        <f t="array" ref="E721">XLOOKUP(C721,'DATA TK PANEN'!D:D,'DATA TK PANEN'!H:H)</f>
        <v>2688.82</v>
      </c>
      <c r="F721" s="10">
        <f>IFERROR(__xludf.DUMMYFUNCTION("XLOOKUP(C721,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(AUTO)'!S6:S""))"),162.0)</f>
        <v>162</v>
      </c>
      <c r="G721" s="10">
        <f>IFERROR(__xludf.DUMMYFUNCTION("XLOOKUP($C721,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(AUTO)'!T6:T""))"),123.0)</f>
        <v>123</v>
      </c>
      <c r="H721" s="10">
        <f>IFERROR(__xludf.DUMMYFUNCTION("XLOOKUP($C721,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(AUTO)'!V6:V""))"),148.0)</f>
        <v>148</v>
      </c>
      <c r="I721" s="18"/>
      <c r="J721" s="18"/>
      <c r="K721" s="10" t="str">
        <f>IFERROR(__xludf.DUMMYFUNCTION("XLOOKUP($C721,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1" s="10" t="str">
        <f>IFERROR(__xludf.DUMMYFUNCTION("XLOOKUP($C721,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1" s="8"/>
      <c r="N721" s="8"/>
      <c r="O721" s="8"/>
      <c r="P721" s="8"/>
      <c r="Q721" s="8"/>
      <c r="R721" s="8"/>
      <c r="S721" s="8"/>
      <c r="T721" s="8"/>
      <c r="U721" s="8"/>
    </row>
    <row r="722">
      <c r="A722" s="10" t="s">
        <v>2178</v>
      </c>
      <c r="B722" s="10" t="s">
        <v>2179</v>
      </c>
      <c r="C722" s="12" t="s">
        <v>2258</v>
      </c>
      <c r="D722" s="13" t="s">
        <v>2259</v>
      </c>
      <c r="E722" s="16">
        <f t="array" ref="E722">XLOOKUP(C722,'DATA TK PANEN'!D:D,'DATA TK PANEN'!H:H)</f>
        <v>0</v>
      </c>
      <c r="F722" s="10" t="str">
        <f>IFERROR(__xludf.DUMMYFUNCTION("XLOOKUP(C722,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2" s="10" t="str">
        <f>IFERROR(__xludf.DUMMYFUNCTION("XLOOKUP($C722,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2" s="10" t="str">
        <f>IFERROR(__xludf.DUMMYFUNCTION("XLOOKUP($C722,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2" s="18"/>
      <c r="J722" s="18"/>
      <c r="K722" s="10" t="str">
        <f>IFERROR(__xludf.DUMMYFUNCTION("XLOOKUP($C722,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2" s="10" t="str">
        <f>IFERROR(__xludf.DUMMYFUNCTION("XLOOKUP($C722,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2" s="8"/>
      <c r="N722" s="8"/>
      <c r="O722" s="8"/>
      <c r="P722" s="8"/>
      <c r="Q722" s="8"/>
      <c r="R722" s="8"/>
      <c r="S722" s="8"/>
      <c r="T722" s="8"/>
      <c r="U722" s="8"/>
    </row>
    <row r="723">
      <c r="A723" s="10" t="s">
        <v>2178</v>
      </c>
      <c r="B723" s="10" t="s">
        <v>2179</v>
      </c>
      <c r="C723" s="12" t="s">
        <v>2260</v>
      </c>
      <c r="D723" s="13" t="s">
        <v>2261</v>
      </c>
      <c r="E723" s="16">
        <f t="array" ref="E723">XLOOKUP(C723,'DATA TK PANEN'!D:D,'DATA TK PANEN'!H:H)</f>
        <v>24</v>
      </c>
      <c r="F723" s="10" t="str">
        <f>IFERROR(__xludf.DUMMYFUNCTION("XLOOKUP(C723,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3" s="10" t="str">
        <f>IFERROR(__xludf.DUMMYFUNCTION("XLOOKUP($C723,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3" s="10" t="str">
        <f>IFERROR(__xludf.DUMMYFUNCTION("XLOOKUP($C723,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3" s="18"/>
      <c r="J723" s="18"/>
      <c r="K723" s="10" t="str">
        <f>IFERROR(__xludf.DUMMYFUNCTION("XLOOKUP($C723,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3" s="10" t="str">
        <f>IFERROR(__xludf.DUMMYFUNCTION("XLOOKUP($C723,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3" s="8"/>
      <c r="N723" s="8"/>
      <c r="O723" s="8"/>
      <c r="P723" s="8"/>
      <c r="Q723" s="8"/>
      <c r="R723" s="8"/>
      <c r="S723" s="8"/>
      <c r="T723" s="8"/>
      <c r="U723" s="8"/>
    </row>
    <row r="724">
      <c r="A724" s="10" t="s">
        <v>2178</v>
      </c>
      <c r="B724" s="10" t="s">
        <v>2179</v>
      </c>
      <c r="C724" s="12" t="s">
        <v>2262</v>
      </c>
      <c r="D724" s="13" t="s">
        <v>2263</v>
      </c>
      <c r="E724" s="16">
        <f t="array" ref="E724">XLOOKUP(C724,'DATA TK PANEN'!D:D,'DATA TK PANEN'!H:H)</f>
        <v>0</v>
      </c>
      <c r="F724" s="10" t="str">
        <f>IFERROR(__xludf.DUMMYFUNCTION("XLOOKUP(C724,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4" s="10" t="str">
        <f>IFERROR(__xludf.DUMMYFUNCTION("XLOOKUP($C724,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4" s="10" t="str">
        <f>IFERROR(__xludf.DUMMYFUNCTION("XLOOKUP($C724,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4" s="18"/>
      <c r="J724" s="18"/>
      <c r="K724" s="10" t="str">
        <f>IFERROR(__xludf.DUMMYFUNCTION("XLOOKUP($C724,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4" s="10" t="str">
        <f>IFERROR(__xludf.DUMMYFUNCTION("XLOOKUP($C724,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4" s="8"/>
      <c r="N724" s="8"/>
      <c r="O724" s="8"/>
      <c r="P724" s="8"/>
      <c r="Q724" s="8"/>
      <c r="R724" s="8"/>
      <c r="S724" s="8"/>
      <c r="T724" s="8"/>
      <c r="U724" s="8"/>
    </row>
    <row r="725">
      <c r="A725" s="10" t="s">
        <v>2178</v>
      </c>
      <c r="B725" s="10" t="s">
        <v>2179</v>
      </c>
      <c r="C725" s="12" t="s">
        <v>2264</v>
      </c>
      <c r="D725" s="13" t="s">
        <v>2265</v>
      </c>
      <c r="E725" s="16">
        <f t="array" ref="E725">XLOOKUP(C725,'DATA TK PANEN'!D:D,'DATA TK PANEN'!H:H)</f>
        <v>0</v>
      </c>
      <c r="F725" s="10" t="str">
        <f>IFERROR(__xludf.DUMMYFUNCTION("XLOOKUP(C725,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5" s="10" t="str">
        <f>IFERROR(__xludf.DUMMYFUNCTION("XLOOKUP($C725,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5" s="10" t="str">
        <f>IFERROR(__xludf.DUMMYFUNCTION("XLOOKUP($C725,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5" s="18"/>
      <c r="J725" s="18"/>
      <c r="K725" s="10" t="str">
        <f>IFERROR(__xludf.DUMMYFUNCTION("XLOOKUP($C725,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5" s="10" t="str">
        <f>IFERROR(__xludf.DUMMYFUNCTION("XLOOKUP($C725,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5" s="8"/>
      <c r="N725" s="8"/>
      <c r="O725" s="8"/>
      <c r="P725" s="8"/>
      <c r="Q725" s="8"/>
      <c r="R725" s="8"/>
      <c r="S725" s="8"/>
      <c r="T725" s="8"/>
      <c r="U725" s="8"/>
    </row>
    <row r="726">
      <c r="A726" s="10" t="s">
        <v>2178</v>
      </c>
      <c r="B726" s="10" t="s">
        <v>2179</v>
      </c>
      <c r="C726" s="12" t="s">
        <v>2266</v>
      </c>
      <c r="D726" s="13" t="s">
        <v>2267</v>
      </c>
      <c r="E726" s="16">
        <f t="array" ref="E726">XLOOKUP(C726,'DATA TK PANEN'!D:D,'DATA TK PANEN'!H:H)</f>
        <v>0</v>
      </c>
      <c r="F726" s="10" t="str">
        <f>IFERROR(__xludf.DUMMYFUNCTION("XLOOKUP(C726,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6" s="10" t="str">
        <f>IFERROR(__xludf.DUMMYFUNCTION("XLOOKUP($C726,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6" s="10" t="str">
        <f>IFERROR(__xludf.DUMMYFUNCTION("XLOOKUP($C726,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6" s="18"/>
      <c r="J726" s="18"/>
      <c r="K726" s="10" t="str">
        <f>IFERROR(__xludf.DUMMYFUNCTION("XLOOKUP($C726,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6" s="10" t="str">
        <f>IFERROR(__xludf.DUMMYFUNCTION("XLOOKUP($C726,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6" s="8"/>
      <c r="N726" s="8"/>
      <c r="O726" s="8"/>
      <c r="P726" s="8"/>
      <c r="Q726" s="8"/>
      <c r="R726" s="8"/>
      <c r="S726" s="8"/>
      <c r="T726" s="8"/>
      <c r="U726" s="8"/>
    </row>
    <row r="727">
      <c r="A727" s="10" t="s">
        <v>2178</v>
      </c>
      <c r="B727" s="10" t="s">
        <v>2179</v>
      </c>
      <c r="C727" s="12" t="s">
        <v>2268</v>
      </c>
      <c r="D727" s="13" t="s">
        <v>2269</v>
      </c>
      <c r="E727" s="16">
        <f t="array" ref="E727">XLOOKUP(C727,'DATA TK PANEN'!D:D,'DATA TK PANEN'!H:H)</f>
        <v>0</v>
      </c>
      <c r="F727" s="10" t="str">
        <f>IFERROR(__xludf.DUMMYFUNCTION("XLOOKUP(C727,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7" s="10" t="str">
        <f>IFERROR(__xludf.DUMMYFUNCTION("XLOOKUP($C727,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7" s="10" t="str">
        <f>IFERROR(__xludf.DUMMYFUNCTION("XLOOKUP($C727,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7" s="18"/>
      <c r="J727" s="18"/>
      <c r="K727" s="10" t="str">
        <f>IFERROR(__xludf.DUMMYFUNCTION("XLOOKUP($C727,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7" s="10" t="str">
        <f>IFERROR(__xludf.DUMMYFUNCTION("XLOOKUP($C727,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7" s="8"/>
      <c r="N727" s="8"/>
      <c r="O727" s="8"/>
      <c r="P727" s="8"/>
      <c r="Q727" s="8"/>
      <c r="R727" s="8"/>
      <c r="S727" s="8"/>
      <c r="T727" s="8"/>
      <c r="U727" s="8"/>
    </row>
    <row r="728">
      <c r="A728" s="10" t="s">
        <v>2178</v>
      </c>
      <c r="B728" s="10" t="s">
        <v>2179</v>
      </c>
      <c r="C728" s="12" t="s">
        <v>2271</v>
      </c>
      <c r="D728" s="13" t="s">
        <v>2272</v>
      </c>
      <c r="E728" s="16" t="str">
        <f t="array" ref="E728">XLOOKUP(C728,'DATA TK PANEN'!D:D,'DATA TK PANEN'!H:H)</f>
        <v>Tidak Ditemukan</v>
      </c>
      <c r="F728" s="10" t="str">
        <f>IFERROR(__xludf.DUMMYFUNCTION("XLOOKUP(C728,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8" s="10" t="str">
        <f>IFERROR(__xludf.DUMMYFUNCTION("XLOOKUP($C728,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8" s="10" t="str">
        <f>IFERROR(__xludf.DUMMYFUNCTION("XLOOKUP($C728,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8" s="18"/>
      <c r="J728" s="18"/>
      <c r="K728" s="10" t="str">
        <f>IFERROR(__xludf.DUMMYFUNCTION("XLOOKUP($C728,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8" s="10" t="str">
        <f>IFERROR(__xludf.DUMMYFUNCTION("XLOOKUP($C728,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8" s="8"/>
      <c r="N728" s="8"/>
      <c r="O728" s="8"/>
      <c r="P728" s="8"/>
      <c r="Q728" s="8"/>
      <c r="R728" s="8"/>
      <c r="S728" s="8"/>
      <c r="T728" s="8"/>
      <c r="U728" s="8"/>
    </row>
    <row r="729">
      <c r="A729" s="10" t="s">
        <v>2178</v>
      </c>
      <c r="B729" s="10" t="s">
        <v>2179</v>
      </c>
      <c r="C729" s="12" t="s">
        <v>2274</v>
      </c>
      <c r="D729" s="13" t="s">
        <v>2275</v>
      </c>
      <c r="E729" s="16">
        <f t="array" ref="E729">XLOOKUP(C729,'DATA TK PANEN'!D:D,'DATA TK PANEN'!H:H)</f>
        <v>0</v>
      </c>
      <c r="F729" s="10" t="str">
        <f>IFERROR(__xludf.DUMMYFUNCTION("XLOOKUP(C729,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29" s="10" t="str">
        <f>IFERROR(__xludf.DUMMYFUNCTION("XLOOKUP($C729,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29" s="10" t="str">
        <f>IFERROR(__xludf.DUMMYFUNCTION("XLOOKUP($C729,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29" s="18"/>
      <c r="J729" s="18"/>
      <c r="K729" s="10" t="str">
        <f>IFERROR(__xludf.DUMMYFUNCTION("XLOOKUP($C729,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29" s="10" t="str">
        <f>IFERROR(__xludf.DUMMYFUNCTION("XLOOKUP($C729,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29" s="8"/>
      <c r="N729" s="8"/>
      <c r="O729" s="8"/>
      <c r="P729" s="8"/>
      <c r="Q729" s="8"/>
      <c r="R729" s="8"/>
      <c r="S729" s="8"/>
      <c r="T729" s="8"/>
      <c r="U729" s="8"/>
    </row>
    <row r="730">
      <c r="A730" s="10" t="s">
        <v>2178</v>
      </c>
      <c r="B730" s="10" t="s">
        <v>2179</v>
      </c>
      <c r="C730" s="12" t="s">
        <v>2276</v>
      </c>
      <c r="D730" s="13" t="s">
        <v>2277</v>
      </c>
      <c r="E730" s="16">
        <f t="array" ref="E730">XLOOKUP(C730,'DATA TK PANEN'!D:D,'DATA TK PANEN'!H:H)</f>
        <v>0</v>
      </c>
      <c r="F730" s="10" t="str">
        <f>IFERROR(__xludf.DUMMYFUNCTION("XLOOKUP(C730,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30" s="10" t="str">
        <f>IFERROR(__xludf.DUMMYFUNCTION("XLOOKUP($C730,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30" s="10" t="str">
        <f>IFERROR(__xludf.DUMMYFUNCTION("XLOOKUP($C730,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30" s="18"/>
      <c r="J730" s="18"/>
      <c r="K730" s="10" t="str">
        <f>IFERROR(__xludf.DUMMYFUNCTION("XLOOKUP($C730,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0" s="10" t="str">
        <f>IFERROR(__xludf.DUMMYFUNCTION("XLOOKUP($C730,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0" s="8"/>
      <c r="N730" s="8"/>
      <c r="O730" s="8"/>
      <c r="P730" s="8"/>
      <c r="Q730" s="8"/>
      <c r="R730" s="8"/>
      <c r="S730" s="8"/>
      <c r="T730" s="8"/>
      <c r="U730" s="8"/>
    </row>
    <row r="731">
      <c r="A731" s="10" t="s">
        <v>2178</v>
      </c>
      <c r="B731" s="10" t="s">
        <v>2179</v>
      </c>
      <c r="C731" s="12" t="s">
        <v>2278</v>
      </c>
      <c r="D731" s="13" t="s">
        <v>2279</v>
      </c>
      <c r="E731" s="16">
        <f t="array" ref="E731">XLOOKUP(C731,'DATA TK PANEN'!D:D,'DATA TK PANEN'!H:H)</f>
        <v>1853.95</v>
      </c>
      <c r="F731" s="10">
        <f>IFERROR(__xludf.DUMMYFUNCTION("XLOOKUP(C731,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(AUTO)'!S6:S""))"),111.0)</f>
        <v>111</v>
      </c>
      <c r="G731" s="10">
        <f>IFERROR(__xludf.DUMMYFUNCTION("XLOOKUP($C731,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(AUTO)'!T6:T""))"),54.0)</f>
        <v>54</v>
      </c>
      <c r="H731" s="10">
        <f>IFERROR(__xludf.DUMMYFUNCTION("XLOOKUP($C731,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(AUTO)'!V6:V""))"),48.0)</f>
        <v>48</v>
      </c>
      <c r="I731" s="18"/>
      <c r="J731" s="18"/>
      <c r="K731" s="10" t="str">
        <f>IFERROR(__xludf.DUMMYFUNCTION("XLOOKUP($C731,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1" s="10" t="str">
        <f>IFERROR(__xludf.DUMMYFUNCTION("XLOOKUP($C731,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1" s="8"/>
      <c r="N731" s="8"/>
      <c r="O731" s="8"/>
      <c r="P731" s="8"/>
      <c r="Q731" s="8"/>
      <c r="R731" s="8"/>
      <c r="S731" s="8"/>
      <c r="T731" s="8"/>
      <c r="U731" s="8"/>
    </row>
    <row r="732">
      <c r="A732" s="10" t="s">
        <v>2178</v>
      </c>
      <c r="B732" s="10" t="s">
        <v>2179</v>
      </c>
      <c r="C732" s="12" t="s">
        <v>2281</v>
      </c>
      <c r="D732" s="13" t="s">
        <v>2282</v>
      </c>
      <c r="E732" s="16">
        <f t="array" ref="E732">XLOOKUP(C732,'DATA TK PANEN'!D:D,'DATA TK PANEN'!H:H)</f>
        <v>139.54</v>
      </c>
      <c r="F732" s="10">
        <f>IFERROR(__xludf.DUMMYFUNCTION("XLOOKUP(C732,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(AUTO)'!S6:S""))"),8.0)</f>
        <v>8</v>
      </c>
      <c r="G732" s="10">
        <f>IFERROR(__xludf.DUMMYFUNCTION("XLOOKUP($C732,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(AUTO)'!T6:T""))"),6.0)</f>
        <v>6</v>
      </c>
      <c r="H732" s="10">
        <f>IFERROR(__xludf.DUMMYFUNCTION("XLOOKUP($C732,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(AUTO)'!V6:V""))"),7.0)</f>
        <v>7</v>
      </c>
      <c r="I732" s="18"/>
      <c r="J732" s="18"/>
      <c r="K732" s="10" t="str">
        <f>IFERROR(__xludf.DUMMYFUNCTION("XLOOKUP($C732,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2" s="10" t="str">
        <f>IFERROR(__xludf.DUMMYFUNCTION("XLOOKUP($C732,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2" s="8"/>
      <c r="N732" s="8"/>
      <c r="O732" s="8"/>
      <c r="P732" s="8"/>
      <c r="Q732" s="8"/>
      <c r="R732" s="8"/>
      <c r="S732" s="8"/>
      <c r="T732" s="8"/>
      <c r="U732" s="8"/>
    </row>
    <row r="733">
      <c r="A733" s="10" t="s">
        <v>2178</v>
      </c>
      <c r="B733" s="10" t="s">
        <v>2179</v>
      </c>
      <c r="C733" s="12" t="s">
        <v>2283</v>
      </c>
      <c r="D733" s="13" t="s">
        <v>2284</v>
      </c>
      <c r="E733" s="16">
        <f t="array" ref="E733">XLOOKUP(C733,'DATA TK PANEN'!D:D,'DATA TK PANEN'!H:H)</f>
        <v>890.01</v>
      </c>
      <c r="F733" s="10" t="str">
        <f>IFERROR(__xludf.DUMMYFUNCTION("XLOOKUP(C733,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33" s="10" t="str">
        <f>IFERROR(__xludf.DUMMYFUNCTION("XLOOKUP($C733,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33" s="10" t="str">
        <f>IFERROR(__xludf.DUMMYFUNCTION("XLOOKUP($C733,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33" s="18"/>
      <c r="J733" s="18"/>
      <c r="K733" s="10" t="str">
        <f>IFERROR(__xludf.DUMMYFUNCTION("XLOOKUP($C733,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3" s="10" t="str">
        <f>IFERROR(__xludf.DUMMYFUNCTION("XLOOKUP($C733,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3" s="8"/>
      <c r="N733" s="8"/>
      <c r="O733" s="8"/>
      <c r="P733" s="8"/>
      <c r="Q733" s="8"/>
      <c r="R733" s="8"/>
      <c r="S733" s="8"/>
      <c r="T733" s="8"/>
      <c r="U733" s="8"/>
    </row>
    <row r="734">
      <c r="A734" s="10" t="s">
        <v>2178</v>
      </c>
      <c r="B734" s="10" t="s">
        <v>2179</v>
      </c>
      <c r="C734" s="12" t="s">
        <v>2285</v>
      </c>
      <c r="D734" s="13" t="s">
        <v>2286</v>
      </c>
      <c r="E734" s="16">
        <f t="array" ref="E734">XLOOKUP(C734,'DATA TK PANEN'!D:D,'DATA TK PANEN'!H:H)</f>
        <v>15.73</v>
      </c>
      <c r="F734" s="10" t="str">
        <f>IFERROR(__xludf.DUMMYFUNCTION("XLOOKUP(C734,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34" s="10" t="str">
        <f>IFERROR(__xludf.DUMMYFUNCTION("XLOOKUP($C734,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34" s="10" t="str">
        <f>IFERROR(__xludf.DUMMYFUNCTION("XLOOKUP($C734,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34" s="18"/>
      <c r="J734" s="18"/>
      <c r="K734" s="10" t="str">
        <f>IFERROR(__xludf.DUMMYFUNCTION("XLOOKUP($C734,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4" s="10" t="str">
        <f>IFERROR(__xludf.DUMMYFUNCTION("XLOOKUP($C734,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4" s="8"/>
      <c r="N734" s="8"/>
      <c r="O734" s="8"/>
      <c r="P734" s="8"/>
      <c r="Q734" s="8"/>
      <c r="R734" s="8"/>
      <c r="S734" s="8"/>
      <c r="T734" s="8"/>
      <c r="U734" s="8"/>
    </row>
    <row r="735">
      <c r="A735" s="10" t="s">
        <v>2178</v>
      </c>
      <c r="B735" s="10" t="s">
        <v>2179</v>
      </c>
      <c r="C735" s="12" t="s">
        <v>2287</v>
      </c>
      <c r="D735" s="13" t="s">
        <v>2288</v>
      </c>
      <c r="E735" s="16" t="str">
        <f t="array" ref="E735">XLOOKUP(C735,'DATA TK PANEN'!D:D,'DATA TK PANEN'!H:H)</f>
        <v>Tidak Ditemukan</v>
      </c>
      <c r="F735" s="10" t="str">
        <f>IFERROR(__xludf.DUMMYFUNCTION("XLOOKUP(C735,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35" s="10" t="str">
        <f>IFERROR(__xludf.DUMMYFUNCTION("XLOOKUP($C735,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35" s="10" t="str">
        <f>IFERROR(__xludf.DUMMYFUNCTION("XLOOKUP($C735,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35" s="18"/>
      <c r="J735" s="18"/>
      <c r="K735" s="10" t="str">
        <f>IFERROR(__xludf.DUMMYFUNCTION("XLOOKUP($C735,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5" s="10" t="str">
        <f>IFERROR(__xludf.DUMMYFUNCTION("XLOOKUP($C735,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5" s="8"/>
      <c r="N735" s="8"/>
      <c r="O735" s="8"/>
      <c r="P735" s="8"/>
      <c r="Q735" s="8"/>
      <c r="R735" s="8"/>
      <c r="S735" s="8"/>
      <c r="T735" s="8"/>
      <c r="U735" s="8"/>
    </row>
    <row r="736">
      <c r="A736" s="10" t="s">
        <v>2178</v>
      </c>
      <c r="B736" s="10" t="s">
        <v>2179</v>
      </c>
      <c r="C736" s="12" t="s">
        <v>2289</v>
      </c>
      <c r="D736" s="13" t="s">
        <v>2290</v>
      </c>
      <c r="E736" s="16">
        <f t="array" ref="E736">XLOOKUP(C736,'DATA TK PANEN'!D:D,'DATA TK PANEN'!H:H)</f>
        <v>214</v>
      </c>
      <c r="F736" s="10">
        <f>IFERROR(__xludf.DUMMYFUNCTION("XLOOKUP(C736,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(AUTO)'!S6:S""))"),13.0)</f>
        <v>13</v>
      </c>
      <c r="G736" s="10">
        <f>IFERROR(__xludf.DUMMYFUNCTION("XLOOKUP($C736,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(AUTO)'!T6:T""))"),15.0)</f>
        <v>15</v>
      </c>
      <c r="H736" s="10">
        <f>IFERROR(__xludf.DUMMYFUNCTION("XLOOKUP($C736,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(AUTO)'!V6:V""))"),14.0)</f>
        <v>14</v>
      </c>
      <c r="I736" s="18"/>
      <c r="J736" s="18"/>
      <c r="K736" s="10" t="str">
        <f>IFERROR(__xludf.DUMMYFUNCTION("XLOOKUP($C736,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6" s="10" t="str">
        <f>IFERROR(__xludf.DUMMYFUNCTION("XLOOKUP($C736,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6" s="8"/>
      <c r="N736" s="8"/>
      <c r="O736" s="8"/>
      <c r="P736" s="8"/>
      <c r="Q736" s="8"/>
      <c r="R736" s="8"/>
      <c r="S736" s="8"/>
      <c r="T736" s="8"/>
      <c r="U736" s="8"/>
    </row>
    <row r="737">
      <c r="A737" s="10" t="s">
        <v>2178</v>
      </c>
      <c r="B737" s="10" t="s">
        <v>2179</v>
      </c>
      <c r="C737" s="12" t="s">
        <v>2291</v>
      </c>
      <c r="D737" s="13" t="s">
        <v>2292</v>
      </c>
      <c r="E737" s="16">
        <f t="array" ref="E737">XLOOKUP(C737,'DATA TK PANEN'!D:D,'DATA TK PANEN'!H:H)</f>
        <v>345.27</v>
      </c>
      <c r="F737" s="10">
        <f>IFERROR(__xludf.DUMMYFUNCTION("XLOOKUP(C737,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(AUTO)'!S6:S""))"),21.0)</f>
        <v>21</v>
      </c>
      <c r="G737" s="10">
        <f>IFERROR(__xludf.DUMMYFUNCTION("XLOOKUP($C737,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(AUTO)'!T6:T""))"),22.0)</f>
        <v>22</v>
      </c>
      <c r="H737" s="10">
        <f>IFERROR(__xludf.DUMMYFUNCTION("XLOOKUP($C737,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(AUTO)'!V6:V""))"),22.0)</f>
        <v>22</v>
      </c>
      <c r="I737" s="18"/>
      <c r="J737" s="18"/>
      <c r="K737" s="10" t="str">
        <f>IFERROR(__xludf.DUMMYFUNCTION("XLOOKUP($C737,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7" s="10" t="str">
        <f>IFERROR(__xludf.DUMMYFUNCTION("XLOOKUP($C737,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7" s="8"/>
      <c r="N737" s="8"/>
      <c r="O737" s="8"/>
      <c r="P737" s="8"/>
      <c r="Q737" s="8"/>
      <c r="R737" s="8"/>
      <c r="S737" s="8"/>
      <c r="T737" s="8"/>
      <c r="U737" s="8"/>
    </row>
    <row r="738">
      <c r="A738" s="10" t="s">
        <v>2178</v>
      </c>
      <c r="B738" s="10" t="s">
        <v>2179</v>
      </c>
      <c r="C738" s="12" t="s">
        <v>2294</v>
      </c>
      <c r="D738" s="13" t="s">
        <v>2295</v>
      </c>
      <c r="E738" s="16">
        <f t="array" ref="E738">XLOOKUP(C738,'DATA TK PANEN'!D:D,'DATA TK PANEN'!H:H)</f>
        <v>154.11</v>
      </c>
      <c r="F738" s="10">
        <f>IFERROR(__xludf.DUMMYFUNCTION("XLOOKUP(C738,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(AUTO)'!S6:S""))"),9.0)</f>
        <v>9</v>
      </c>
      <c r="G738" s="10">
        <f>IFERROR(__xludf.DUMMYFUNCTION("XLOOKUP($C738,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(AUTO)'!T6:T""))"),7.0)</f>
        <v>7</v>
      </c>
      <c r="H738" s="10">
        <f>IFERROR(__xludf.DUMMYFUNCTION("XLOOKUP($C738,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(AUTO)'!V6:V""))"),8.0)</f>
        <v>8</v>
      </c>
      <c r="I738" s="18"/>
      <c r="J738" s="18"/>
      <c r="K738" s="10" t="str">
        <f>IFERROR(__xludf.DUMMYFUNCTION("XLOOKUP($C738,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8" s="10" t="str">
        <f>IFERROR(__xludf.DUMMYFUNCTION("XLOOKUP($C738,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8" s="8"/>
      <c r="N738" s="8"/>
      <c r="O738" s="8"/>
      <c r="P738" s="8"/>
      <c r="Q738" s="8"/>
      <c r="R738" s="8"/>
      <c r="S738" s="8"/>
      <c r="T738" s="8"/>
      <c r="U738" s="8"/>
    </row>
    <row r="739">
      <c r="A739" s="10" t="s">
        <v>2178</v>
      </c>
      <c r="B739" s="10" t="s">
        <v>2179</v>
      </c>
      <c r="C739" s="12" t="s">
        <v>2296</v>
      </c>
      <c r="D739" s="13" t="s">
        <v>2297</v>
      </c>
      <c r="E739" s="16">
        <f t="array" ref="E739">XLOOKUP(C739,'DATA TK PANEN'!D:D,'DATA TK PANEN'!H:H)</f>
        <v>0</v>
      </c>
      <c r="F739" s="10" t="str">
        <f>IFERROR(__xludf.DUMMYFUNCTION("XLOOKUP(C739,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39" s="10" t="str">
        <f>IFERROR(__xludf.DUMMYFUNCTION("XLOOKUP($C739,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39" s="10" t="str">
        <f>IFERROR(__xludf.DUMMYFUNCTION("XLOOKUP($C739,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39" s="18"/>
      <c r="J739" s="18"/>
      <c r="K739" s="10" t="str">
        <f>IFERROR(__xludf.DUMMYFUNCTION("XLOOKUP($C739,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39" s="10" t="str">
        <f>IFERROR(__xludf.DUMMYFUNCTION("XLOOKUP($C739,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39" s="8"/>
      <c r="N739" s="8"/>
      <c r="O739" s="8"/>
      <c r="P739" s="8"/>
      <c r="Q739" s="8"/>
      <c r="R739" s="8"/>
      <c r="S739" s="8"/>
      <c r="T739" s="8"/>
      <c r="U739" s="8"/>
    </row>
    <row r="740">
      <c r="A740" s="10" t="s">
        <v>2178</v>
      </c>
      <c r="B740" s="10" t="s">
        <v>2179</v>
      </c>
      <c r="C740" s="12" t="s">
        <v>2299</v>
      </c>
      <c r="D740" s="13" t="s">
        <v>2300</v>
      </c>
      <c r="E740" s="16">
        <f t="array" ref="E740">XLOOKUP(C740,'DATA TK PANEN'!D:D,'DATA TK PANEN'!H:H)</f>
        <v>809.19</v>
      </c>
      <c r="F740" s="10">
        <f>IFERROR(__xludf.DUMMYFUNCTION("XLOOKUP(C740,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(AUTO)'!S6:S""))"),49.0)</f>
        <v>49</v>
      </c>
      <c r="G740" s="10">
        <f>IFERROR(__xludf.DUMMYFUNCTION("XLOOKUP($C740,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(AUTO)'!T6:T""))"),37.0)</f>
        <v>37</v>
      </c>
      <c r="H740" s="10">
        <f>IFERROR(__xludf.DUMMYFUNCTION("XLOOKUP($C740,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(AUTO)'!V6:V""))"),37.0)</f>
        <v>37</v>
      </c>
      <c r="I740" s="18"/>
      <c r="J740" s="18"/>
      <c r="K740" s="10" t="str">
        <f>IFERROR(__xludf.DUMMYFUNCTION("XLOOKUP($C740,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0" s="10" t="str">
        <f>IFERROR(__xludf.DUMMYFUNCTION("XLOOKUP($C740,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0" s="8"/>
      <c r="N740" s="8"/>
      <c r="O740" s="8"/>
      <c r="P740" s="8"/>
      <c r="Q740" s="8"/>
      <c r="R740" s="8"/>
      <c r="S740" s="8"/>
      <c r="T740" s="8"/>
      <c r="U740" s="8"/>
    </row>
    <row r="741">
      <c r="A741" s="10" t="s">
        <v>2178</v>
      </c>
      <c r="B741" s="10" t="s">
        <v>2179</v>
      </c>
      <c r="C741" s="12" t="s">
        <v>2301</v>
      </c>
      <c r="D741" s="13" t="s">
        <v>2302</v>
      </c>
      <c r="E741" s="16">
        <f t="array" ref="E741">XLOOKUP(C741,'DATA TK PANEN'!D:D,'DATA TK PANEN'!H:H)</f>
        <v>10</v>
      </c>
      <c r="F741" s="10" t="str">
        <f>IFERROR(__xludf.DUMMYFUNCTION("XLOOKUP(C741,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1" s="10" t="str">
        <f>IFERROR(__xludf.DUMMYFUNCTION("XLOOKUP($C741,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1" s="10" t="str">
        <f>IFERROR(__xludf.DUMMYFUNCTION("XLOOKUP($C741,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1" s="18"/>
      <c r="J741" s="18"/>
      <c r="K741" s="10" t="str">
        <f>IFERROR(__xludf.DUMMYFUNCTION("XLOOKUP($C741,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1" s="10" t="str">
        <f>IFERROR(__xludf.DUMMYFUNCTION("XLOOKUP($C741,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1" s="8"/>
      <c r="N741" s="8"/>
      <c r="O741" s="8"/>
      <c r="P741" s="8"/>
      <c r="Q741" s="8"/>
      <c r="R741" s="8"/>
      <c r="S741" s="8"/>
      <c r="T741" s="8"/>
      <c r="U741" s="8"/>
    </row>
    <row r="742">
      <c r="A742" s="10" t="s">
        <v>2178</v>
      </c>
      <c r="B742" s="10" t="s">
        <v>2179</v>
      </c>
      <c r="C742" s="12" t="s">
        <v>2303</v>
      </c>
      <c r="D742" s="13" t="s">
        <v>2304</v>
      </c>
      <c r="E742" s="16">
        <f t="array" ref="E742">XLOOKUP(C742,'DATA TK PANEN'!D:D,'DATA TK PANEN'!H:H)</f>
        <v>29.12</v>
      </c>
      <c r="F742" s="10" t="str">
        <f>IFERROR(__xludf.DUMMYFUNCTION("XLOOKUP(C742,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2" s="10" t="str">
        <f>IFERROR(__xludf.DUMMYFUNCTION("XLOOKUP($C742,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2" s="10" t="str">
        <f>IFERROR(__xludf.DUMMYFUNCTION("XLOOKUP($C742,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2" s="18"/>
      <c r="J742" s="18"/>
      <c r="K742" s="10" t="str">
        <f>IFERROR(__xludf.DUMMYFUNCTION("XLOOKUP($C742,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2" s="10" t="str">
        <f>IFERROR(__xludf.DUMMYFUNCTION("XLOOKUP($C742,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2" s="8"/>
      <c r="N742" s="8"/>
      <c r="O742" s="8"/>
      <c r="P742" s="8"/>
      <c r="Q742" s="8"/>
      <c r="R742" s="8"/>
      <c r="S742" s="8"/>
      <c r="T742" s="8"/>
      <c r="U742" s="8"/>
    </row>
    <row r="743">
      <c r="A743" s="10" t="s">
        <v>2178</v>
      </c>
      <c r="B743" s="10" t="s">
        <v>2179</v>
      </c>
      <c r="C743" s="12" t="s">
        <v>2305</v>
      </c>
      <c r="D743" s="13" t="s">
        <v>2306</v>
      </c>
      <c r="E743" s="16">
        <f t="array" ref="E743">XLOOKUP(C743,'DATA TK PANEN'!D:D,'DATA TK PANEN'!H:H)</f>
        <v>0</v>
      </c>
      <c r="F743" s="10" t="str">
        <f>IFERROR(__xludf.DUMMYFUNCTION("XLOOKUP(C743,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3" s="10" t="str">
        <f>IFERROR(__xludf.DUMMYFUNCTION("XLOOKUP($C743,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3" s="10" t="str">
        <f>IFERROR(__xludf.DUMMYFUNCTION("XLOOKUP($C743,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3" s="18"/>
      <c r="J743" s="18"/>
      <c r="K743" s="10" t="str">
        <f>IFERROR(__xludf.DUMMYFUNCTION("XLOOKUP($C743,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3" s="10" t="str">
        <f>IFERROR(__xludf.DUMMYFUNCTION("XLOOKUP($C743,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3" s="8"/>
      <c r="N743" s="8"/>
      <c r="O743" s="8"/>
      <c r="P743" s="8"/>
      <c r="Q743" s="8"/>
      <c r="R743" s="8"/>
      <c r="S743" s="8"/>
      <c r="T743" s="8"/>
      <c r="U743" s="8"/>
    </row>
    <row r="744">
      <c r="A744" s="10" t="s">
        <v>2178</v>
      </c>
      <c r="B744" s="10" t="s">
        <v>2179</v>
      </c>
      <c r="C744" s="12" t="s">
        <v>2307</v>
      </c>
      <c r="D744" s="13" t="s">
        <v>2308</v>
      </c>
      <c r="E744" s="16">
        <f t="array" ref="E744">XLOOKUP(C744,'DATA TK PANEN'!D:D,'DATA TK PANEN'!H:H)</f>
        <v>0</v>
      </c>
      <c r="F744" s="10" t="str">
        <f>IFERROR(__xludf.DUMMYFUNCTION("XLOOKUP(C744,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4" s="10" t="str">
        <f>IFERROR(__xludf.DUMMYFUNCTION("XLOOKUP($C744,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4" s="10" t="str">
        <f>IFERROR(__xludf.DUMMYFUNCTION("XLOOKUP($C744,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4" s="18"/>
      <c r="J744" s="18"/>
      <c r="K744" s="10" t="str">
        <f>IFERROR(__xludf.DUMMYFUNCTION("XLOOKUP($C744,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4" s="10" t="str">
        <f>IFERROR(__xludf.DUMMYFUNCTION("XLOOKUP($C744,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4" s="8"/>
      <c r="N744" s="8"/>
      <c r="O744" s="8"/>
      <c r="P744" s="8"/>
      <c r="Q744" s="8"/>
      <c r="R744" s="8"/>
      <c r="S744" s="8"/>
      <c r="T744" s="8"/>
      <c r="U744" s="8"/>
    </row>
    <row r="745">
      <c r="A745" s="10" t="s">
        <v>2178</v>
      </c>
      <c r="B745" s="10" t="s">
        <v>2179</v>
      </c>
      <c r="C745" s="12" t="s">
        <v>2309</v>
      </c>
      <c r="D745" s="13" t="s">
        <v>2310</v>
      </c>
      <c r="E745" s="16">
        <f t="array" ref="E745">XLOOKUP(C745,'DATA TK PANEN'!D:D,'DATA TK PANEN'!H:H)</f>
        <v>1.72</v>
      </c>
      <c r="F745" s="10" t="str">
        <f>IFERROR(__xludf.DUMMYFUNCTION("XLOOKUP(C745,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5" s="10" t="str">
        <f>IFERROR(__xludf.DUMMYFUNCTION("XLOOKUP($C745,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5" s="10" t="str">
        <f>IFERROR(__xludf.DUMMYFUNCTION("XLOOKUP($C745,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5" s="18"/>
      <c r="J745" s="18"/>
      <c r="K745" s="10" t="str">
        <f>IFERROR(__xludf.DUMMYFUNCTION("XLOOKUP($C745,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5" s="10" t="str">
        <f>IFERROR(__xludf.DUMMYFUNCTION("XLOOKUP($C745,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5" s="8"/>
      <c r="N745" s="8"/>
      <c r="O745" s="8"/>
      <c r="P745" s="8"/>
      <c r="Q745" s="8"/>
      <c r="R745" s="8"/>
      <c r="S745" s="8"/>
      <c r="T745" s="8"/>
      <c r="U745" s="8"/>
    </row>
    <row r="746">
      <c r="A746" s="10" t="s">
        <v>2178</v>
      </c>
      <c r="B746" s="10" t="s">
        <v>2179</v>
      </c>
      <c r="C746" s="12" t="s">
        <v>2311</v>
      </c>
      <c r="D746" s="13" t="s">
        <v>2312</v>
      </c>
      <c r="E746" s="16">
        <f t="array" ref="E746">XLOOKUP(C746,'DATA TK PANEN'!D:D,'DATA TK PANEN'!H:H)</f>
        <v>32</v>
      </c>
      <c r="F746" s="10">
        <f>IFERROR(__xludf.DUMMYFUNCTION("XLOOKUP(C746,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(AUTO)'!S6:S""))"),2.0)</f>
        <v>2</v>
      </c>
      <c r="G746" s="10">
        <f>IFERROR(__xludf.DUMMYFUNCTION("XLOOKUP($C746,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746" s="10">
        <f>IFERROR(__xludf.DUMMYFUNCTION("XLOOKUP($C746,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746" s="18"/>
      <c r="J746" s="18"/>
      <c r="K746" s="10" t="str">
        <f>IFERROR(__xludf.DUMMYFUNCTION("XLOOKUP($C746,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6" s="10" t="str">
        <f>IFERROR(__xludf.DUMMYFUNCTION("XLOOKUP($C746,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6" s="8"/>
      <c r="N746" s="8"/>
      <c r="O746" s="8"/>
      <c r="P746" s="8"/>
      <c r="Q746" s="8"/>
      <c r="R746" s="8"/>
      <c r="S746" s="8"/>
      <c r="T746" s="8"/>
      <c r="U746" s="8"/>
    </row>
    <row r="747">
      <c r="A747" s="10" t="s">
        <v>2178</v>
      </c>
      <c r="B747" s="10" t="s">
        <v>2179</v>
      </c>
      <c r="C747" s="12" t="s">
        <v>2313</v>
      </c>
      <c r="D747" s="13" t="s">
        <v>2314</v>
      </c>
      <c r="E747" s="16">
        <f t="array" ref="E747">XLOOKUP(C747,'DATA TK PANEN'!D:D,'DATA TK PANEN'!H:H)</f>
        <v>0</v>
      </c>
      <c r="F747" s="10" t="str">
        <f>IFERROR(__xludf.DUMMYFUNCTION("XLOOKUP(C747,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47" s="10" t="str">
        <f>IFERROR(__xludf.DUMMYFUNCTION("XLOOKUP($C747,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47" s="10" t="str">
        <f>IFERROR(__xludf.DUMMYFUNCTION("XLOOKUP($C747,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47" s="18"/>
      <c r="J747" s="18"/>
      <c r="K747" s="10" t="str">
        <f>IFERROR(__xludf.DUMMYFUNCTION("XLOOKUP($C747,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7" s="10" t="str">
        <f>IFERROR(__xludf.DUMMYFUNCTION("XLOOKUP($C747,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7" s="8"/>
      <c r="N747" s="8"/>
      <c r="O747" s="8"/>
      <c r="P747" s="8"/>
      <c r="Q747" s="8"/>
      <c r="R747" s="8"/>
      <c r="S747" s="8"/>
      <c r="T747" s="8"/>
      <c r="U747" s="8"/>
    </row>
    <row r="748">
      <c r="A748" s="10" t="s">
        <v>2178</v>
      </c>
      <c r="B748" s="10" t="s">
        <v>2179</v>
      </c>
      <c r="C748" s="12" t="s">
        <v>2315</v>
      </c>
      <c r="D748" s="13" t="s">
        <v>2316</v>
      </c>
      <c r="E748" s="16">
        <f t="array" ref="E748">XLOOKUP(C748,'DATA TK PANEN'!D:D,'DATA TK PANEN'!H:H)</f>
        <v>1365.83</v>
      </c>
      <c r="F748" s="10">
        <f>IFERROR(__xludf.DUMMYFUNCTION("XLOOKUP(C748,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(AUTO)'!S6:S""))"),82.0)</f>
        <v>82</v>
      </c>
      <c r="G748" s="10">
        <f>IFERROR(__xludf.DUMMYFUNCTION("XLOOKUP($C748,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(AUTO)'!T6:T""))"),49.0)</f>
        <v>49</v>
      </c>
      <c r="H748" s="10">
        <f>IFERROR(__xludf.DUMMYFUNCTION("XLOOKUP($C748,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(AUTO)'!V6:V""))"),57.0)</f>
        <v>57</v>
      </c>
      <c r="I748" s="18"/>
      <c r="J748" s="18"/>
      <c r="K748" s="10" t="str">
        <f>IFERROR(__xludf.DUMMYFUNCTION("XLOOKUP($C748,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8" s="10" t="str">
        <f>IFERROR(__xludf.DUMMYFUNCTION("XLOOKUP($C748,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8" s="8"/>
      <c r="N748" s="8"/>
      <c r="O748" s="8"/>
      <c r="P748" s="8"/>
      <c r="Q748" s="8"/>
      <c r="R748" s="8"/>
      <c r="S748" s="8"/>
      <c r="T748" s="8"/>
      <c r="U748" s="8"/>
    </row>
    <row r="749">
      <c r="A749" s="10" t="s">
        <v>2178</v>
      </c>
      <c r="B749" s="10" t="s">
        <v>2179</v>
      </c>
      <c r="C749" s="12" t="s">
        <v>2318</v>
      </c>
      <c r="D749" s="13" t="s">
        <v>2319</v>
      </c>
      <c r="E749" s="16">
        <f t="array" ref="E749">XLOOKUP(C749,'DATA TK PANEN'!D:D,'DATA TK PANEN'!H:H)</f>
        <v>1903.47</v>
      </c>
      <c r="F749" s="10">
        <f>IFERROR(__xludf.DUMMYFUNCTION("XLOOKUP(C749,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(AUTO)'!S6:S""))"),114.0)</f>
        <v>114</v>
      </c>
      <c r="G749" s="10">
        <f>IFERROR(__xludf.DUMMYFUNCTION("XLOOKUP($C749,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(AUTO)'!T6:T""))"),114.0)</f>
        <v>114</v>
      </c>
      <c r="H749" s="10">
        <f>IFERROR(__xludf.DUMMYFUNCTION("XLOOKUP($C749,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(AUTO)'!V6:V""))"),118.0)</f>
        <v>118</v>
      </c>
      <c r="I749" s="18"/>
      <c r="J749" s="18"/>
      <c r="K749" s="10" t="str">
        <f>IFERROR(__xludf.DUMMYFUNCTION("XLOOKUP($C749,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49" s="10" t="str">
        <f>IFERROR(__xludf.DUMMYFUNCTION("XLOOKUP($C749,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49" s="8"/>
      <c r="N749" s="8"/>
      <c r="O749" s="8"/>
      <c r="P749" s="8"/>
      <c r="Q749" s="8"/>
      <c r="R749" s="8"/>
      <c r="S749" s="8"/>
      <c r="T749" s="8"/>
      <c r="U749" s="8"/>
    </row>
    <row r="750">
      <c r="A750" s="10" t="s">
        <v>2178</v>
      </c>
      <c r="B750" s="10" t="s">
        <v>2179</v>
      </c>
      <c r="C750" s="12" t="s">
        <v>2321</v>
      </c>
      <c r="D750" s="13" t="s">
        <v>2322</v>
      </c>
      <c r="E750" s="16">
        <f t="array" ref="E750">XLOOKUP(C750,'DATA TK PANEN'!D:D,'DATA TK PANEN'!H:H)</f>
        <v>0.49</v>
      </c>
      <c r="F750" s="10" t="str">
        <f>IFERROR(__xludf.DUMMYFUNCTION("XLOOKUP(C750,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50" s="10" t="str">
        <f>IFERROR(__xludf.DUMMYFUNCTION("XLOOKUP($C750,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50" s="10" t="str">
        <f>IFERROR(__xludf.DUMMYFUNCTION("XLOOKUP($C750,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50" s="18"/>
      <c r="J750" s="18"/>
      <c r="K750" s="10" t="str">
        <f>IFERROR(__xludf.DUMMYFUNCTION("XLOOKUP($C750,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0" s="10" t="str">
        <f>IFERROR(__xludf.DUMMYFUNCTION("XLOOKUP($C750,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0" s="8"/>
      <c r="N750" s="8"/>
      <c r="O750" s="8"/>
      <c r="P750" s="8"/>
      <c r="Q750" s="8"/>
      <c r="R750" s="8"/>
      <c r="S750" s="8"/>
      <c r="T750" s="8"/>
      <c r="U750" s="8"/>
    </row>
    <row r="751">
      <c r="A751" s="10" t="s">
        <v>2178</v>
      </c>
      <c r="B751" s="10" t="s">
        <v>2179</v>
      </c>
      <c r="C751" s="12" t="s">
        <v>2323</v>
      </c>
      <c r="D751" s="13" t="s">
        <v>2324</v>
      </c>
      <c r="E751" s="16">
        <f t="array" ref="E751">XLOOKUP(C751,'DATA TK PANEN'!D:D,'DATA TK PANEN'!H:H)</f>
        <v>479.88</v>
      </c>
      <c r="F751" s="10" t="str">
        <f>IFERROR(__xludf.DUMMYFUNCTION("XLOOKUP(C751,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51" s="10" t="str">
        <f>IFERROR(__xludf.DUMMYFUNCTION("XLOOKUP($C751,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51" s="10" t="str">
        <f>IFERROR(__xludf.DUMMYFUNCTION("XLOOKUP($C751,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51" s="18"/>
      <c r="J751" s="18"/>
      <c r="K751" s="10" t="str">
        <f>IFERROR(__xludf.DUMMYFUNCTION("XLOOKUP($C751,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1" s="10" t="str">
        <f>IFERROR(__xludf.DUMMYFUNCTION("XLOOKUP($C751,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1" s="8"/>
      <c r="N751" s="8"/>
      <c r="O751" s="8"/>
      <c r="P751" s="8"/>
      <c r="Q751" s="8"/>
      <c r="R751" s="8"/>
      <c r="S751" s="8"/>
      <c r="T751" s="8"/>
      <c r="U751" s="8"/>
    </row>
    <row r="752">
      <c r="A752" s="10" t="s">
        <v>2178</v>
      </c>
      <c r="B752" s="10" t="s">
        <v>2179</v>
      </c>
      <c r="C752" s="12" t="s">
        <v>2326</v>
      </c>
      <c r="D752" s="13" t="s">
        <v>2327</v>
      </c>
      <c r="E752" s="16">
        <f t="array" ref="E752">XLOOKUP(C752,'DATA TK PANEN'!D:D,'DATA TK PANEN'!H:H)</f>
        <v>0</v>
      </c>
      <c r="F752" s="10" t="str">
        <f>IFERROR(__xludf.DUMMYFUNCTION("XLOOKUP(C752,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52" s="10" t="str">
        <f>IFERROR(__xludf.DUMMYFUNCTION("XLOOKUP($C752,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52" s="10" t="str">
        <f>IFERROR(__xludf.DUMMYFUNCTION("XLOOKUP($C752,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52" s="18"/>
      <c r="J752" s="18"/>
      <c r="K752" s="10" t="str">
        <f>IFERROR(__xludf.DUMMYFUNCTION("XLOOKUP($C752,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2" s="10" t="str">
        <f>IFERROR(__xludf.DUMMYFUNCTION("XLOOKUP($C752,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2" s="8"/>
      <c r="N752" s="8"/>
      <c r="O752" s="8"/>
      <c r="P752" s="8"/>
      <c r="Q752" s="8"/>
      <c r="R752" s="8"/>
      <c r="S752" s="8"/>
      <c r="T752" s="8"/>
      <c r="U752" s="8"/>
    </row>
    <row r="753">
      <c r="A753" s="10" t="s">
        <v>2178</v>
      </c>
      <c r="B753" s="10" t="s">
        <v>2179</v>
      </c>
      <c r="C753" s="12" t="s">
        <v>1881</v>
      </c>
      <c r="D753" s="13" t="s">
        <v>2329</v>
      </c>
      <c r="E753" s="16">
        <f t="array" ref="E753">XLOOKUP(C753,'DATA TK PANEN'!D:D,'DATA TK PANEN'!H:H)</f>
        <v>9.3</v>
      </c>
      <c r="F753" s="10" t="str">
        <f>IFERROR(__xludf.DUMMYFUNCTION("XLOOKUP(C753,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53" s="10" t="str">
        <f>IFERROR(__xludf.DUMMYFUNCTION("XLOOKUP($C753,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53" s="10" t="str">
        <f>IFERROR(__xludf.DUMMYFUNCTION("XLOOKUP($C753,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53" s="18"/>
      <c r="J753" s="18"/>
      <c r="K753" s="10" t="str">
        <f>IFERROR(__xludf.DUMMYFUNCTION("XLOOKUP($C753,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3" s="10" t="str">
        <f>IFERROR(__xludf.DUMMYFUNCTION("XLOOKUP($C753,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3" s="8"/>
      <c r="N753" s="8"/>
      <c r="O753" s="8"/>
      <c r="P753" s="8"/>
      <c r="Q753" s="8"/>
      <c r="R753" s="8"/>
      <c r="S753" s="8"/>
      <c r="T753" s="8"/>
      <c r="U753" s="8"/>
    </row>
    <row r="754">
      <c r="A754" s="10" t="s">
        <v>2178</v>
      </c>
      <c r="B754" s="10" t="s">
        <v>2179</v>
      </c>
      <c r="C754" s="12" t="s">
        <v>2330</v>
      </c>
      <c r="D754" s="13" t="s">
        <v>2331</v>
      </c>
      <c r="E754" s="16">
        <f t="array" ref="E754">XLOOKUP(C754,'DATA TK PANEN'!D:D,'DATA TK PANEN'!H:H)</f>
        <v>315.47</v>
      </c>
      <c r="F754" s="10" t="str">
        <f>IFERROR(__xludf.DUMMYFUNCTION("XLOOKUP(C754,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54" s="10" t="str">
        <f>IFERROR(__xludf.DUMMYFUNCTION("XLOOKUP($C754,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54" s="10" t="str">
        <f>IFERROR(__xludf.DUMMYFUNCTION("XLOOKUP($C754,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(AUTO)'!V6:V""))"),"-")</f>
        <v>-</v>
      </c>
      <c r="I754" s="18"/>
      <c r="J754" s="18"/>
      <c r="K754" s="10" t="str">
        <f>IFERROR(__xludf.DUMMYFUNCTION("XLOOKUP($C754,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4" s="10" t="str">
        <f>IFERROR(__xludf.DUMMYFUNCTION("XLOOKUP($C754,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4" s="8"/>
      <c r="N754" s="8"/>
      <c r="O754" s="8"/>
      <c r="P754" s="8"/>
      <c r="Q754" s="8"/>
      <c r="R754" s="8"/>
      <c r="S754" s="8"/>
      <c r="T754" s="8"/>
      <c r="U754" s="8"/>
    </row>
    <row r="755">
      <c r="A755" s="10" t="s">
        <v>2178</v>
      </c>
      <c r="B755" s="10" t="s">
        <v>2179</v>
      </c>
      <c r="C755" s="12" t="s">
        <v>2332</v>
      </c>
      <c r="D755" s="13" t="s">
        <v>2333</v>
      </c>
      <c r="E755" s="16">
        <f t="array" ref="E755">XLOOKUP(C755,'DATA TK PANEN'!D:D,'DATA TK PANEN'!H:H)</f>
        <v>1014.59</v>
      </c>
      <c r="F755" s="10">
        <f>IFERROR(__xludf.DUMMYFUNCTION("XLOOKUP(C755,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(AUTO)'!S6:S""))"),61.0)</f>
        <v>61</v>
      </c>
      <c r="G755" s="10">
        <f>IFERROR(__xludf.DUMMYFUNCTION("XLOOKUP($C755,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(AUTO)'!T6:T""))"),61.0)</f>
        <v>61</v>
      </c>
      <c r="H755" s="10">
        <f>IFERROR(__xludf.DUMMYFUNCTION("XLOOKUP($C755,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(AUTO)'!V6:V""))"),61.0)</f>
        <v>61</v>
      </c>
      <c r="I755" s="18"/>
      <c r="J755" s="18"/>
      <c r="K755" s="10" t="str">
        <f>IFERROR(__xludf.DUMMYFUNCTION("XLOOKUP($C755,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55" s="10" t="str">
        <f>IFERROR(__xludf.DUMMYFUNCTION("XLOOKUP($C755,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55" s="8"/>
      <c r="N755" s="8"/>
      <c r="O755" s="8"/>
      <c r="P755" s="8"/>
      <c r="Q755" s="8"/>
      <c r="R755" s="8"/>
      <c r="S755" s="8"/>
      <c r="T755" s="8"/>
      <c r="U755" s="8"/>
    </row>
    <row r="756">
      <c r="A756" s="10" t="s">
        <v>2334</v>
      </c>
      <c r="B756" s="10" t="s">
        <v>2335</v>
      </c>
      <c r="C756" s="12" t="s">
        <v>2336</v>
      </c>
      <c r="D756" s="13" t="s">
        <v>2337</v>
      </c>
      <c r="E756" s="16">
        <f t="array" ref="E756">XLOOKUP(C756,'DATA TK PANEN'!D:D,'DATA TK PANEN'!H:H)</f>
        <v>0</v>
      </c>
      <c r="F756" s="10">
        <f>IFERROR(__xludf.DUMMYFUNCTION("XLOOKUP(C756,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56" s="10">
        <f>IFERROR(__xludf.DUMMYFUNCTION("XLOOKUP($C756,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56" s="10">
        <f>IFERROR(__xludf.DUMMYFUNCTION("XLOOKUP($C756,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56" s="18"/>
      <c r="J756" s="18"/>
      <c r="K756" s="10">
        <f>IFERROR(__xludf.DUMMYFUNCTION("XLOOKUP($C756,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56" s="10">
        <f>IFERROR(__xludf.DUMMYFUNCTION("XLOOKUP($C756,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56" s="8"/>
      <c r="N756" s="8"/>
      <c r="O756" s="8"/>
      <c r="P756" s="8"/>
      <c r="Q756" s="8"/>
      <c r="R756" s="8"/>
      <c r="S756" s="8"/>
      <c r="T756" s="8"/>
      <c r="U756" s="8"/>
    </row>
    <row r="757">
      <c r="A757" s="10" t="s">
        <v>2334</v>
      </c>
      <c r="B757" s="10" t="s">
        <v>2335</v>
      </c>
      <c r="C757" s="12" t="s">
        <v>2338</v>
      </c>
      <c r="D757" s="13" t="s">
        <v>2339</v>
      </c>
      <c r="E757" s="16">
        <f t="array" ref="E757">XLOOKUP(C757,'DATA TK PANEN'!D:D,'DATA TK PANEN'!H:H)</f>
        <v>0</v>
      </c>
      <c r="F757" s="10">
        <f>IFERROR(__xludf.DUMMYFUNCTION("XLOOKUP(C757,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57" s="10">
        <f>IFERROR(__xludf.DUMMYFUNCTION("XLOOKUP($C757,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57" s="10">
        <f>IFERROR(__xludf.DUMMYFUNCTION("XLOOKUP($C757,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57" s="18"/>
      <c r="J757" s="18"/>
      <c r="K757" s="10">
        <f>IFERROR(__xludf.DUMMYFUNCTION("XLOOKUP($C757,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57" s="10">
        <f>IFERROR(__xludf.DUMMYFUNCTION("XLOOKUP($C757,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57" s="8"/>
      <c r="N757" s="8"/>
      <c r="O757" s="8"/>
      <c r="P757" s="8"/>
      <c r="Q757" s="8"/>
      <c r="R757" s="8"/>
      <c r="S757" s="8"/>
      <c r="T757" s="8"/>
      <c r="U757" s="8"/>
    </row>
    <row r="758">
      <c r="A758" s="10" t="s">
        <v>2334</v>
      </c>
      <c r="B758" s="10" t="s">
        <v>2335</v>
      </c>
      <c r="C758" s="12" t="s">
        <v>2340</v>
      </c>
      <c r="D758" s="13" t="s">
        <v>2341</v>
      </c>
      <c r="E758" s="16">
        <f t="array" ref="E758">XLOOKUP(C758,'DATA TK PANEN'!D:D,'DATA TK PANEN'!H:H)</f>
        <v>0</v>
      </c>
      <c r="F758" s="10">
        <f>IFERROR(__xludf.DUMMYFUNCTION("XLOOKUP(C758,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58" s="10">
        <f>IFERROR(__xludf.DUMMYFUNCTION("XLOOKUP($C758,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58" s="10">
        <f>IFERROR(__xludf.DUMMYFUNCTION("XLOOKUP($C758,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58" s="18"/>
      <c r="J758" s="18"/>
      <c r="K758" s="10">
        <f>IFERROR(__xludf.DUMMYFUNCTION("XLOOKUP($C758,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58" s="10">
        <f>IFERROR(__xludf.DUMMYFUNCTION("XLOOKUP($C758,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58" s="8"/>
      <c r="N758" s="8"/>
      <c r="O758" s="8"/>
      <c r="P758" s="8"/>
      <c r="Q758" s="8"/>
      <c r="R758" s="8"/>
      <c r="S758" s="8"/>
      <c r="T758" s="8"/>
      <c r="U758" s="8"/>
    </row>
    <row r="759">
      <c r="A759" s="10" t="s">
        <v>2334</v>
      </c>
      <c r="B759" s="10" t="s">
        <v>2335</v>
      </c>
      <c r="C759" s="12" t="s">
        <v>2342</v>
      </c>
      <c r="D759" s="13" t="s">
        <v>2343</v>
      </c>
      <c r="E759" s="16">
        <f t="array" ref="E759">XLOOKUP(C759,'DATA TK PANEN'!D:D,'DATA TK PANEN'!H:H)</f>
        <v>0</v>
      </c>
      <c r="F759" s="10">
        <f>IFERROR(__xludf.DUMMYFUNCTION("XLOOKUP(C759,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59" s="10">
        <f>IFERROR(__xludf.DUMMYFUNCTION("XLOOKUP($C759,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59" s="10">
        <f>IFERROR(__xludf.DUMMYFUNCTION("XLOOKUP($C759,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59" s="18"/>
      <c r="J759" s="18"/>
      <c r="K759" s="10">
        <f>IFERROR(__xludf.DUMMYFUNCTION("XLOOKUP($C759,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59" s="10">
        <f>IFERROR(__xludf.DUMMYFUNCTION("XLOOKUP($C759,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59" s="8"/>
      <c r="N759" s="8"/>
      <c r="O759" s="8"/>
      <c r="P759" s="8"/>
      <c r="Q759" s="8"/>
      <c r="R759" s="8"/>
      <c r="S759" s="8"/>
      <c r="T759" s="8"/>
      <c r="U759" s="8"/>
    </row>
    <row r="760">
      <c r="A760" s="10" t="s">
        <v>2334</v>
      </c>
      <c r="B760" s="10" t="s">
        <v>2335</v>
      </c>
      <c r="C760" s="12" t="s">
        <v>2344</v>
      </c>
      <c r="D760" s="13" t="s">
        <v>2345</v>
      </c>
      <c r="E760" s="16" t="str">
        <f t="array" ref="E760">XLOOKUP(C760,'DATA TK PANEN'!D:D,'DATA TK PANEN'!H:H)</f>
        <v>Tidak Ditemukan</v>
      </c>
      <c r="F760" s="10">
        <f>IFERROR(__xludf.DUMMYFUNCTION("XLOOKUP(C760,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0" s="10">
        <f>IFERROR(__xludf.DUMMYFUNCTION("XLOOKUP($C760,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0" s="10">
        <f>IFERROR(__xludf.DUMMYFUNCTION("XLOOKUP($C760,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0" s="18"/>
      <c r="J760" s="18"/>
      <c r="K760" s="10">
        <f>IFERROR(__xludf.DUMMYFUNCTION("XLOOKUP($C760,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0" s="10">
        <f>IFERROR(__xludf.DUMMYFUNCTION("XLOOKUP($C760,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0" s="8"/>
      <c r="N760" s="8"/>
      <c r="O760" s="8"/>
      <c r="P760" s="8"/>
      <c r="Q760" s="8"/>
      <c r="R760" s="8"/>
      <c r="S760" s="8"/>
      <c r="T760" s="8"/>
      <c r="U760" s="8"/>
    </row>
    <row r="761">
      <c r="A761" s="10" t="s">
        <v>2334</v>
      </c>
      <c r="B761" s="10" t="s">
        <v>2335</v>
      </c>
      <c r="C761" s="12" t="s">
        <v>2346</v>
      </c>
      <c r="D761" s="13" t="s">
        <v>2347</v>
      </c>
      <c r="E761" s="16">
        <f t="array" ref="E761">XLOOKUP(C761,'DATA TK PANEN'!D:D,'DATA TK PANEN'!H:H)</f>
        <v>0</v>
      </c>
      <c r="F761" s="10">
        <f>IFERROR(__xludf.DUMMYFUNCTION("XLOOKUP(C761,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1" s="10">
        <f>IFERROR(__xludf.DUMMYFUNCTION("XLOOKUP($C761,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1" s="10">
        <f>IFERROR(__xludf.DUMMYFUNCTION("XLOOKUP($C761,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1" s="18"/>
      <c r="J761" s="18"/>
      <c r="K761" s="10">
        <f>IFERROR(__xludf.DUMMYFUNCTION("XLOOKUP($C761,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1" s="10">
        <f>IFERROR(__xludf.DUMMYFUNCTION("XLOOKUP($C761,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1" s="8"/>
      <c r="N761" s="8"/>
      <c r="O761" s="8"/>
      <c r="P761" s="8"/>
      <c r="Q761" s="8"/>
      <c r="R761" s="8"/>
      <c r="S761" s="8"/>
      <c r="T761" s="8"/>
      <c r="U761" s="8"/>
    </row>
    <row r="762">
      <c r="A762" s="10" t="s">
        <v>2334</v>
      </c>
      <c r="B762" s="10" t="s">
        <v>2335</v>
      </c>
      <c r="C762" s="12" t="s">
        <v>2348</v>
      </c>
      <c r="D762" s="13" t="s">
        <v>2349</v>
      </c>
      <c r="E762" s="16">
        <f t="array" ref="E762">XLOOKUP(C762,'DATA TK PANEN'!D:D,'DATA TK PANEN'!H:H)</f>
        <v>0</v>
      </c>
      <c r="F762" s="10">
        <f>IFERROR(__xludf.DUMMYFUNCTION("XLOOKUP(C762,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2" s="10">
        <f>IFERROR(__xludf.DUMMYFUNCTION("XLOOKUP($C762,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2" s="10">
        <f>IFERROR(__xludf.DUMMYFUNCTION("XLOOKUP($C762,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2" s="18"/>
      <c r="J762" s="18"/>
      <c r="K762" s="10">
        <f>IFERROR(__xludf.DUMMYFUNCTION("XLOOKUP($C762,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2" s="10">
        <f>IFERROR(__xludf.DUMMYFUNCTION("XLOOKUP($C762,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2" s="8"/>
      <c r="N762" s="8"/>
      <c r="O762" s="8"/>
      <c r="P762" s="8"/>
      <c r="Q762" s="8"/>
      <c r="R762" s="8"/>
      <c r="S762" s="8"/>
      <c r="T762" s="8"/>
      <c r="U762" s="8"/>
    </row>
    <row r="763">
      <c r="A763" s="10" t="s">
        <v>2334</v>
      </c>
      <c r="B763" s="10" t="s">
        <v>2335</v>
      </c>
      <c r="C763" s="12" t="s">
        <v>2350</v>
      </c>
      <c r="D763" s="13" t="s">
        <v>2351</v>
      </c>
      <c r="E763" s="16">
        <f t="array" ref="E763">XLOOKUP(C763,'DATA TK PANEN'!D:D,'DATA TK PANEN'!H:H)</f>
        <v>0</v>
      </c>
      <c r="F763" s="10">
        <f>IFERROR(__xludf.DUMMYFUNCTION("XLOOKUP(C763,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3" s="10">
        <f>IFERROR(__xludf.DUMMYFUNCTION("XLOOKUP($C763,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3" s="10">
        <f>IFERROR(__xludf.DUMMYFUNCTION("XLOOKUP($C763,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3" s="18"/>
      <c r="J763" s="18"/>
      <c r="K763" s="10">
        <f>IFERROR(__xludf.DUMMYFUNCTION("XLOOKUP($C763,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3" s="10">
        <f>IFERROR(__xludf.DUMMYFUNCTION("XLOOKUP($C763,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3" s="8"/>
      <c r="N763" s="8"/>
      <c r="O763" s="8"/>
      <c r="P763" s="8"/>
      <c r="Q763" s="8"/>
      <c r="R763" s="8"/>
      <c r="S763" s="8"/>
      <c r="T763" s="8"/>
      <c r="U763" s="8"/>
    </row>
    <row r="764">
      <c r="A764" s="10" t="s">
        <v>2334</v>
      </c>
      <c r="B764" s="10" t="s">
        <v>2335</v>
      </c>
      <c r="C764" s="12" t="s">
        <v>2352</v>
      </c>
      <c r="D764" s="13" t="s">
        <v>2353</v>
      </c>
      <c r="E764" s="16">
        <f t="array" ref="E764">XLOOKUP(C764,'DATA TK PANEN'!D:D,'DATA TK PANEN'!H:H)</f>
        <v>0</v>
      </c>
      <c r="F764" s="10">
        <f>IFERROR(__xludf.DUMMYFUNCTION("XLOOKUP(C764,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4" s="10">
        <f>IFERROR(__xludf.DUMMYFUNCTION("XLOOKUP($C764,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4" s="10">
        <f>IFERROR(__xludf.DUMMYFUNCTION("XLOOKUP($C764,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4" s="18"/>
      <c r="J764" s="18"/>
      <c r="K764" s="10">
        <f>IFERROR(__xludf.DUMMYFUNCTION("XLOOKUP($C764,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4" s="10">
        <f>IFERROR(__xludf.DUMMYFUNCTION("XLOOKUP($C764,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4" s="8"/>
      <c r="N764" s="8"/>
      <c r="O764" s="8"/>
      <c r="P764" s="8"/>
      <c r="Q764" s="8"/>
      <c r="R764" s="8"/>
      <c r="S764" s="8"/>
      <c r="T764" s="8"/>
      <c r="U764" s="8"/>
    </row>
    <row r="765">
      <c r="A765" s="10" t="s">
        <v>2334</v>
      </c>
      <c r="B765" s="10" t="s">
        <v>2335</v>
      </c>
      <c r="C765" s="12" t="s">
        <v>2354</v>
      </c>
      <c r="D765" s="13" t="s">
        <v>2355</v>
      </c>
      <c r="E765" s="16">
        <f t="array" ref="E765">XLOOKUP(C765,'DATA TK PANEN'!D:D,'DATA TK PANEN'!H:H)</f>
        <v>0</v>
      </c>
      <c r="F765" s="10">
        <f>IFERROR(__xludf.DUMMYFUNCTION("XLOOKUP(C765,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5" s="10">
        <f>IFERROR(__xludf.DUMMYFUNCTION("XLOOKUP($C765,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5" s="10">
        <f>IFERROR(__xludf.DUMMYFUNCTION("XLOOKUP($C765,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5" s="18"/>
      <c r="J765" s="18"/>
      <c r="K765" s="10">
        <f>IFERROR(__xludf.DUMMYFUNCTION("XLOOKUP($C765,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5" s="10">
        <f>IFERROR(__xludf.DUMMYFUNCTION("XLOOKUP($C765,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5" s="8"/>
      <c r="N765" s="8"/>
      <c r="O765" s="8"/>
      <c r="P765" s="8"/>
      <c r="Q765" s="8"/>
      <c r="R765" s="8"/>
      <c r="S765" s="8"/>
      <c r="T765" s="8"/>
      <c r="U765" s="8"/>
    </row>
    <row r="766">
      <c r="A766" s="10" t="s">
        <v>2334</v>
      </c>
      <c r="B766" s="10" t="s">
        <v>2335</v>
      </c>
      <c r="C766" s="12" t="s">
        <v>2356</v>
      </c>
      <c r="D766" s="13" t="s">
        <v>2357</v>
      </c>
      <c r="E766" s="16">
        <f t="array" ref="E766">XLOOKUP(C766,'DATA TK PANEN'!D:D,'DATA TK PANEN'!H:H)</f>
        <v>73.99</v>
      </c>
      <c r="F766" s="10">
        <f>IFERROR(__xludf.DUMMYFUNCTION("XLOOKUP(C766,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(AUTO)'!S6:S""))"),4.439399999999999)</f>
        <v>4.4394</v>
      </c>
      <c r="G766" s="10">
        <f>IFERROR(__xludf.DUMMYFUNCTION("XLOOKUP($C766,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(AUTO)'!T6:T""))"),5.0)</f>
        <v>5</v>
      </c>
      <c r="H766" s="10">
        <f>IFERROR(__xludf.DUMMYFUNCTION("XLOOKUP($C766,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(AUTO)'!V6:V""))"),5.0)</f>
        <v>5</v>
      </c>
      <c r="I766" s="18"/>
      <c r="J766" s="18"/>
      <c r="K766" s="10">
        <f>IFERROR(__xludf.DUMMYFUNCTION("XLOOKUP($C766,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6" s="10">
        <f>IFERROR(__xludf.DUMMYFUNCTION("XLOOKUP($C766,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6" s="8"/>
      <c r="N766" s="8"/>
      <c r="O766" s="8"/>
      <c r="P766" s="8"/>
      <c r="Q766" s="8"/>
      <c r="R766" s="8"/>
      <c r="S766" s="8"/>
      <c r="T766" s="8"/>
      <c r="U766" s="8"/>
    </row>
    <row r="767">
      <c r="A767" s="10" t="s">
        <v>2334</v>
      </c>
      <c r="B767" s="10" t="s">
        <v>2335</v>
      </c>
      <c r="C767" s="12" t="s">
        <v>2358</v>
      </c>
      <c r="D767" s="13" t="s">
        <v>2359</v>
      </c>
      <c r="E767" s="16">
        <f t="array" ref="E767">XLOOKUP(C767,'DATA TK PANEN'!D:D,'DATA TK PANEN'!H:H)</f>
        <v>0</v>
      </c>
      <c r="F767" s="10">
        <f>IFERROR(__xludf.DUMMYFUNCTION("XLOOKUP(C767,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7" s="10">
        <f>IFERROR(__xludf.DUMMYFUNCTION("XLOOKUP($C767,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7" s="10">
        <f>IFERROR(__xludf.DUMMYFUNCTION("XLOOKUP($C767,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7" s="18"/>
      <c r="J767" s="18"/>
      <c r="K767" s="10">
        <f>IFERROR(__xludf.DUMMYFUNCTION("XLOOKUP($C767,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7" s="10">
        <f>IFERROR(__xludf.DUMMYFUNCTION("XLOOKUP($C767,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7" s="8"/>
      <c r="N767" s="8"/>
      <c r="O767" s="8"/>
      <c r="P767" s="8"/>
      <c r="Q767" s="8"/>
      <c r="R767" s="8"/>
      <c r="S767" s="8"/>
      <c r="T767" s="8"/>
      <c r="U767" s="8"/>
    </row>
    <row r="768">
      <c r="A768" s="10" t="s">
        <v>2334</v>
      </c>
      <c r="B768" s="10" t="s">
        <v>2335</v>
      </c>
      <c r="C768" s="12" t="s">
        <v>2360</v>
      </c>
      <c r="D768" s="13" t="s">
        <v>2361</v>
      </c>
      <c r="E768" s="16">
        <f t="array" ref="E768">XLOOKUP(C768,'DATA TK PANEN'!D:D,'DATA TK PANEN'!H:H)</f>
        <v>0</v>
      </c>
      <c r="F768" s="10">
        <f>IFERROR(__xludf.DUMMYFUNCTION("XLOOKUP(C768,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8" s="10">
        <f>IFERROR(__xludf.DUMMYFUNCTION("XLOOKUP($C768,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8" s="10">
        <f>IFERROR(__xludf.DUMMYFUNCTION("XLOOKUP($C768,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8" s="18"/>
      <c r="J768" s="18"/>
      <c r="K768" s="10">
        <f>IFERROR(__xludf.DUMMYFUNCTION("XLOOKUP($C768,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8" s="10">
        <f>IFERROR(__xludf.DUMMYFUNCTION("XLOOKUP($C768,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8" s="8"/>
      <c r="N768" s="8"/>
      <c r="O768" s="8"/>
      <c r="P768" s="8"/>
      <c r="Q768" s="8"/>
      <c r="R768" s="8"/>
      <c r="S768" s="8"/>
      <c r="T768" s="8"/>
      <c r="U768" s="8"/>
    </row>
    <row r="769">
      <c r="A769" s="10" t="s">
        <v>2334</v>
      </c>
      <c r="B769" s="10" t="s">
        <v>2335</v>
      </c>
      <c r="C769" s="12" t="s">
        <v>2362</v>
      </c>
      <c r="D769" s="13" t="s">
        <v>2363</v>
      </c>
      <c r="E769" s="16">
        <f t="array" ref="E769">XLOOKUP(C769,'DATA TK PANEN'!D:D,'DATA TK PANEN'!H:H)</f>
        <v>861.71</v>
      </c>
      <c r="F769" s="10">
        <f>IFERROR(__xludf.DUMMYFUNCTION("XLOOKUP(C769,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69" s="10">
        <f>IFERROR(__xludf.DUMMYFUNCTION("XLOOKUP($C769,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69" s="10">
        <f>IFERROR(__xludf.DUMMYFUNCTION("XLOOKUP($C769,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69" s="18"/>
      <c r="J769" s="18"/>
      <c r="K769" s="10">
        <f>IFERROR(__xludf.DUMMYFUNCTION("XLOOKUP($C769,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69" s="10">
        <f>IFERROR(__xludf.DUMMYFUNCTION("XLOOKUP($C769,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69" s="8"/>
      <c r="N769" s="8"/>
      <c r="O769" s="8"/>
      <c r="P769" s="8"/>
      <c r="Q769" s="8"/>
      <c r="R769" s="8"/>
      <c r="S769" s="8"/>
      <c r="T769" s="8"/>
      <c r="U769" s="8"/>
    </row>
    <row r="770">
      <c r="A770" s="10" t="s">
        <v>2334</v>
      </c>
      <c r="B770" s="10" t="s">
        <v>2335</v>
      </c>
      <c r="C770" s="12" t="s">
        <v>2364</v>
      </c>
      <c r="D770" s="13" t="s">
        <v>2365</v>
      </c>
      <c r="E770" s="16">
        <f t="array" ref="E770">XLOOKUP(C770,'DATA TK PANEN'!D:D,'DATA TK PANEN'!H:H)</f>
        <v>631</v>
      </c>
      <c r="F770" s="10">
        <f>IFERROR(__xludf.DUMMYFUNCTION("XLOOKUP(C770,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(AUTO)'!S6:S""))"),37.86)</f>
        <v>37.86</v>
      </c>
      <c r="G770" s="10">
        <f>IFERROR(__xludf.DUMMYFUNCTION("XLOOKUP($C770,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(AUTO)'!T6:T""))"),9.0)</f>
        <v>9</v>
      </c>
      <c r="H770" s="10">
        <f>IFERROR(__xludf.DUMMYFUNCTION("XLOOKUP($C770,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(AUTO)'!V6:V""))"),9.0)</f>
        <v>9</v>
      </c>
      <c r="I770" s="18"/>
      <c r="J770" s="18"/>
      <c r="K770" s="10">
        <f>IFERROR(__xludf.DUMMYFUNCTION("XLOOKUP($C770,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(AUTO)'!W6:W""))"),9.0)</f>
        <v>9</v>
      </c>
      <c r="L770" s="10">
        <f>IFERROR(__xludf.DUMMYFUNCTION("XLOOKUP($C770,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(AUTO)'!X6:X""))"),9.0)</f>
        <v>9</v>
      </c>
      <c r="M770" s="8"/>
      <c r="N770" s="8"/>
      <c r="O770" s="8"/>
      <c r="P770" s="8"/>
      <c r="Q770" s="8"/>
      <c r="R770" s="8"/>
      <c r="S770" s="8"/>
      <c r="T770" s="8"/>
      <c r="U770" s="8"/>
    </row>
    <row r="771">
      <c r="A771" s="10" t="s">
        <v>2334</v>
      </c>
      <c r="B771" s="10" t="s">
        <v>2335</v>
      </c>
      <c r="C771" s="12" t="s">
        <v>2366</v>
      </c>
      <c r="D771" s="13" t="s">
        <v>2367</v>
      </c>
      <c r="E771" s="16">
        <f t="array" ref="E771">XLOOKUP(C771,'DATA TK PANEN'!D:D,'DATA TK PANEN'!H:H)</f>
        <v>0</v>
      </c>
      <c r="F771" s="10">
        <f>IFERROR(__xludf.DUMMYFUNCTION("XLOOKUP(C771,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1" s="10">
        <f>IFERROR(__xludf.DUMMYFUNCTION("XLOOKUP($C771,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1" s="10">
        <f>IFERROR(__xludf.DUMMYFUNCTION("XLOOKUP($C771,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1" s="18"/>
      <c r="J771" s="18"/>
      <c r="K771" s="10">
        <f>IFERROR(__xludf.DUMMYFUNCTION("XLOOKUP($C771,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1" s="10">
        <f>IFERROR(__xludf.DUMMYFUNCTION("XLOOKUP($C771,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1" s="8"/>
      <c r="N771" s="8"/>
      <c r="O771" s="8"/>
      <c r="P771" s="8"/>
      <c r="Q771" s="8"/>
      <c r="R771" s="8"/>
      <c r="S771" s="8"/>
      <c r="T771" s="8"/>
      <c r="U771" s="8"/>
    </row>
    <row r="772">
      <c r="A772" s="10" t="s">
        <v>2334</v>
      </c>
      <c r="B772" s="10" t="s">
        <v>2335</v>
      </c>
      <c r="C772" s="12" t="s">
        <v>2368</v>
      </c>
      <c r="D772" s="13" t="s">
        <v>2369</v>
      </c>
      <c r="E772" s="16">
        <f t="array" ref="E772">XLOOKUP(C772,'DATA TK PANEN'!D:D,'DATA TK PANEN'!H:H)</f>
        <v>0</v>
      </c>
      <c r="F772" s="10">
        <f>IFERROR(__xludf.DUMMYFUNCTION("XLOOKUP(C772,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2" s="10">
        <f>IFERROR(__xludf.DUMMYFUNCTION("XLOOKUP($C772,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2" s="10">
        <f>IFERROR(__xludf.DUMMYFUNCTION("XLOOKUP($C772,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2" s="18"/>
      <c r="J772" s="18"/>
      <c r="K772" s="10">
        <f>IFERROR(__xludf.DUMMYFUNCTION("XLOOKUP($C772,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2" s="10">
        <f>IFERROR(__xludf.DUMMYFUNCTION("XLOOKUP($C772,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2" s="8"/>
      <c r="N772" s="8"/>
      <c r="O772" s="8"/>
      <c r="P772" s="8"/>
      <c r="Q772" s="8"/>
      <c r="R772" s="8"/>
      <c r="S772" s="8"/>
      <c r="T772" s="8"/>
      <c r="U772" s="8"/>
    </row>
    <row r="773">
      <c r="A773" s="10" t="s">
        <v>2334</v>
      </c>
      <c r="B773" s="10" t="s">
        <v>2335</v>
      </c>
      <c r="C773" s="12" t="s">
        <v>2370</v>
      </c>
      <c r="D773" s="13" t="s">
        <v>2371</v>
      </c>
      <c r="E773" s="16">
        <f t="array" ref="E773">XLOOKUP(C773,'DATA TK PANEN'!D:D,'DATA TK PANEN'!H:H)</f>
        <v>46.39</v>
      </c>
      <c r="F773" s="10">
        <f>IFERROR(__xludf.DUMMYFUNCTION("XLOOKUP(C773,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3" s="10">
        <f>IFERROR(__xludf.DUMMYFUNCTION("XLOOKUP($C773,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3" s="10">
        <f>IFERROR(__xludf.DUMMYFUNCTION("XLOOKUP($C773,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3" s="18"/>
      <c r="J773" s="18"/>
      <c r="K773" s="10">
        <f>IFERROR(__xludf.DUMMYFUNCTION("XLOOKUP($C773,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3" s="10">
        <f>IFERROR(__xludf.DUMMYFUNCTION("XLOOKUP($C773,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3" s="8"/>
      <c r="N773" s="8"/>
      <c r="O773" s="8"/>
      <c r="P773" s="8"/>
      <c r="Q773" s="8"/>
      <c r="R773" s="8"/>
      <c r="S773" s="8"/>
      <c r="T773" s="8"/>
      <c r="U773" s="8"/>
    </row>
    <row r="774">
      <c r="A774" s="10" t="s">
        <v>2334</v>
      </c>
      <c r="B774" s="10" t="s">
        <v>2335</v>
      </c>
      <c r="C774" s="12" t="s">
        <v>2372</v>
      </c>
      <c r="D774" s="13" t="s">
        <v>2373</v>
      </c>
      <c r="E774" s="16">
        <f t="array" ref="E774">XLOOKUP(C774,'DATA TK PANEN'!D:D,'DATA TK PANEN'!H:H)</f>
        <v>0</v>
      </c>
      <c r="F774" s="10">
        <f>IFERROR(__xludf.DUMMYFUNCTION("XLOOKUP(C774,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4" s="10">
        <f>IFERROR(__xludf.DUMMYFUNCTION("XLOOKUP($C774,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4" s="10">
        <f>IFERROR(__xludf.DUMMYFUNCTION("XLOOKUP($C774,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4" s="18"/>
      <c r="J774" s="18"/>
      <c r="K774" s="10">
        <f>IFERROR(__xludf.DUMMYFUNCTION("XLOOKUP($C774,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4" s="10">
        <f>IFERROR(__xludf.DUMMYFUNCTION("XLOOKUP($C774,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4" s="8"/>
      <c r="N774" s="8"/>
      <c r="O774" s="8"/>
      <c r="P774" s="8"/>
      <c r="Q774" s="8"/>
      <c r="R774" s="8"/>
      <c r="S774" s="8"/>
      <c r="T774" s="8"/>
      <c r="U774" s="8"/>
    </row>
    <row r="775">
      <c r="A775" s="10" t="s">
        <v>2334</v>
      </c>
      <c r="B775" s="10" t="s">
        <v>2335</v>
      </c>
      <c r="C775" s="12" t="s">
        <v>2374</v>
      </c>
      <c r="D775" s="13" t="s">
        <v>2375</v>
      </c>
      <c r="E775" s="16">
        <f t="array" ref="E775">XLOOKUP(C775,'DATA TK PANEN'!D:D,'DATA TK PANEN'!H:H)</f>
        <v>0</v>
      </c>
      <c r="F775" s="10">
        <f>IFERROR(__xludf.DUMMYFUNCTION("XLOOKUP(C775,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5" s="10">
        <f>IFERROR(__xludf.DUMMYFUNCTION("XLOOKUP($C775,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5" s="10">
        <f>IFERROR(__xludf.DUMMYFUNCTION("XLOOKUP($C775,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5" s="18"/>
      <c r="J775" s="18"/>
      <c r="K775" s="10">
        <f>IFERROR(__xludf.DUMMYFUNCTION("XLOOKUP($C775,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5" s="10">
        <f>IFERROR(__xludf.DUMMYFUNCTION("XLOOKUP($C775,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5" s="8"/>
      <c r="N775" s="8"/>
      <c r="O775" s="8"/>
      <c r="P775" s="8"/>
      <c r="Q775" s="8"/>
      <c r="R775" s="8"/>
      <c r="S775" s="8"/>
      <c r="T775" s="8"/>
      <c r="U775" s="8"/>
    </row>
    <row r="776">
      <c r="A776" s="10" t="s">
        <v>2334</v>
      </c>
      <c r="B776" s="10" t="s">
        <v>2376</v>
      </c>
      <c r="C776" s="12" t="s">
        <v>2378</v>
      </c>
      <c r="D776" s="13" t="s">
        <v>2379</v>
      </c>
      <c r="E776" s="16">
        <f t="array" ref="E776">XLOOKUP(C776,'DATA TK PANEN'!D:D,'DATA TK PANEN'!H:H)</f>
        <v>162.44</v>
      </c>
      <c r="F776" s="10">
        <f>IFERROR(__xludf.DUMMYFUNCTION("XLOOKUP(C776,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(AUTO)'!S6:S""))"),9.7464)</f>
        <v>9.7464</v>
      </c>
      <c r="G776" s="10">
        <f>IFERROR(__xludf.DUMMYFUNCTION("XLOOKUP($C776,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(AUTO)'!T6:T""))"),3.0)</f>
        <v>3</v>
      </c>
      <c r="H776" s="10">
        <f>IFERROR(__xludf.DUMMYFUNCTION("XLOOKUP($C776,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(AUTO)'!V6:V""))"),3.0)</f>
        <v>3</v>
      </c>
      <c r="I776" s="18"/>
      <c r="J776" s="18"/>
      <c r="K776" s="10">
        <f>IFERROR(__xludf.DUMMYFUNCTION("XLOOKUP($C776,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(AUTO)'!W6:W""))"),3.0)</f>
        <v>3</v>
      </c>
      <c r="L776" s="10">
        <f>IFERROR(__xludf.DUMMYFUNCTION("XLOOKUP($C776,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(AUTO)'!X6:X""))"),3.0)</f>
        <v>3</v>
      </c>
      <c r="M776" s="8"/>
      <c r="N776" s="8"/>
      <c r="O776" s="8"/>
      <c r="P776" s="8"/>
      <c r="Q776" s="8"/>
      <c r="R776" s="8"/>
      <c r="S776" s="8"/>
      <c r="T776" s="8"/>
      <c r="U776" s="8"/>
    </row>
    <row r="777">
      <c r="A777" s="10" t="s">
        <v>2334</v>
      </c>
      <c r="B777" s="10" t="s">
        <v>2376</v>
      </c>
      <c r="C777" s="12" t="s">
        <v>2380</v>
      </c>
      <c r="D777" s="13" t="s">
        <v>2381</v>
      </c>
      <c r="E777" s="16">
        <f t="array" ref="E777">XLOOKUP(C777,'DATA TK PANEN'!D:D,'DATA TK PANEN'!H:H)</f>
        <v>0</v>
      </c>
      <c r="F777" s="10">
        <f>IFERROR(__xludf.DUMMYFUNCTION("XLOOKUP(C777,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7" s="10">
        <f>IFERROR(__xludf.DUMMYFUNCTION("XLOOKUP($C777,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7" s="10">
        <f>IFERROR(__xludf.DUMMYFUNCTION("XLOOKUP($C777,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7" s="18"/>
      <c r="J777" s="18"/>
      <c r="K777" s="10">
        <f>IFERROR(__xludf.DUMMYFUNCTION("XLOOKUP($C777,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7" s="10">
        <f>IFERROR(__xludf.DUMMYFUNCTION("XLOOKUP($C777,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7" s="8"/>
      <c r="N777" s="8"/>
      <c r="O777" s="8"/>
      <c r="P777" s="8"/>
      <c r="Q777" s="8"/>
      <c r="R777" s="8"/>
      <c r="S777" s="8"/>
      <c r="T777" s="8"/>
      <c r="U777" s="8"/>
    </row>
    <row r="778">
      <c r="A778" s="10" t="s">
        <v>2334</v>
      </c>
      <c r="B778" s="10" t="s">
        <v>2376</v>
      </c>
      <c r="C778" s="12" t="s">
        <v>2382</v>
      </c>
      <c r="D778" s="13" t="s">
        <v>2383</v>
      </c>
      <c r="E778" s="16">
        <f t="array" ref="E778">XLOOKUP(C778,'DATA TK PANEN'!D:D,'DATA TK PANEN'!H:H)</f>
        <v>2.78</v>
      </c>
      <c r="F778" s="10">
        <f>IFERROR(__xludf.DUMMYFUNCTION("XLOOKUP(C778,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(AUTO)'!S6:S""))"),0.16679999999999998)</f>
        <v>0.1668</v>
      </c>
      <c r="G778" s="10">
        <f>IFERROR(__xludf.DUMMYFUNCTION("XLOOKUP($C778,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(AUTO)'!T6:T""))"),1.0)</f>
        <v>1</v>
      </c>
      <c r="H778" s="10">
        <f>IFERROR(__xludf.DUMMYFUNCTION("XLOOKUP($C778,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(AUTO)'!V6:V""))"),2.0)</f>
        <v>2</v>
      </c>
      <c r="I778" s="18"/>
      <c r="J778" s="18"/>
      <c r="K778" s="10">
        <f>IFERROR(__xludf.DUMMYFUNCTION("XLOOKUP($C778,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8" s="10">
        <f>IFERROR(__xludf.DUMMYFUNCTION("XLOOKUP($C778,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8" s="8"/>
      <c r="N778" s="8"/>
      <c r="O778" s="8"/>
      <c r="P778" s="8"/>
      <c r="Q778" s="8"/>
      <c r="R778" s="8"/>
      <c r="S778" s="8"/>
      <c r="T778" s="8"/>
      <c r="U778" s="8"/>
    </row>
    <row r="779">
      <c r="A779" s="10" t="s">
        <v>2334</v>
      </c>
      <c r="B779" s="10" t="s">
        <v>2376</v>
      </c>
      <c r="C779" s="12" t="s">
        <v>2384</v>
      </c>
      <c r="D779" s="13" t="s">
        <v>2385</v>
      </c>
      <c r="E779" s="16">
        <f t="array" ref="E779">XLOOKUP(C779,'DATA TK PANEN'!D:D,'DATA TK PANEN'!H:H)</f>
        <v>0</v>
      </c>
      <c r="F779" s="10">
        <f>IFERROR(__xludf.DUMMYFUNCTION("XLOOKUP(C779,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79" s="10">
        <f>IFERROR(__xludf.DUMMYFUNCTION("XLOOKUP($C779,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79" s="10">
        <f>IFERROR(__xludf.DUMMYFUNCTION("XLOOKUP($C779,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79" s="18"/>
      <c r="J779" s="18"/>
      <c r="K779" s="10">
        <f>IFERROR(__xludf.DUMMYFUNCTION("XLOOKUP($C779,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79" s="10">
        <f>IFERROR(__xludf.DUMMYFUNCTION("XLOOKUP($C779,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79" s="8"/>
      <c r="N779" s="8"/>
      <c r="O779" s="8"/>
      <c r="P779" s="8"/>
      <c r="Q779" s="8"/>
      <c r="R779" s="8"/>
      <c r="S779" s="8"/>
      <c r="T779" s="8"/>
      <c r="U779" s="8"/>
    </row>
    <row r="780">
      <c r="A780" s="10" t="s">
        <v>2334</v>
      </c>
      <c r="B780" s="10" t="s">
        <v>2376</v>
      </c>
      <c r="C780" s="12" t="s">
        <v>2386</v>
      </c>
      <c r="D780" s="13" t="s">
        <v>2387</v>
      </c>
      <c r="E780" s="16">
        <f t="array" ref="E780">XLOOKUP(C780,'DATA TK PANEN'!D:D,'DATA TK PANEN'!H:H)</f>
        <v>110.05</v>
      </c>
      <c r="F780" s="10">
        <f>IFERROR(__xludf.DUMMYFUNCTION("XLOOKUP(C780,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(AUTO)'!S6:S""))"),6.603)</f>
        <v>6.603</v>
      </c>
      <c r="G780" s="10">
        <f>IFERROR(__xludf.DUMMYFUNCTION("XLOOKUP($C780,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780" s="10">
        <f>IFERROR(__xludf.DUMMYFUNCTION("XLOOKUP($C780,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780" s="18"/>
      <c r="J780" s="18"/>
      <c r="K780" s="10">
        <f>IFERROR(__xludf.DUMMYFUNCTION("XLOOKUP($C780,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80" s="10">
        <f>IFERROR(__xludf.DUMMYFUNCTION("XLOOKUP($C780,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80" s="8"/>
      <c r="N780" s="8"/>
      <c r="O780" s="8"/>
      <c r="P780" s="8"/>
      <c r="Q780" s="8"/>
      <c r="R780" s="8"/>
      <c r="S780" s="8"/>
      <c r="T780" s="8"/>
      <c r="U780" s="8"/>
    </row>
    <row r="781">
      <c r="A781" s="10" t="s">
        <v>2334</v>
      </c>
      <c r="B781" s="10" t="s">
        <v>2376</v>
      </c>
      <c r="C781" s="12" t="s">
        <v>2388</v>
      </c>
      <c r="D781" s="13" t="s">
        <v>2389</v>
      </c>
      <c r="E781" s="16" t="str">
        <f t="array" ref="E781">XLOOKUP(C781,'DATA TK PANEN'!D:D,'DATA TK PANEN'!H:H)</f>
        <v>767.87</v>
      </c>
      <c r="F781" s="10">
        <f>IFERROR(__xludf.DUMMYFUNCTION("XLOOKUP(C781,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(AUTO)'!S6:S""))"),46.072199999999995)</f>
        <v>46.0722</v>
      </c>
      <c r="G781" s="10">
        <f>IFERROR(__xludf.DUMMYFUNCTION("XLOOKUP($C781,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(AUTO)'!T6:T""))"),4.0)</f>
        <v>4</v>
      </c>
      <c r="H781" s="10">
        <f>IFERROR(__xludf.DUMMYFUNCTION("XLOOKUP($C781,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(AUTO)'!V6:V""))"),4.0)</f>
        <v>4</v>
      </c>
      <c r="I781" s="18"/>
      <c r="J781" s="18"/>
      <c r="K781" s="10">
        <f>IFERROR(__xludf.DUMMYFUNCTION("XLOOKUP($C781,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781" s="10">
        <f>IFERROR(__xludf.DUMMYFUNCTION("XLOOKUP($C781,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(AUTO)'!X6:X""))"),10.0)</f>
        <v>10</v>
      </c>
      <c r="M781" s="8"/>
      <c r="N781" s="8"/>
      <c r="O781" s="8"/>
      <c r="P781" s="8"/>
      <c r="Q781" s="8"/>
      <c r="R781" s="8"/>
      <c r="S781" s="8"/>
      <c r="T781" s="8"/>
      <c r="U781" s="8"/>
    </row>
    <row r="782">
      <c r="A782" s="10" t="s">
        <v>2334</v>
      </c>
      <c r="B782" s="10" t="s">
        <v>2376</v>
      </c>
      <c r="C782" s="12" t="s">
        <v>2391</v>
      </c>
      <c r="D782" s="13" t="s">
        <v>2392</v>
      </c>
      <c r="E782" s="16">
        <f t="array" ref="E782">XLOOKUP(C782,'DATA TK PANEN'!D:D,'DATA TK PANEN'!H:H)</f>
        <v>500</v>
      </c>
      <c r="F782" s="10">
        <f>IFERROR(__xludf.DUMMYFUNCTION("XLOOKUP(C782,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(AUTO)'!S6:S""))"),30.0)</f>
        <v>30</v>
      </c>
      <c r="G782" s="10">
        <f>IFERROR(__xludf.DUMMYFUNCTION("XLOOKUP($C782,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(AUTO)'!T6:T""))"),12.0)</f>
        <v>12</v>
      </c>
      <c r="H782" s="10">
        <f>IFERROR(__xludf.DUMMYFUNCTION("XLOOKUP($C782,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(AUTO)'!V6:V""))"),12.0)</f>
        <v>12</v>
      </c>
      <c r="I782" s="18"/>
      <c r="J782" s="18"/>
      <c r="K782" s="10">
        <f>IFERROR(__xludf.DUMMYFUNCTION("XLOOKUP($C782,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(AUTO)'!W6:W""))"),5.0)</f>
        <v>5</v>
      </c>
      <c r="L782" s="10">
        <f>IFERROR(__xludf.DUMMYFUNCTION("XLOOKUP($C782,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(AUTO)'!X6:X""))"),5.0)</f>
        <v>5</v>
      </c>
      <c r="M782" s="8"/>
      <c r="N782" s="8"/>
      <c r="O782" s="8"/>
      <c r="P782" s="8"/>
      <c r="Q782" s="8"/>
      <c r="R782" s="8"/>
      <c r="S782" s="8"/>
      <c r="T782" s="8"/>
      <c r="U782" s="8"/>
    </row>
    <row r="783">
      <c r="A783" s="10" t="s">
        <v>2334</v>
      </c>
      <c r="B783" s="10" t="s">
        <v>2376</v>
      </c>
      <c r="C783" s="12" t="s">
        <v>2393</v>
      </c>
      <c r="D783" s="13" t="s">
        <v>2394</v>
      </c>
      <c r="E783" s="16">
        <f t="array" ref="E783">XLOOKUP(C783,'DATA TK PANEN'!D:D,'DATA TK PANEN'!H:H)</f>
        <v>0</v>
      </c>
      <c r="F783" s="10">
        <f>IFERROR(__xludf.DUMMYFUNCTION("XLOOKUP(C783,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83" s="10">
        <f>IFERROR(__xludf.DUMMYFUNCTION("XLOOKUP($C783,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83" s="10">
        <f>IFERROR(__xludf.DUMMYFUNCTION("XLOOKUP($C783,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83" s="18"/>
      <c r="J783" s="18"/>
      <c r="K783" s="10">
        <f>IFERROR(__xludf.DUMMYFUNCTION("XLOOKUP($C783,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83" s="10">
        <f>IFERROR(__xludf.DUMMYFUNCTION("XLOOKUP($C783,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83" s="8"/>
      <c r="N783" s="8"/>
      <c r="O783" s="8"/>
      <c r="P783" s="8"/>
      <c r="Q783" s="8"/>
      <c r="R783" s="8"/>
      <c r="S783" s="8"/>
      <c r="T783" s="8"/>
      <c r="U783" s="8"/>
    </row>
    <row r="784">
      <c r="A784" s="10" t="s">
        <v>2334</v>
      </c>
      <c r="B784" s="10" t="s">
        <v>2376</v>
      </c>
      <c r="C784" s="12" t="s">
        <v>2395</v>
      </c>
      <c r="D784" s="13" t="s">
        <v>2396</v>
      </c>
      <c r="E784" s="16">
        <f t="array" ref="E784">XLOOKUP(C784,'DATA TK PANEN'!D:D,'DATA TK PANEN'!H:H)</f>
        <v>0</v>
      </c>
      <c r="F784" s="10">
        <f>IFERROR(__xludf.DUMMYFUNCTION("XLOOKUP(C784,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84" s="10">
        <f>IFERROR(__xludf.DUMMYFUNCTION("XLOOKUP($C784,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84" s="10">
        <f>IFERROR(__xludf.DUMMYFUNCTION("XLOOKUP($C784,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84" s="18"/>
      <c r="J784" s="18"/>
      <c r="K784" s="10">
        <f>IFERROR(__xludf.DUMMYFUNCTION("XLOOKUP($C784,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84" s="10">
        <f>IFERROR(__xludf.DUMMYFUNCTION("XLOOKUP($C784,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84" s="8"/>
      <c r="N784" s="8"/>
      <c r="O784" s="8"/>
      <c r="P784" s="8"/>
      <c r="Q784" s="8"/>
      <c r="R784" s="8"/>
      <c r="S784" s="8"/>
      <c r="T784" s="8"/>
      <c r="U784" s="8"/>
    </row>
    <row r="785">
      <c r="A785" s="10" t="s">
        <v>2334</v>
      </c>
      <c r="B785" s="10" t="s">
        <v>2376</v>
      </c>
      <c r="C785" s="12" t="s">
        <v>1815</v>
      </c>
      <c r="D785" s="13" t="s">
        <v>2397</v>
      </c>
      <c r="E785" s="16">
        <f t="array" ref="E785">XLOOKUP(C785,'DATA TK PANEN'!D:D,'DATA TK PANEN'!H:H)</f>
        <v>1101.36</v>
      </c>
      <c r="F785" s="10">
        <f>IFERROR(__xludf.DUMMYFUNCTION("XLOOKUP(C785,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(AUTO)'!S6:S""))"),0.0)</f>
        <v>0</v>
      </c>
      <c r="G785" s="10">
        <f>IFERROR(__xludf.DUMMYFUNCTION("XLOOKUP($C785,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(AUTO)'!T6:T""))"),0.0)</f>
        <v>0</v>
      </c>
      <c r="H785" s="10">
        <f>IFERROR(__xludf.DUMMYFUNCTION("XLOOKUP($C785,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(AUTO)'!V6:V""))"),0.0)</f>
        <v>0</v>
      </c>
      <c r="I785" s="18"/>
      <c r="J785" s="18"/>
      <c r="K785" s="10">
        <f>IFERROR(__xludf.DUMMYFUNCTION("XLOOKUP($C785,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(AUTO)'!W6:W""))"),0.0)</f>
        <v>0</v>
      </c>
      <c r="L785" s="10">
        <f>IFERROR(__xludf.DUMMYFUNCTION("XLOOKUP($C785,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(AUTO)'!X6:X""))"),0.0)</f>
        <v>0</v>
      </c>
      <c r="M785" s="8"/>
      <c r="N785" s="8"/>
      <c r="O785" s="8"/>
      <c r="P785" s="8"/>
      <c r="Q785" s="8"/>
      <c r="R785" s="8"/>
      <c r="S785" s="8"/>
      <c r="T785" s="8"/>
      <c r="U785" s="8"/>
    </row>
    <row r="786">
      <c r="A786" s="10" t="s">
        <v>2398</v>
      </c>
      <c r="B786" s="10" t="s">
        <v>2399</v>
      </c>
      <c r="C786" s="12" t="s">
        <v>2400</v>
      </c>
      <c r="D786" s="13" t="s">
        <v>2401</v>
      </c>
      <c r="E786" s="16" t="str">
        <f t="array" ref="E786">XLOOKUP(C786,'DATA TK PANEN'!D:D,'DATA TK PANEN'!H:H)</f>
        <v>Tidak Ditemukan</v>
      </c>
      <c r="F786" s="10" t="str">
        <f>IFERROR(__xludf.DUMMYFUNCTION("XLOOKUP(C786,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86" s="10" t="str">
        <f>IFERROR(__xludf.DUMMYFUNCTION("XLOOKUP($C786,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86" s="10" t="str">
        <f>IFERROR(__xludf.DUMMYFUNCTION("XLOOKUP($C786,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86" s="18"/>
      <c r="J786" s="18"/>
      <c r="K786" s="10" t="str">
        <f>IFERROR(__xludf.DUMMYFUNCTION("XLOOKUP($C786,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86" s="10" t="str">
        <f>IFERROR(__xludf.DUMMYFUNCTION("XLOOKUP($C786,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86" s="8"/>
      <c r="N786" s="8"/>
      <c r="O786" s="8"/>
      <c r="P786" s="8"/>
      <c r="Q786" s="8"/>
      <c r="R786" s="8"/>
      <c r="S786" s="8"/>
      <c r="T786" s="8"/>
      <c r="U786" s="8"/>
    </row>
    <row r="787">
      <c r="A787" s="10" t="s">
        <v>2398</v>
      </c>
      <c r="B787" s="10" t="s">
        <v>2399</v>
      </c>
      <c r="C787" s="12" t="s">
        <v>2402</v>
      </c>
      <c r="D787" s="13" t="s">
        <v>2403</v>
      </c>
      <c r="E787" s="16" t="str">
        <f t="array" ref="E787">XLOOKUP(C787,'DATA TK PANEN'!D:D,'DATA TK PANEN'!H:H)</f>
        <v>Tidak Ditemukan</v>
      </c>
      <c r="F787" s="10" t="str">
        <f>IFERROR(__xludf.DUMMYFUNCTION("XLOOKUP(C787,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87" s="10" t="str">
        <f>IFERROR(__xludf.DUMMYFUNCTION("XLOOKUP($C787,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87" s="10" t="str">
        <f>IFERROR(__xludf.DUMMYFUNCTION("XLOOKUP($C787,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87" s="18"/>
      <c r="J787" s="18"/>
      <c r="K787" s="10" t="str">
        <f>IFERROR(__xludf.DUMMYFUNCTION("XLOOKUP($C787,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87" s="10" t="str">
        <f>IFERROR(__xludf.DUMMYFUNCTION("XLOOKUP($C787,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87" s="8"/>
      <c r="N787" s="8"/>
      <c r="O787" s="8"/>
      <c r="P787" s="8"/>
      <c r="Q787" s="8"/>
      <c r="R787" s="8"/>
      <c r="S787" s="8"/>
      <c r="T787" s="8"/>
      <c r="U787" s="8"/>
    </row>
    <row r="788">
      <c r="A788" s="10" t="s">
        <v>2398</v>
      </c>
      <c r="B788" s="10" t="s">
        <v>2399</v>
      </c>
      <c r="C788" s="12" t="s">
        <v>2404</v>
      </c>
      <c r="D788" s="13" t="s">
        <v>2405</v>
      </c>
      <c r="E788" s="16" t="str">
        <f t="array" ref="E788">XLOOKUP(C788,'DATA TK PANEN'!D:D,'DATA TK PANEN'!H:H)</f>
        <v>Tidak Ditemukan</v>
      </c>
      <c r="F788" s="10" t="str">
        <f>IFERROR(__xludf.DUMMYFUNCTION("XLOOKUP(C788,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88" s="10" t="str">
        <f>IFERROR(__xludf.DUMMYFUNCTION("XLOOKUP($C788,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88" s="10" t="str">
        <f>IFERROR(__xludf.DUMMYFUNCTION("XLOOKUP($C788,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88" s="18"/>
      <c r="J788" s="18"/>
      <c r="K788" s="10" t="str">
        <f>IFERROR(__xludf.DUMMYFUNCTION("XLOOKUP($C788,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88" s="10" t="str">
        <f>IFERROR(__xludf.DUMMYFUNCTION("XLOOKUP($C788,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88" s="8"/>
      <c r="N788" s="8"/>
      <c r="O788" s="8"/>
      <c r="P788" s="8"/>
      <c r="Q788" s="8"/>
      <c r="R788" s="8"/>
      <c r="S788" s="8"/>
      <c r="T788" s="8"/>
      <c r="U788" s="8"/>
    </row>
    <row r="789">
      <c r="A789" s="10" t="s">
        <v>2398</v>
      </c>
      <c r="B789" s="10" t="s">
        <v>2399</v>
      </c>
      <c r="C789" s="12" t="s">
        <v>2406</v>
      </c>
      <c r="D789" s="13" t="s">
        <v>2407</v>
      </c>
      <c r="E789" s="16" t="str">
        <f t="array" ref="E789">XLOOKUP(C789,'DATA TK PANEN'!D:D,'DATA TK PANEN'!H:H)</f>
        <v>Tidak Ditemukan</v>
      </c>
      <c r="F789" s="10" t="str">
        <f>IFERROR(__xludf.DUMMYFUNCTION("XLOOKUP(C789,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89" s="10" t="str">
        <f>IFERROR(__xludf.DUMMYFUNCTION("XLOOKUP($C789,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89" s="10" t="str">
        <f>IFERROR(__xludf.DUMMYFUNCTION("XLOOKUP($C789,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89" s="18"/>
      <c r="J789" s="18"/>
      <c r="K789" s="10" t="str">
        <f>IFERROR(__xludf.DUMMYFUNCTION("XLOOKUP($C789,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89" s="10" t="str">
        <f>IFERROR(__xludf.DUMMYFUNCTION("XLOOKUP($C789,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89" s="8"/>
      <c r="N789" s="8"/>
      <c r="O789" s="8"/>
      <c r="P789" s="8"/>
      <c r="Q789" s="8"/>
      <c r="R789" s="8"/>
      <c r="S789" s="8"/>
      <c r="T789" s="8"/>
      <c r="U789" s="8"/>
    </row>
    <row r="790">
      <c r="A790" s="10" t="s">
        <v>2398</v>
      </c>
      <c r="B790" s="10" t="s">
        <v>2399</v>
      </c>
      <c r="C790" s="12" t="s">
        <v>2408</v>
      </c>
      <c r="D790" s="13" t="s">
        <v>2409</v>
      </c>
      <c r="E790" s="16" t="str">
        <f t="array" ref="E790">XLOOKUP(C790,'DATA TK PANEN'!D:D,'DATA TK PANEN'!H:H)</f>
        <v>Tidak Ditemukan</v>
      </c>
      <c r="F790" s="10" t="str">
        <f>IFERROR(__xludf.DUMMYFUNCTION("XLOOKUP(C790,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0" s="10" t="str">
        <f>IFERROR(__xludf.DUMMYFUNCTION("XLOOKUP($C790,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0" s="10" t="str">
        <f>IFERROR(__xludf.DUMMYFUNCTION("XLOOKUP($C790,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0" s="18"/>
      <c r="J790" s="18"/>
      <c r="K790" s="10" t="str">
        <f>IFERROR(__xludf.DUMMYFUNCTION("XLOOKUP($C790,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0" s="10" t="str">
        <f>IFERROR(__xludf.DUMMYFUNCTION("XLOOKUP($C790,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0" s="8"/>
      <c r="N790" s="8"/>
      <c r="O790" s="8"/>
      <c r="P790" s="8"/>
      <c r="Q790" s="8"/>
      <c r="R790" s="8"/>
      <c r="S790" s="8"/>
      <c r="T790" s="8"/>
      <c r="U790" s="8"/>
    </row>
    <row r="791">
      <c r="A791" s="10" t="s">
        <v>2398</v>
      </c>
      <c r="B791" s="10" t="s">
        <v>2399</v>
      </c>
      <c r="C791" s="12" t="s">
        <v>2410</v>
      </c>
      <c r="D791" s="13" t="s">
        <v>2411</v>
      </c>
      <c r="E791" s="16" t="str">
        <f t="array" ref="E791">XLOOKUP(C791,'DATA TK PANEN'!D:D,'DATA TK PANEN'!H:H)</f>
        <v>Tidak Ditemukan</v>
      </c>
      <c r="F791" s="10" t="str">
        <f>IFERROR(__xludf.DUMMYFUNCTION("XLOOKUP(C791,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1" s="10" t="str">
        <f>IFERROR(__xludf.DUMMYFUNCTION("XLOOKUP($C791,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1" s="10" t="str">
        <f>IFERROR(__xludf.DUMMYFUNCTION("XLOOKUP($C791,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1" s="18"/>
      <c r="J791" s="18"/>
      <c r="K791" s="10" t="str">
        <f>IFERROR(__xludf.DUMMYFUNCTION("XLOOKUP($C791,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1" s="10" t="str">
        <f>IFERROR(__xludf.DUMMYFUNCTION("XLOOKUP($C791,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1" s="8"/>
      <c r="N791" s="8"/>
      <c r="O791" s="8"/>
      <c r="P791" s="8"/>
      <c r="Q791" s="8"/>
      <c r="R791" s="8"/>
      <c r="S791" s="8"/>
      <c r="T791" s="8"/>
      <c r="U791" s="8"/>
    </row>
    <row r="792">
      <c r="A792" s="10" t="s">
        <v>2398</v>
      </c>
      <c r="B792" s="10" t="s">
        <v>2399</v>
      </c>
      <c r="C792" s="12" t="s">
        <v>2412</v>
      </c>
      <c r="D792" s="13" t="s">
        <v>2413</v>
      </c>
      <c r="E792" s="16" t="str">
        <f t="array" ref="E792">XLOOKUP(C792,'DATA TK PANEN'!D:D,'DATA TK PANEN'!H:H)</f>
        <v>Tidak Ditemukan</v>
      </c>
      <c r="F792" s="10" t="str">
        <f>IFERROR(__xludf.DUMMYFUNCTION("XLOOKUP(C792,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2" s="10" t="str">
        <f>IFERROR(__xludf.DUMMYFUNCTION("XLOOKUP($C792,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2" s="10" t="str">
        <f>IFERROR(__xludf.DUMMYFUNCTION("XLOOKUP($C792,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2" s="18"/>
      <c r="J792" s="18"/>
      <c r="K792" s="10" t="str">
        <f>IFERROR(__xludf.DUMMYFUNCTION("XLOOKUP($C792,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2" s="10" t="str">
        <f>IFERROR(__xludf.DUMMYFUNCTION("XLOOKUP($C792,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2" s="8"/>
      <c r="N792" s="8"/>
      <c r="O792" s="8"/>
      <c r="P792" s="8"/>
      <c r="Q792" s="8"/>
      <c r="R792" s="8"/>
      <c r="S792" s="8"/>
      <c r="T792" s="8"/>
      <c r="U792" s="8"/>
    </row>
    <row r="793">
      <c r="A793" s="10" t="s">
        <v>2398</v>
      </c>
      <c r="B793" s="10" t="s">
        <v>2399</v>
      </c>
      <c r="C793" s="12" t="s">
        <v>2414</v>
      </c>
      <c r="D793" s="13" t="s">
        <v>2415</v>
      </c>
      <c r="E793" s="16" t="str">
        <f t="array" ref="E793">XLOOKUP(C793,'DATA TK PANEN'!D:D,'DATA TK PANEN'!H:H)</f>
        <v>Tidak Ditemukan</v>
      </c>
      <c r="F793" s="10" t="str">
        <f>IFERROR(__xludf.DUMMYFUNCTION("XLOOKUP(C793,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3" s="10" t="str">
        <f>IFERROR(__xludf.DUMMYFUNCTION("XLOOKUP($C793,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3" s="10" t="str">
        <f>IFERROR(__xludf.DUMMYFUNCTION("XLOOKUP($C793,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3" s="18"/>
      <c r="J793" s="18"/>
      <c r="K793" s="10" t="str">
        <f>IFERROR(__xludf.DUMMYFUNCTION("XLOOKUP($C793,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3" s="10" t="str">
        <f>IFERROR(__xludf.DUMMYFUNCTION("XLOOKUP($C793,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3" s="8"/>
      <c r="N793" s="8"/>
      <c r="O793" s="8"/>
      <c r="P793" s="8"/>
      <c r="Q793" s="8"/>
      <c r="R793" s="8"/>
      <c r="S793" s="8"/>
      <c r="T793" s="8"/>
      <c r="U793" s="8"/>
    </row>
    <row r="794">
      <c r="A794" s="10" t="s">
        <v>2398</v>
      </c>
      <c r="B794" s="10" t="s">
        <v>2399</v>
      </c>
      <c r="C794" s="12" t="s">
        <v>2416</v>
      </c>
      <c r="D794" s="13" t="s">
        <v>2417</v>
      </c>
      <c r="E794" s="16" t="str">
        <f t="array" ref="E794">XLOOKUP(C794,'DATA TK PANEN'!D:D,'DATA TK PANEN'!H:H)</f>
        <v>Tidak Ditemukan</v>
      </c>
      <c r="F794" s="10" t="str">
        <f>IFERROR(__xludf.DUMMYFUNCTION("XLOOKUP(C794,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4" s="10" t="str">
        <f>IFERROR(__xludf.DUMMYFUNCTION("XLOOKUP($C794,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4" s="10" t="str">
        <f>IFERROR(__xludf.DUMMYFUNCTION("XLOOKUP($C794,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4" s="18"/>
      <c r="J794" s="18"/>
      <c r="K794" s="10" t="str">
        <f>IFERROR(__xludf.DUMMYFUNCTION("XLOOKUP($C794,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4" s="10" t="str">
        <f>IFERROR(__xludf.DUMMYFUNCTION("XLOOKUP($C794,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4" s="8"/>
      <c r="N794" s="8"/>
      <c r="O794" s="8"/>
      <c r="P794" s="8"/>
      <c r="Q794" s="8"/>
      <c r="R794" s="8"/>
      <c r="S794" s="8"/>
      <c r="T794" s="8"/>
      <c r="U794" s="8"/>
    </row>
    <row r="795">
      <c r="A795" s="10" t="s">
        <v>2398</v>
      </c>
      <c r="B795" s="10" t="s">
        <v>2399</v>
      </c>
      <c r="C795" s="12" t="s">
        <v>2418</v>
      </c>
      <c r="D795" s="13" t="s">
        <v>2419</v>
      </c>
      <c r="E795" s="16" t="str">
        <f t="array" ref="E795">XLOOKUP(C795,'DATA TK PANEN'!D:D,'DATA TK PANEN'!H:H)</f>
        <v>Tidak Ditemukan</v>
      </c>
      <c r="F795" s="10" t="str">
        <f>IFERROR(__xludf.DUMMYFUNCTION("XLOOKUP(C795,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5" s="10" t="str">
        <f>IFERROR(__xludf.DUMMYFUNCTION("XLOOKUP($C795,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5" s="10" t="str">
        <f>IFERROR(__xludf.DUMMYFUNCTION("XLOOKUP($C795,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5" s="18"/>
      <c r="J795" s="18"/>
      <c r="K795" s="10" t="str">
        <f>IFERROR(__xludf.DUMMYFUNCTION("XLOOKUP($C795,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5" s="10" t="str">
        <f>IFERROR(__xludf.DUMMYFUNCTION("XLOOKUP($C795,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5" s="8"/>
      <c r="N795" s="8"/>
      <c r="O795" s="8"/>
      <c r="P795" s="8"/>
      <c r="Q795" s="8"/>
      <c r="R795" s="8"/>
      <c r="S795" s="8"/>
      <c r="T795" s="8"/>
      <c r="U795" s="8"/>
    </row>
    <row r="796">
      <c r="A796" s="10" t="s">
        <v>2398</v>
      </c>
      <c r="B796" s="10" t="s">
        <v>2399</v>
      </c>
      <c r="C796" s="12" t="s">
        <v>2420</v>
      </c>
      <c r="D796" s="13" t="s">
        <v>2421</v>
      </c>
      <c r="E796" s="16" t="str">
        <f t="array" ref="E796">XLOOKUP(C796,'DATA TK PANEN'!D:D,'DATA TK PANEN'!H:H)</f>
        <v>Tidak Ditemukan</v>
      </c>
      <c r="F796" s="10" t="str">
        <f>IFERROR(__xludf.DUMMYFUNCTION("XLOOKUP(C796,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6" s="10" t="str">
        <f>IFERROR(__xludf.DUMMYFUNCTION("XLOOKUP($C796,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6" s="10" t="str">
        <f>IFERROR(__xludf.DUMMYFUNCTION("XLOOKUP($C796,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6" s="18"/>
      <c r="J796" s="18"/>
      <c r="K796" s="10" t="str">
        <f>IFERROR(__xludf.DUMMYFUNCTION("XLOOKUP($C796,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6" s="10" t="str">
        <f>IFERROR(__xludf.DUMMYFUNCTION("XLOOKUP($C796,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6" s="8"/>
      <c r="N796" s="8"/>
      <c r="O796" s="8"/>
      <c r="P796" s="8"/>
      <c r="Q796" s="8"/>
      <c r="R796" s="8"/>
      <c r="S796" s="8"/>
      <c r="T796" s="8"/>
      <c r="U796" s="8"/>
    </row>
    <row r="797">
      <c r="A797" s="10" t="s">
        <v>2398</v>
      </c>
      <c r="B797" s="10" t="s">
        <v>2399</v>
      </c>
      <c r="C797" s="12" t="s">
        <v>2422</v>
      </c>
      <c r="D797" s="13" t="s">
        <v>2423</v>
      </c>
      <c r="E797" s="16" t="str">
        <f t="array" ref="E797">XLOOKUP(C797,'DATA TK PANEN'!D:D,'DATA TK PANEN'!H:H)</f>
        <v>Tidak Ditemukan</v>
      </c>
      <c r="F797" s="10" t="str">
        <f>IFERROR(__xludf.DUMMYFUNCTION("XLOOKUP(C797,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7" s="10" t="str">
        <f>IFERROR(__xludf.DUMMYFUNCTION("XLOOKUP($C797,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7" s="10" t="str">
        <f>IFERROR(__xludf.DUMMYFUNCTION("XLOOKUP($C797,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7" s="18"/>
      <c r="J797" s="18"/>
      <c r="K797" s="10" t="str">
        <f>IFERROR(__xludf.DUMMYFUNCTION("XLOOKUP($C797,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7" s="10" t="str">
        <f>IFERROR(__xludf.DUMMYFUNCTION("XLOOKUP($C797,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7" s="8"/>
      <c r="N797" s="8"/>
      <c r="O797" s="8"/>
      <c r="P797" s="8"/>
      <c r="Q797" s="8"/>
      <c r="R797" s="8"/>
      <c r="S797" s="8"/>
      <c r="T797" s="8"/>
      <c r="U797" s="8"/>
    </row>
    <row r="798">
      <c r="A798" s="10" t="s">
        <v>2398</v>
      </c>
      <c r="B798" s="10" t="s">
        <v>2399</v>
      </c>
      <c r="C798" s="12" t="s">
        <v>2424</v>
      </c>
      <c r="D798" s="13" t="s">
        <v>2425</v>
      </c>
      <c r="E798" s="16" t="str">
        <f t="array" ref="E798">XLOOKUP(C798,'DATA TK PANEN'!D:D,'DATA TK PANEN'!H:H)</f>
        <v>Tidak Ditemukan</v>
      </c>
      <c r="F798" s="10" t="str">
        <f>IFERROR(__xludf.DUMMYFUNCTION("XLOOKUP(C798,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8" s="10" t="str">
        <f>IFERROR(__xludf.DUMMYFUNCTION("XLOOKUP($C798,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8" s="10" t="str">
        <f>IFERROR(__xludf.DUMMYFUNCTION("XLOOKUP($C798,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8" s="18"/>
      <c r="J798" s="18"/>
      <c r="K798" s="10" t="str">
        <f>IFERROR(__xludf.DUMMYFUNCTION("XLOOKUP($C798,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8" s="10" t="str">
        <f>IFERROR(__xludf.DUMMYFUNCTION("XLOOKUP($C798,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8" s="8"/>
      <c r="N798" s="8"/>
      <c r="O798" s="8"/>
      <c r="P798" s="8"/>
      <c r="Q798" s="8"/>
      <c r="R798" s="8"/>
      <c r="S798" s="8"/>
      <c r="T798" s="8"/>
      <c r="U798" s="8"/>
    </row>
    <row r="799">
      <c r="A799" s="10" t="s">
        <v>2398</v>
      </c>
      <c r="B799" s="10" t="s">
        <v>2399</v>
      </c>
      <c r="C799" s="12" t="s">
        <v>2426</v>
      </c>
      <c r="D799" s="13" t="s">
        <v>2427</v>
      </c>
      <c r="E799" s="16" t="str">
        <f t="array" ref="E799">XLOOKUP(C799,'DATA TK PANEN'!D:D,'DATA TK PANEN'!H:H)</f>
        <v>Tidak Ditemukan</v>
      </c>
      <c r="F799" s="10" t="str">
        <f>IFERROR(__xludf.DUMMYFUNCTION("XLOOKUP(C799,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799" s="10" t="str">
        <f>IFERROR(__xludf.DUMMYFUNCTION("XLOOKUP($C799,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799" s="10" t="str">
        <f>IFERROR(__xludf.DUMMYFUNCTION("XLOOKUP($C799,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799" s="18"/>
      <c r="J799" s="18"/>
      <c r="K799" s="10" t="str">
        <f>IFERROR(__xludf.DUMMYFUNCTION("XLOOKUP($C799,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799" s="10" t="str">
        <f>IFERROR(__xludf.DUMMYFUNCTION("XLOOKUP($C799,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799" s="8"/>
      <c r="N799" s="8"/>
      <c r="O799" s="8"/>
      <c r="P799" s="8"/>
      <c r="Q799" s="8"/>
      <c r="R799" s="8"/>
      <c r="S799" s="8"/>
      <c r="T799" s="8"/>
      <c r="U799" s="8"/>
    </row>
    <row r="800">
      <c r="A800" s="10" t="s">
        <v>2398</v>
      </c>
      <c r="B800" s="10" t="s">
        <v>2399</v>
      </c>
      <c r="C800" s="12" t="s">
        <v>2428</v>
      </c>
      <c r="D800" s="13" t="s">
        <v>2429</v>
      </c>
      <c r="E800" s="16" t="str">
        <f t="array" ref="E800">XLOOKUP(C800,'DATA TK PANEN'!D:D,'DATA TK PANEN'!H:H)</f>
        <v>Tidak Ditemukan</v>
      </c>
      <c r="F800" s="10" t="str">
        <f>IFERROR(__xludf.DUMMYFUNCTION("XLOOKUP(C800,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800" s="10" t="str">
        <f>IFERROR(__xludf.DUMMYFUNCTION("XLOOKUP($C800,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800" s="10" t="str">
        <f>IFERROR(__xludf.DUMMYFUNCTION("XLOOKUP($C800,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800" s="18"/>
      <c r="J800" s="18"/>
      <c r="K800" s="10" t="str">
        <f>IFERROR(__xludf.DUMMYFUNCTION("XLOOKUP($C800,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800" s="10" t="str">
        <f>IFERROR(__xludf.DUMMYFUNCTION("XLOOKUP($C800,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800" s="8"/>
      <c r="N800" s="8"/>
      <c r="O800" s="8"/>
      <c r="P800" s="8"/>
      <c r="Q800" s="8"/>
      <c r="R800" s="8"/>
      <c r="S800" s="8"/>
      <c r="T800" s="8"/>
      <c r="U800" s="8"/>
    </row>
    <row r="801">
      <c r="A801" s="10" t="s">
        <v>2398</v>
      </c>
      <c r="B801" s="10" t="s">
        <v>2399</v>
      </c>
      <c r="C801" s="12" t="s">
        <v>2430</v>
      </c>
      <c r="D801" s="13" t="s">
        <v>2431</v>
      </c>
      <c r="E801" s="16" t="str">
        <f t="array" ref="E801">XLOOKUP(C801,'DATA TK PANEN'!D:D,'DATA TK PANEN'!H:H)</f>
        <v>Tidak Ditemukan</v>
      </c>
      <c r="F801" s="10" t="str">
        <f>IFERROR(__xludf.DUMMYFUNCTION("XLOOKUP(C801,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(AUTO)'!S6:S""))"),"-")</f>
        <v>-</v>
      </c>
      <c r="G801" s="10" t="str">
        <f>IFERROR(__xludf.DUMMYFUNCTION("XLOOKUP($C801,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(AUTO)'!T6:T""))"),"-")</f>
        <v>-</v>
      </c>
      <c r="H801" s="10" t="str">
        <f>IFERROR(__xludf.DUMMYFUNCTION("XLOOKUP($C801,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(AUTO)'!V6:V""))"),"")</f>
        <v/>
      </c>
      <c r="I801" s="18"/>
      <c r="J801" s="18"/>
      <c r="K801" s="10" t="str">
        <f>IFERROR(__xludf.DUMMYFUNCTION("XLOOKUP($C801,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(AUTO)'!W6:W""))"),"")</f>
        <v/>
      </c>
      <c r="L801" s="10" t="str">
        <f>IFERROR(__xludf.DUMMYFUNCTION("XLOOKUP($C801,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(AUTO)'!X6:X""))"),"")</f>
        <v/>
      </c>
      <c r="M801" s="8"/>
      <c r="N801" s="8"/>
      <c r="O801" s="8"/>
      <c r="P801" s="8"/>
      <c r="Q801" s="8"/>
      <c r="R801" s="8"/>
      <c r="S801" s="8"/>
      <c r="T801" s="8"/>
      <c r="U801" s="8"/>
    </row>
    <row r="802">
      <c r="A802" s="8"/>
      <c r="B802" s="8"/>
      <c r="C802" s="8"/>
      <c r="D802" s="8"/>
      <c r="E802" s="8"/>
      <c r="F802" s="8"/>
      <c r="H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>
      <c r="A803" s="8"/>
      <c r="B803" s="8"/>
      <c r="C803" s="8"/>
      <c r="D803" s="8"/>
      <c r="E803" s="8"/>
      <c r="F803" s="8"/>
      <c r="H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>
      <c r="A804" s="8"/>
      <c r="B804" s="8"/>
      <c r="C804" s="8"/>
      <c r="D804" s="8"/>
      <c r="E804" s="8"/>
      <c r="F804" s="8"/>
      <c r="H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>
      <c r="A805" s="8"/>
      <c r="B805" s="8"/>
      <c r="C805" s="8"/>
      <c r="D805" s="8"/>
      <c r="E805" s="8"/>
      <c r="F805" s="8"/>
      <c r="H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>
      <c r="A806" s="8"/>
      <c r="B806" s="8"/>
      <c r="C806" s="8"/>
      <c r="D806" s="8"/>
      <c r="E806" s="8"/>
      <c r="F806" s="8"/>
      <c r="H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>
      <c r="A807" s="8"/>
      <c r="B807" s="8"/>
      <c r="C807" s="8"/>
      <c r="D807" s="8"/>
      <c r="E807" s="8"/>
      <c r="F807" s="8"/>
      <c r="H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>
      <c r="A808" s="8"/>
      <c r="B808" s="8"/>
      <c r="C808" s="8"/>
      <c r="D808" s="8"/>
      <c r="E808" s="8"/>
      <c r="F808" s="8"/>
      <c r="H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>
      <c r="A809" s="8"/>
      <c r="B809" s="8"/>
      <c r="C809" s="8"/>
      <c r="D809" s="8"/>
      <c r="E809" s="8"/>
      <c r="F809" s="8"/>
      <c r="H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>
      <c r="A810" s="8"/>
      <c r="B810" s="8"/>
      <c r="C810" s="8"/>
      <c r="D810" s="8"/>
      <c r="E810" s="8"/>
      <c r="F810" s="8"/>
      <c r="H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>
      <c r="A811" s="8"/>
      <c r="B811" s="8"/>
      <c r="C811" s="8"/>
      <c r="D811" s="8"/>
      <c r="E811" s="8"/>
      <c r="F811" s="8"/>
      <c r="H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>
      <c r="A812" s="8"/>
      <c r="B812" s="8"/>
      <c r="C812" s="8"/>
      <c r="D812" s="8"/>
      <c r="E812" s="8"/>
      <c r="F812" s="8"/>
      <c r="H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>
      <c r="A813" s="8"/>
      <c r="B813" s="8"/>
      <c r="C813" s="8"/>
      <c r="D813" s="8"/>
      <c r="E813" s="8"/>
      <c r="F813" s="8"/>
      <c r="H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>
      <c r="A814" s="8"/>
      <c r="B814" s="8"/>
      <c r="C814" s="8"/>
      <c r="D814" s="8"/>
      <c r="E814" s="8"/>
      <c r="F814" s="8"/>
      <c r="H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>
      <c r="A815" s="8"/>
      <c r="B815" s="8"/>
      <c r="C815" s="8"/>
      <c r="D815" s="8"/>
      <c r="E815" s="8"/>
      <c r="F815" s="8"/>
      <c r="H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>
      <c r="A816" s="8"/>
      <c r="B816" s="8"/>
      <c r="C816" s="8"/>
      <c r="D816" s="8"/>
      <c r="E816" s="8"/>
      <c r="F816" s="8"/>
      <c r="H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>
      <c r="A817" s="8"/>
      <c r="B817" s="8"/>
      <c r="C817" s="8"/>
      <c r="D817" s="8"/>
      <c r="E817" s="8"/>
      <c r="F817" s="8"/>
      <c r="H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>
      <c r="A818" s="8"/>
      <c r="B818" s="8"/>
      <c r="C818" s="8"/>
      <c r="D818" s="8"/>
      <c r="E818" s="8"/>
      <c r="F818" s="8"/>
      <c r="H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>
      <c r="A819" s="8"/>
      <c r="B819" s="8"/>
      <c r="C819" s="8"/>
      <c r="D819" s="8"/>
      <c r="E819" s="8"/>
      <c r="F819" s="8"/>
      <c r="H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>
      <c r="A820" s="8"/>
      <c r="B820" s="8"/>
      <c r="C820" s="8"/>
      <c r="D820" s="8"/>
      <c r="E820" s="8"/>
      <c r="F820" s="8"/>
      <c r="H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>
      <c r="A821" s="8"/>
      <c r="B821" s="8"/>
      <c r="C821" s="8"/>
      <c r="D821" s="8"/>
      <c r="E821" s="8"/>
      <c r="F821" s="8"/>
      <c r="H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>
      <c r="A822" s="8"/>
      <c r="B822" s="8"/>
      <c r="C822" s="8"/>
      <c r="D822" s="8"/>
      <c r="E822" s="8"/>
      <c r="F822" s="8"/>
      <c r="H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>
      <c r="A823" s="8"/>
      <c r="B823" s="8"/>
      <c r="C823" s="8"/>
      <c r="D823" s="8"/>
      <c r="E823" s="8"/>
      <c r="F823" s="8"/>
      <c r="H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>
      <c r="A824" s="8"/>
      <c r="B824" s="8"/>
      <c r="C824" s="8"/>
      <c r="D824" s="8"/>
      <c r="E824" s="8"/>
      <c r="F824" s="8"/>
      <c r="H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>
      <c r="A825" s="8"/>
      <c r="B825" s="8"/>
      <c r="C825" s="8"/>
      <c r="D825" s="8"/>
      <c r="E825" s="8"/>
      <c r="F825" s="8"/>
      <c r="H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>
      <c r="A826" s="8"/>
      <c r="B826" s="8"/>
      <c r="C826" s="8"/>
      <c r="D826" s="8"/>
      <c r="E826" s="8"/>
      <c r="F826" s="8"/>
      <c r="H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>
      <c r="A827" s="8"/>
      <c r="B827" s="8"/>
      <c r="C827" s="8"/>
      <c r="D827" s="8"/>
      <c r="E827" s="8"/>
      <c r="F827" s="8"/>
      <c r="H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>
      <c r="A828" s="8"/>
      <c r="B828" s="8"/>
      <c r="C828" s="8"/>
      <c r="D828" s="8"/>
      <c r="E828" s="8"/>
      <c r="F828" s="8"/>
      <c r="H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>
      <c r="A829" s="8"/>
      <c r="B829" s="8"/>
      <c r="C829" s="8"/>
      <c r="D829" s="8"/>
      <c r="E829" s="8"/>
      <c r="F829" s="8"/>
      <c r="H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>
      <c r="A830" s="8"/>
      <c r="B830" s="8"/>
      <c r="C830" s="8"/>
      <c r="D830" s="8"/>
      <c r="E830" s="8"/>
      <c r="F830" s="8"/>
      <c r="H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>
      <c r="A831" s="8"/>
      <c r="B831" s="8"/>
      <c r="C831" s="8"/>
      <c r="D831" s="8"/>
      <c r="E831" s="8"/>
      <c r="F831" s="8"/>
      <c r="H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>
      <c r="A832" s="8"/>
      <c r="B832" s="8"/>
      <c r="C832" s="8"/>
      <c r="D832" s="8"/>
      <c r="E832" s="8"/>
      <c r="F832" s="8"/>
      <c r="H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>
      <c r="A833" s="8"/>
      <c r="B833" s="8"/>
      <c r="C833" s="8"/>
      <c r="D833" s="8"/>
      <c r="E833" s="8"/>
      <c r="F833" s="8"/>
      <c r="H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>
      <c r="A834" s="8"/>
      <c r="B834" s="8"/>
      <c r="C834" s="8"/>
      <c r="D834" s="8"/>
      <c r="E834" s="8"/>
      <c r="F834" s="8"/>
      <c r="H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>
      <c r="A835" s="8"/>
      <c r="B835" s="8"/>
      <c r="C835" s="8"/>
      <c r="D835" s="8"/>
      <c r="E835" s="8"/>
      <c r="F835" s="8"/>
      <c r="H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>
      <c r="A836" s="8"/>
      <c r="B836" s="8"/>
      <c r="C836" s="8"/>
      <c r="D836" s="8"/>
      <c r="E836" s="8"/>
      <c r="F836" s="8"/>
      <c r="H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>
      <c r="A837" s="8"/>
      <c r="B837" s="8"/>
      <c r="C837" s="8"/>
      <c r="D837" s="8"/>
      <c r="E837" s="8"/>
      <c r="F837" s="8"/>
      <c r="H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>
      <c r="A838" s="8"/>
      <c r="B838" s="8"/>
      <c r="C838" s="8"/>
      <c r="D838" s="8"/>
      <c r="E838" s="8"/>
      <c r="F838" s="8"/>
      <c r="H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>
      <c r="A839" s="8"/>
      <c r="B839" s="8"/>
      <c r="C839" s="8"/>
      <c r="D839" s="8"/>
      <c r="E839" s="8"/>
      <c r="F839" s="8"/>
      <c r="H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>
      <c r="A840" s="8"/>
      <c r="B840" s="8"/>
      <c r="C840" s="8"/>
      <c r="D840" s="8"/>
      <c r="E840" s="8"/>
      <c r="F840" s="8"/>
      <c r="H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>
      <c r="A841" s="8"/>
      <c r="B841" s="8"/>
      <c r="C841" s="8"/>
      <c r="D841" s="8"/>
      <c r="E841" s="8"/>
      <c r="F841" s="8"/>
      <c r="H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>
      <c r="A842" s="8"/>
      <c r="B842" s="8"/>
      <c r="C842" s="8"/>
      <c r="D842" s="8"/>
      <c r="E842" s="8"/>
      <c r="F842" s="8"/>
      <c r="H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>
      <c r="A843" s="8"/>
      <c r="B843" s="8"/>
      <c r="C843" s="8"/>
      <c r="D843" s="8"/>
      <c r="E843" s="8"/>
      <c r="F843" s="8"/>
      <c r="H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>
      <c r="A844" s="8"/>
      <c r="B844" s="8"/>
      <c r="C844" s="8"/>
      <c r="D844" s="8"/>
      <c r="E844" s="8"/>
      <c r="F844" s="8"/>
      <c r="H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>
      <c r="A845" s="8"/>
      <c r="B845" s="8"/>
      <c r="C845" s="8"/>
      <c r="D845" s="8"/>
      <c r="E845" s="8"/>
      <c r="F845" s="8"/>
      <c r="H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>
      <c r="A846" s="8"/>
      <c r="B846" s="8"/>
      <c r="C846" s="8"/>
      <c r="D846" s="8"/>
      <c r="E846" s="8"/>
      <c r="F846" s="8"/>
      <c r="H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>
      <c r="A847" s="8"/>
      <c r="B847" s="8"/>
      <c r="C847" s="8"/>
      <c r="D847" s="8"/>
      <c r="E847" s="8"/>
      <c r="F847" s="8"/>
      <c r="H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>
      <c r="A848" s="8"/>
      <c r="B848" s="8"/>
      <c r="C848" s="8"/>
      <c r="D848" s="8"/>
      <c r="E848" s="8"/>
      <c r="F848" s="8"/>
      <c r="H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>
      <c r="A849" s="8"/>
      <c r="B849" s="8"/>
      <c r="C849" s="8"/>
      <c r="D849" s="8"/>
      <c r="E849" s="8"/>
      <c r="F849" s="8"/>
      <c r="H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>
      <c r="A850" s="8"/>
      <c r="B850" s="8"/>
      <c r="C850" s="8"/>
      <c r="D850" s="8"/>
      <c r="E850" s="8"/>
      <c r="F850" s="8"/>
      <c r="H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>
      <c r="A851" s="8"/>
      <c r="B851" s="8"/>
      <c r="C851" s="8"/>
      <c r="D851" s="8"/>
      <c r="E851" s="8"/>
      <c r="F851" s="8"/>
      <c r="H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>
      <c r="A852" s="8"/>
      <c r="B852" s="8"/>
      <c r="C852" s="8"/>
      <c r="D852" s="8"/>
      <c r="E852" s="8"/>
      <c r="F852" s="8"/>
      <c r="H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>
      <c r="A853" s="8"/>
      <c r="B853" s="8"/>
      <c r="C853" s="8"/>
      <c r="D853" s="8"/>
      <c r="E853" s="8"/>
      <c r="F853" s="8"/>
      <c r="H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>
      <c r="A854" s="8"/>
      <c r="B854" s="8"/>
      <c r="C854" s="8"/>
      <c r="D854" s="8"/>
      <c r="E854" s="8"/>
      <c r="F854" s="8"/>
      <c r="H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>
      <c r="A855" s="8"/>
      <c r="B855" s="8"/>
      <c r="C855" s="8"/>
      <c r="D855" s="8"/>
      <c r="E855" s="8"/>
      <c r="F855" s="8"/>
      <c r="H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>
      <c r="A856" s="8"/>
      <c r="B856" s="8"/>
      <c r="C856" s="8"/>
      <c r="D856" s="8"/>
      <c r="E856" s="8"/>
      <c r="F856" s="8"/>
      <c r="H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>
      <c r="A857" s="8"/>
      <c r="B857" s="8"/>
      <c r="C857" s="8"/>
      <c r="D857" s="8"/>
      <c r="E857" s="8"/>
      <c r="F857" s="8"/>
      <c r="H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>
      <c r="A858" s="8"/>
      <c r="B858" s="8"/>
      <c r="C858" s="8"/>
      <c r="D858" s="8"/>
      <c r="E858" s="8"/>
      <c r="F858" s="8"/>
      <c r="H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>
      <c r="A859" s="8"/>
      <c r="B859" s="8"/>
      <c r="C859" s="8"/>
      <c r="D859" s="8"/>
      <c r="E859" s="8"/>
      <c r="F859" s="8"/>
      <c r="H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>
      <c r="A860" s="8"/>
      <c r="B860" s="8"/>
      <c r="C860" s="8"/>
      <c r="D860" s="8"/>
      <c r="E860" s="8"/>
      <c r="F860" s="8"/>
      <c r="H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>
      <c r="A861" s="8"/>
      <c r="B861" s="8"/>
      <c r="C861" s="8"/>
      <c r="D861" s="8"/>
      <c r="E861" s="8"/>
      <c r="F861" s="8"/>
      <c r="H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>
      <c r="A862" s="8"/>
      <c r="B862" s="8"/>
      <c r="C862" s="8"/>
      <c r="D862" s="8"/>
      <c r="E862" s="8"/>
      <c r="F862" s="8"/>
      <c r="H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>
      <c r="A863" s="8"/>
      <c r="B863" s="8"/>
      <c r="C863" s="8"/>
      <c r="D863" s="8"/>
      <c r="E863" s="8"/>
      <c r="F863" s="8"/>
      <c r="H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>
      <c r="A864" s="8"/>
      <c r="B864" s="8"/>
      <c r="C864" s="8"/>
      <c r="D864" s="8"/>
      <c r="E864" s="8"/>
      <c r="F864" s="8"/>
      <c r="H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>
      <c r="A865" s="8"/>
      <c r="B865" s="8"/>
      <c r="C865" s="8"/>
      <c r="D865" s="8"/>
      <c r="E865" s="8"/>
      <c r="F865" s="8"/>
      <c r="H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>
      <c r="A866" s="8"/>
      <c r="B866" s="8"/>
      <c r="C866" s="8"/>
      <c r="D866" s="8"/>
      <c r="E866" s="8"/>
      <c r="F866" s="8"/>
      <c r="H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>
      <c r="A867" s="8"/>
      <c r="B867" s="8"/>
      <c r="C867" s="8"/>
      <c r="D867" s="8"/>
      <c r="E867" s="8"/>
      <c r="F867" s="8"/>
      <c r="H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>
      <c r="A868" s="8"/>
      <c r="B868" s="8"/>
      <c r="C868" s="8"/>
      <c r="D868" s="8"/>
      <c r="E868" s="8"/>
      <c r="F868" s="8"/>
      <c r="H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>
      <c r="A869" s="8"/>
      <c r="B869" s="8"/>
      <c r="C869" s="8"/>
      <c r="D869" s="8"/>
      <c r="E869" s="8"/>
      <c r="F869" s="8"/>
      <c r="H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>
      <c r="A870" s="8"/>
      <c r="B870" s="8"/>
      <c r="C870" s="8"/>
      <c r="D870" s="8"/>
      <c r="E870" s="8"/>
      <c r="F870" s="8"/>
      <c r="H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>
      <c r="A871" s="8"/>
      <c r="B871" s="8"/>
      <c r="C871" s="8"/>
      <c r="D871" s="8"/>
      <c r="E871" s="8"/>
      <c r="F871" s="8"/>
      <c r="H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>
      <c r="A872" s="8"/>
      <c r="B872" s="8"/>
      <c r="C872" s="8"/>
      <c r="D872" s="8"/>
      <c r="E872" s="8"/>
      <c r="F872" s="8"/>
      <c r="H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>
      <c r="A873" s="8"/>
      <c r="B873" s="8"/>
      <c r="C873" s="8"/>
      <c r="D873" s="8"/>
      <c r="E873" s="8"/>
      <c r="F873" s="8"/>
      <c r="H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>
      <c r="A874" s="8"/>
      <c r="B874" s="8"/>
      <c r="C874" s="8"/>
      <c r="D874" s="8"/>
      <c r="E874" s="8"/>
      <c r="F874" s="8"/>
      <c r="H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>
      <c r="A875" s="8"/>
      <c r="B875" s="8"/>
      <c r="C875" s="8"/>
      <c r="D875" s="8"/>
      <c r="E875" s="8"/>
      <c r="F875" s="8"/>
      <c r="H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>
      <c r="A876" s="8"/>
      <c r="B876" s="8"/>
      <c r="C876" s="8"/>
      <c r="D876" s="8"/>
      <c r="E876" s="8"/>
      <c r="F876" s="8"/>
      <c r="H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>
      <c r="A877" s="8"/>
      <c r="B877" s="8"/>
      <c r="C877" s="8"/>
      <c r="D877" s="8"/>
      <c r="E877" s="8"/>
      <c r="F877" s="8"/>
      <c r="H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>
      <c r="A878" s="8"/>
      <c r="B878" s="8"/>
      <c r="C878" s="8"/>
      <c r="D878" s="8"/>
      <c r="E878" s="8"/>
      <c r="F878" s="8"/>
      <c r="H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>
      <c r="A879" s="8"/>
      <c r="B879" s="8"/>
      <c r="C879" s="8"/>
      <c r="D879" s="8"/>
      <c r="E879" s="8"/>
      <c r="F879" s="8"/>
      <c r="H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>
      <c r="A880" s="8"/>
      <c r="B880" s="8"/>
      <c r="C880" s="8"/>
      <c r="D880" s="8"/>
      <c r="E880" s="8"/>
      <c r="F880" s="8"/>
      <c r="H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>
      <c r="A881" s="8"/>
      <c r="B881" s="8"/>
      <c r="C881" s="8"/>
      <c r="D881" s="8"/>
      <c r="E881" s="8"/>
      <c r="F881" s="8"/>
      <c r="H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>
      <c r="A882" s="8"/>
      <c r="B882" s="8"/>
      <c r="C882" s="8"/>
      <c r="D882" s="8"/>
      <c r="E882" s="8"/>
      <c r="F882" s="8"/>
      <c r="H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>
      <c r="A883" s="8"/>
      <c r="B883" s="8"/>
      <c r="C883" s="8"/>
      <c r="D883" s="8"/>
      <c r="E883" s="8"/>
      <c r="F883" s="8"/>
      <c r="H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>
      <c r="A884" s="8"/>
      <c r="B884" s="8"/>
      <c r="C884" s="8"/>
      <c r="D884" s="8"/>
      <c r="E884" s="8"/>
      <c r="F884" s="8"/>
      <c r="H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>
      <c r="A885" s="8"/>
      <c r="B885" s="8"/>
      <c r="C885" s="8"/>
      <c r="D885" s="8"/>
      <c r="E885" s="8"/>
      <c r="F885" s="8"/>
      <c r="H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>
      <c r="A886" s="8"/>
      <c r="B886" s="8"/>
      <c r="C886" s="8"/>
      <c r="D886" s="8"/>
      <c r="E886" s="8"/>
      <c r="F886" s="8"/>
      <c r="H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>
      <c r="A887" s="8"/>
      <c r="B887" s="8"/>
      <c r="C887" s="8"/>
      <c r="D887" s="8"/>
      <c r="E887" s="8"/>
      <c r="F887" s="8"/>
      <c r="H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>
      <c r="A888" s="8"/>
      <c r="B888" s="8"/>
      <c r="C888" s="8"/>
      <c r="D888" s="8"/>
      <c r="E888" s="8"/>
      <c r="F888" s="8"/>
      <c r="H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>
      <c r="A889" s="8"/>
      <c r="B889" s="8"/>
      <c r="C889" s="8"/>
      <c r="D889" s="8"/>
      <c r="E889" s="8"/>
      <c r="F889" s="8"/>
      <c r="H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>
      <c r="A890" s="8"/>
      <c r="B890" s="8"/>
      <c r="C890" s="8"/>
      <c r="D890" s="8"/>
      <c r="E890" s="8"/>
      <c r="F890" s="8"/>
      <c r="H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>
      <c r="A891" s="8"/>
      <c r="B891" s="8"/>
      <c r="C891" s="8"/>
      <c r="D891" s="8"/>
      <c r="E891" s="8"/>
      <c r="F891" s="8"/>
      <c r="H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>
      <c r="A892" s="8"/>
      <c r="B892" s="8"/>
      <c r="C892" s="8"/>
      <c r="D892" s="8"/>
      <c r="E892" s="8"/>
      <c r="F892" s="8"/>
      <c r="H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>
      <c r="A893" s="8"/>
      <c r="B893" s="8"/>
      <c r="C893" s="8"/>
      <c r="D893" s="8"/>
      <c r="E893" s="8"/>
      <c r="F893" s="8"/>
      <c r="H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>
      <c r="A894" s="8"/>
      <c r="B894" s="8"/>
      <c r="C894" s="8"/>
      <c r="D894" s="8"/>
      <c r="E894" s="8"/>
      <c r="F894" s="8"/>
      <c r="H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>
      <c r="A895" s="8"/>
      <c r="B895" s="8"/>
      <c r="C895" s="8"/>
      <c r="D895" s="8"/>
      <c r="E895" s="8"/>
      <c r="F895" s="8"/>
      <c r="H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>
      <c r="A896" s="8"/>
      <c r="B896" s="8"/>
      <c r="C896" s="8"/>
      <c r="D896" s="8"/>
      <c r="E896" s="8"/>
      <c r="F896" s="8"/>
      <c r="H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>
      <c r="A897" s="8"/>
      <c r="B897" s="8"/>
      <c r="C897" s="8"/>
      <c r="D897" s="8"/>
      <c r="E897" s="8"/>
      <c r="F897" s="8"/>
      <c r="H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>
      <c r="A898" s="8"/>
      <c r="B898" s="8"/>
      <c r="C898" s="8"/>
      <c r="D898" s="8"/>
      <c r="E898" s="8"/>
      <c r="F898" s="8"/>
      <c r="H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>
      <c r="A899" s="8"/>
      <c r="B899" s="8"/>
      <c r="C899" s="8"/>
      <c r="D899" s="8"/>
      <c r="E899" s="8"/>
      <c r="F899" s="8"/>
      <c r="H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>
      <c r="A900" s="8"/>
      <c r="B900" s="8"/>
      <c r="C900" s="8"/>
      <c r="D900" s="8"/>
      <c r="E900" s="8"/>
      <c r="F900" s="8"/>
      <c r="H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>
      <c r="A901" s="8"/>
      <c r="B901" s="8"/>
      <c r="C901" s="8"/>
      <c r="D901" s="8"/>
      <c r="E901" s="8"/>
      <c r="F901" s="8"/>
      <c r="H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>
      <c r="A902" s="8"/>
      <c r="B902" s="8"/>
      <c r="C902" s="8"/>
      <c r="D902" s="8"/>
      <c r="E902" s="8"/>
      <c r="F902" s="8"/>
      <c r="H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>
      <c r="A903" s="8"/>
      <c r="B903" s="8"/>
      <c r="C903" s="8"/>
      <c r="D903" s="8"/>
      <c r="E903" s="8"/>
      <c r="F903" s="8"/>
      <c r="H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>
      <c r="A904" s="8"/>
      <c r="B904" s="8"/>
      <c r="C904" s="8"/>
      <c r="D904" s="8"/>
      <c r="E904" s="8"/>
      <c r="F904" s="8"/>
      <c r="H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>
      <c r="A905" s="8"/>
      <c r="B905" s="8"/>
      <c r="C905" s="8"/>
      <c r="D905" s="8"/>
      <c r="E905" s="8"/>
      <c r="F905" s="8"/>
      <c r="H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>
      <c r="A906" s="8"/>
      <c r="B906" s="8"/>
      <c r="C906" s="8"/>
      <c r="D906" s="8"/>
      <c r="E906" s="8"/>
      <c r="F906" s="8"/>
      <c r="H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>
      <c r="A907" s="8"/>
      <c r="B907" s="8"/>
      <c r="C907" s="8"/>
      <c r="D907" s="8"/>
      <c r="E907" s="8"/>
      <c r="F907" s="8"/>
      <c r="H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>
      <c r="A908" s="8"/>
      <c r="B908" s="8"/>
      <c r="C908" s="8"/>
      <c r="D908" s="8"/>
      <c r="E908" s="8"/>
      <c r="F908" s="8"/>
      <c r="H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>
      <c r="A909" s="8"/>
      <c r="B909" s="8"/>
      <c r="C909" s="8"/>
      <c r="D909" s="8"/>
      <c r="E909" s="8"/>
      <c r="F909" s="8"/>
      <c r="H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>
      <c r="A910" s="8"/>
      <c r="B910" s="8"/>
      <c r="C910" s="8"/>
      <c r="D910" s="8"/>
      <c r="E910" s="8"/>
      <c r="F910" s="8"/>
      <c r="H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>
      <c r="A911" s="8"/>
      <c r="B911" s="8"/>
      <c r="C911" s="8"/>
      <c r="D911" s="8"/>
      <c r="E911" s="8"/>
      <c r="F911" s="8"/>
      <c r="H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>
      <c r="A912" s="8"/>
      <c r="B912" s="8"/>
      <c r="C912" s="8"/>
      <c r="D912" s="8"/>
      <c r="E912" s="8"/>
      <c r="F912" s="8"/>
      <c r="H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>
      <c r="A913" s="8"/>
      <c r="B913" s="8"/>
      <c r="C913" s="8"/>
      <c r="D913" s="8"/>
      <c r="E913" s="8"/>
      <c r="F913" s="8"/>
      <c r="H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>
      <c r="A914" s="8"/>
      <c r="B914" s="8"/>
      <c r="C914" s="8"/>
      <c r="D914" s="8"/>
      <c r="E914" s="8"/>
      <c r="F914" s="8"/>
      <c r="H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>
      <c r="A915" s="8"/>
      <c r="B915" s="8"/>
      <c r="C915" s="8"/>
      <c r="D915" s="8"/>
      <c r="E915" s="8"/>
      <c r="F915" s="8"/>
      <c r="H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>
      <c r="A916" s="8"/>
      <c r="B916" s="8"/>
      <c r="C916" s="8"/>
      <c r="D916" s="8"/>
      <c r="E916" s="8"/>
      <c r="F916" s="8"/>
      <c r="H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>
      <c r="A917" s="8"/>
      <c r="B917" s="8"/>
      <c r="C917" s="8"/>
      <c r="D917" s="8"/>
      <c r="E917" s="8"/>
      <c r="F917" s="8"/>
      <c r="H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>
      <c r="A918" s="8"/>
      <c r="B918" s="8"/>
      <c r="C918" s="8"/>
      <c r="D918" s="8"/>
      <c r="E918" s="8"/>
      <c r="F918" s="8"/>
      <c r="H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>
      <c r="A919" s="8"/>
      <c r="B919" s="8"/>
      <c r="C919" s="8"/>
      <c r="D919" s="8"/>
      <c r="E919" s="8"/>
      <c r="F919" s="8"/>
      <c r="H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>
      <c r="A920" s="8"/>
      <c r="B920" s="8"/>
      <c r="C920" s="8"/>
      <c r="D920" s="8"/>
      <c r="E920" s="8"/>
      <c r="F920" s="8"/>
      <c r="H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>
      <c r="A921" s="8"/>
      <c r="B921" s="8"/>
      <c r="C921" s="8"/>
      <c r="D921" s="8"/>
      <c r="E921" s="8"/>
      <c r="F921" s="8"/>
      <c r="H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>
      <c r="A922" s="8"/>
      <c r="B922" s="8"/>
      <c r="C922" s="8"/>
      <c r="D922" s="8"/>
      <c r="E922" s="8"/>
      <c r="F922" s="8"/>
      <c r="H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>
      <c r="A923" s="8"/>
      <c r="B923" s="8"/>
      <c r="C923" s="8"/>
      <c r="D923" s="8"/>
      <c r="E923" s="8"/>
      <c r="F923" s="8"/>
      <c r="H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>
      <c r="A924" s="8"/>
      <c r="B924" s="8"/>
      <c r="C924" s="8"/>
      <c r="D924" s="8"/>
      <c r="E924" s="8"/>
      <c r="F924" s="8"/>
      <c r="H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>
      <c r="A925" s="8"/>
      <c r="B925" s="8"/>
      <c r="C925" s="8"/>
      <c r="D925" s="8"/>
      <c r="E925" s="8"/>
      <c r="F925" s="8"/>
      <c r="H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>
      <c r="A926" s="8"/>
      <c r="B926" s="8"/>
      <c r="C926" s="8"/>
      <c r="D926" s="8"/>
      <c r="E926" s="8"/>
      <c r="F926" s="8"/>
      <c r="H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>
      <c r="A927" s="8"/>
      <c r="B927" s="8"/>
      <c r="C927" s="8"/>
      <c r="D927" s="8"/>
      <c r="E927" s="8"/>
      <c r="F927" s="8"/>
      <c r="H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>
      <c r="A928" s="8"/>
      <c r="B928" s="8"/>
      <c r="C928" s="8"/>
      <c r="D928" s="8"/>
      <c r="E928" s="8"/>
      <c r="F928" s="8"/>
      <c r="H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>
      <c r="A929" s="8"/>
      <c r="B929" s="8"/>
      <c r="C929" s="8"/>
      <c r="D929" s="8"/>
      <c r="E929" s="8"/>
      <c r="F929" s="8"/>
      <c r="H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>
      <c r="A930" s="8"/>
      <c r="B930" s="8"/>
      <c r="C930" s="8"/>
      <c r="D930" s="8"/>
      <c r="E930" s="8"/>
      <c r="F930" s="8"/>
      <c r="H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>
      <c r="A931" s="8"/>
      <c r="B931" s="8"/>
      <c r="C931" s="8"/>
      <c r="D931" s="8"/>
      <c r="E931" s="8"/>
      <c r="F931" s="8"/>
      <c r="H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>
      <c r="A932" s="8"/>
      <c r="B932" s="8"/>
      <c r="C932" s="8"/>
      <c r="D932" s="8"/>
      <c r="E932" s="8"/>
      <c r="F932" s="8"/>
      <c r="H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>
      <c r="A933" s="8"/>
      <c r="B933" s="8"/>
      <c r="C933" s="8"/>
      <c r="D933" s="8"/>
      <c r="E933" s="8"/>
      <c r="F933" s="8"/>
      <c r="H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>
      <c r="A934" s="8"/>
      <c r="B934" s="8"/>
      <c r="C934" s="8"/>
      <c r="D934" s="8"/>
      <c r="E934" s="8"/>
      <c r="F934" s="8"/>
      <c r="H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>
      <c r="A935" s="8"/>
      <c r="B935" s="8"/>
      <c r="C935" s="8"/>
      <c r="D935" s="8"/>
      <c r="E935" s="8"/>
      <c r="F935" s="8"/>
      <c r="H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>
      <c r="A936" s="8"/>
      <c r="B936" s="8"/>
      <c r="C936" s="8"/>
      <c r="D936" s="8"/>
      <c r="E936" s="8"/>
      <c r="F936" s="8"/>
      <c r="H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>
      <c r="A937" s="8"/>
      <c r="B937" s="8"/>
      <c r="C937" s="8"/>
      <c r="D937" s="8"/>
      <c r="E937" s="8"/>
      <c r="F937" s="8"/>
      <c r="H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>
      <c r="A938" s="8"/>
      <c r="B938" s="8"/>
      <c r="C938" s="8"/>
      <c r="D938" s="8"/>
      <c r="E938" s="8"/>
      <c r="F938" s="8"/>
      <c r="H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>
      <c r="A939" s="8"/>
      <c r="B939" s="8"/>
      <c r="C939" s="8"/>
      <c r="D939" s="8"/>
      <c r="E939" s="8"/>
      <c r="F939" s="8"/>
      <c r="H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>
      <c r="A940" s="8"/>
      <c r="B940" s="8"/>
      <c r="C940" s="8"/>
      <c r="D940" s="8"/>
      <c r="E940" s="8"/>
      <c r="F940" s="8"/>
      <c r="H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>
      <c r="A941" s="8"/>
      <c r="B941" s="8"/>
      <c r="C941" s="8"/>
      <c r="D941" s="8"/>
      <c r="E941" s="8"/>
      <c r="F941" s="8"/>
      <c r="H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>
      <c r="A942" s="8"/>
      <c r="B942" s="8"/>
      <c r="C942" s="8"/>
      <c r="D942" s="8"/>
      <c r="E942" s="8"/>
      <c r="F942" s="8"/>
      <c r="H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>
      <c r="A943" s="8"/>
      <c r="B943" s="8"/>
      <c r="C943" s="8"/>
      <c r="D943" s="8"/>
      <c r="E943" s="8"/>
      <c r="F943" s="8"/>
      <c r="H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>
      <c r="A944" s="8"/>
      <c r="B944" s="8"/>
      <c r="C944" s="8"/>
      <c r="D944" s="8"/>
      <c r="E944" s="8"/>
      <c r="F944" s="8"/>
      <c r="H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>
      <c r="A945" s="8"/>
      <c r="B945" s="8"/>
      <c r="C945" s="8"/>
      <c r="D945" s="8"/>
      <c r="E945" s="8"/>
      <c r="F945" s="8"/>
      <c r="H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>
      <c r="A946" s="8"/>
      <c r="B946" s="8"/>
      <c r="C946" s="8"/>
      <c r="D946" s="8"/>
      <c r="E946" s="8"/>
      <c r="F946" s="8"/>
      <c r="H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>
      <c r="A947" s="8"/>
      <c r="B947" s="8"/>
      <c r="C947" s="8"/>
      <c r="D947" s="8"/>
      <c r="E947" s="8"/>
      <c r="F947" s="8"/>
      <c r="H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>
      <c r="A948" s="8"/>
      <c r="B948" s="8"/>
      <c r="C948" s="8"/>
      <c r="D948" s="8"/>
      <c r="E948" s="8"/>
      <c r="F948" s="8"/>
      <c r="H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>
      <c r="A949" s="8"/>
      <c r="B949" s="8"/>
      <c r="C949" s="8"/>
      <c r="D949" s="8"/>
      <c r="E949" s="8"/>
      <c r="F949" s="8"/>
      <c r="H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>
      <c r="A950" s="8"/>
      <c r="B950" s="8"/>
      <c r="C950" s="8"/>
      <c r="D950" s="8"/>
      <c r="E950" s="8"/>
      <c r="F950" s="8"/>
      <c r="H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>
      <c r="A951" s="8"/>
      <c r="B951" s="8"/>
      <c r="C951" s="8"/>
      <c r="D951" s="8"/>
      <c r="E951" s="8"/>
      <c r="F951" s="8"/>
      <c r="H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>
      <c r="A952" s="8"/>
      <c r="B952" s="8"/>
      <c r="C952" s="8"/>
      <c r="D952" s="8"/>
      <c r="E952" s="8"/>
      <c r="F952" s="8"/>
      <c r="H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>
      <c r="A953" s="8"/>
      <c r="B953" s="8"/>
      <c r="C953" s="8"/>
      <c r="D953" s="8"/>
      <c r="E953" s="8"/>
      <c r="F953" s="8"/>
      <c r="H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>
      <c r="A954" s="8"/>
      <c r="B954" s="8"/>
      <c r="C954" s="8"/>
      <c r="D954" s="8"/>
      <c r="E954" s="8"/>
      <c r="F954" s="8"/>
      <c r="H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>
      <c r="A955" s="8"/>
      <c r="B955" s="8"/>
      <c r="C955" s="8"/>
      <c r="D955" s="8"/>
      <c r="E955" s="8"/>
      <c r="F955" s="8"/>
      <c r="H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>
      <c r="A956" s="8"/>
      <c r="B956" s="8"/>
      <c r="C956" s="8"/>
      <c r="D956" s="8"/>
      <c r="E956" s="8"/>
      <c r="F956" s="8"/>
      <c r="H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>
      <c r="A957" s="8"/>
      <c r="B957" s="8"/>
      <c r="C957" s="8"/>
      <c r="D957" s="8"/>
      <c r="E957" s="8"/>
      <c r="F957" s="8"/>
      <c r="H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>
      <c r="A958" s="8"/>
      <c r="B958" s="8"/>
      <c r="C958" s="8"/>
      <c r="D958" s="8"/>
      <c r="E958" s="8"/>
      <c r="F958" s="8"/>
      <c r="H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>
      <c r="A959" s="8"/>
      <c r="B959" s="8"/>
      <c r="C959" s="8"/>
      <c r="D959" s="8"/>
      <c r="E959" s="8"/>
      <c r="F959" s="8"/>
      <c r="H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>
      <c r="A960" s="8"/>
      <c r="B960" s="8"/>
      <c r="C960" s="8"/>
      <c r="D960" s="8"/>
      <c r="E960" s="8"/>
      <c r="F960" s="8"/>
      <c r="H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>
      <c r="A961" s="8"/>
      <c r="B961" s="8"/>
      <c r="C961" s="8"/>
      <c r="D961" s="8"/>
      <c r="E961" s="8"/>
      <c r="F961" s="8"/>
      <c r="H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>
      <c r="A962" s="8"/>
      <c r="B962" s="8"/>
      <c r="C962" s="8"/>
      <c r="D962" s="8"/>
      <c r="E962" s="8"/>
      <c r="F962" s="8"/>
      <c r="H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>
      <c r="A963" s="8"/>
      <c r="B963" s="8"/>
      <c r="C963" s="8"/>
      <c r="D963" s="8"/>
      <c r="E963" s="8"/>
      <c r="F963" s="8"/>
      <c r="H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>
      <c r="A964" s="8"/>
      <c r="B964" s="8"/>
      <c r="C964" s="8"/>
      <c r="D964" s="8"/>
      <c r="E964" s="8"/>
      <c r="F964" s="8"/>
      <c r="H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>
      <c r="A965" s="8"/>
      <c r="B965" s="8"/>
      <c r="C965" s="8"/>
      <c r="D965" s="8"/>
      <c r="E965" s="8"/>
      <c r="F965" s="8"/>
      <c r="H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>
      <c r="A966" s="8"/>
      <c r="B966" s="8"/>
      <c r="C966" s="8"/>
      <c r="D966" s="8"/>
      <c r="E966" s="8"/>
      <c r="F966" s="8"/>
      <c r="H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>
      <c r="A967" s="8"/>
      <c r="B967" s="8"/>
      <c r="C967" s="8"/>
      <c r="D967" s="8"/>
      <c r="E967" s="8"/>
      <c r="F967" s="8"/>
      <c r="H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>
      <c r="A968" s="8"/>
      <c r="B968" s="8"/>
      <c r="C968" s="8"/>
      <c r="D968" s="8"/>
      <c r="E968" s="8"/>
      <c r="F968" s="8"/>
      <c r="H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>
      <c r="A969" s="8"/>
      <c r="B969" s="8"/>
      <c r="C969" s="8"/>
      <c r="D969" s="8"/>
      <c r="E969" s="8"/>
      <c r="F969" s="8"/>
      <c r="H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>
      <c r="A970" s="8"/>
      <c r="B970" s="8"/>
      <c r="C970" s="8"/>
      <c r="D970" s="8"/>
      <c r="E970" s="8"/>
      <c r="F970" s="8"/>
      <c r="H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>
      <c r="A971" s="8"/>
      <c r="B971" s="8"/>
      <c r="C971" s="8"/>
      <c r="D971" s="8"/>
      <c r="E971" s="8"/>
      <c r="F971" s="8"/>
      <c r="H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>
      <c r="A972" s="8"/>
      <c r="B972" s="8"/>
      <c r="C972" s="8"/>
      <c r="D972" s="8"/>
      <c r="E972" s="8"/>
      <c r="F972" s="8"/>
      <c r="H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>
      <c r="A973" s="8"/>
      <c r="B973" s="8"/>
      <c r="C973" s="8"/>
      <c r="D973" s="8"/>
      <c r="E973" s="8"/>
      <c r="F973" s="8"/>
      <c r="H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>
      <c r="A974" s="8"/>
      <c r="B974" s="8"/>
      <c r="C974" s="8"/>
      <c r="D974" s="8"/>
      <c r="E974" s="8"/>
      <c r="F974" s="8"/>
      <c r="H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>
      <c r="A975" s="8"/>
      <c r="B975" s="8"/>
      <c r="C975" s="8"/>
      <c r="D975" s="8"/>
      <c r="E975" s="8"/>
      <c r="F975" s="8"/>
      <c r="H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>
      <c r="A976" s="8"/>
      <c r="B976" s="8"/>
      <c r="C976" s="8"/>
      <c r="D976" s="8"/>
      <c r="E976" s="8"/>
      <c r="F976" s="8"/>
      <c r="H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>
      <c r="A977" s="8"/>
      <c r="B977" s="8"/>
      <c r="C977" s="8"/>
      <c r="D977" s="8"/>
      <c r="E977" s="8"/>
      <c r="F977" s="8"/>
      <c r="H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>
      <c r="A978" s="8"/>
      <c r="B978" s="8"/>
      <c r="C978" s="8"/>
      <c r="D978" s="8"/>
      <c r="E978" s="8"/>
      <c r="F978" s="8"/>
      <c r="H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>
      <c r="A979" s="8"/>
      <c r="B979" s="8"/>
      <c r="C979" s="8"/>
      <c r="D979" s="8"/>
      <c r="E979" s="8"/>
      <c r="F979" s="8"/>
      <c r="H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>
      <c r="A980" s="8"/>
      <c r="B980" s="8"/>
      <c r="C980" s="8"/>
      <c r="D980" s="8"/>
      <c r="E980" s="8"/>
      <c r="F980" s="8"/>
      <c r="H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>
      <c r="A981" s="8"/>
      <c r="B981" s="8"/>
      <c r="C981" s="8"/>
      <c r="D981" s="8"/>
      <c r="E981" s="8"/>
      <c r="F981" s="8"/>
      <c r="H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>
      <c r="A982" s="8"/>
      <c r="B982" s="8"/>
      <c r="C982" s="8"/>
      <c r="D982" s="8"/>
      <c r="E982" s="8"/>
      <c r="F982" s="8"/>
      <c r="H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>
      <c r="A983" s="8"/>
      <c r="B983" s="8"/>
      <c r="C983" s="8"/>
      <c r="D983" s="8"/>
      <c r="E983" s="8"/>
      <c r="F983" s="8"/>
      <c r="H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>
      <c r="A984" s="8"/>
      <c r="B984" s="8"/>
      <c r="C984" s="8"/>
      <c r="D984" s="8"/>
      <c r="E984" s="8"/>
      <c r="F984" s="8"/>
      <c r="H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>
      <c r="A985" s="8"/>
      <c r="B985" s="8"/>
      <c r="C985" s="8"/>
      <c r="D985" s="8"/>
      <c r="E985" s="8"/>
      <c r="F985" s="8"/>
      <c r="H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>
      <c r="A986" s="8"/>
      <c r="B986" s="8"/>
      <c r="C986" s="8"/>
      <c r="D986" s="8"/>
      <c r="E986" s="8"/>
      <c r="F986" s="8"/>
      <c r="H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>
      <c r="A987" s="8"/>
      <c r="B987" s="8"/>
      <c r="C987" s="8"/>
      <c r="D987" s="8"/>
      <c r="E987" s="8"/>
      <c r="F987" s="8"/>
      <c r="H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>
      <c r="A988" s="8"/>
      <c r="B988" s="8"/>
      <c r="C988" s="8"/>
      <c r="D988" s="8"/>
      <c r="E988" s="8"/>
      <c r="F988" s="8"/>
      <c r="H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>
      <c r="A989" s="8"/>
      <c r="B989" s="8"/>
      <c r="C989" s="8"/>
      <c r="D989" s="8"/>
      <c r="E989" s="8"/>
      <c r="F989" s="8"/>
      <c r="H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>
      <c r="A990" s="8"/>
      <c r="B990" s="8"/>
      <c r="C990" s="8"/>
      <c r="D990" s="8"/>
      <c r="E990" s="8"/>
      <c r="F990" s="8"/>
      <c r="H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>
      <c r="A991" s="8"/>
      <c r="B991" s="8"/>
      <c r="C991" s="8"/>
      <c r="D991" s="8"/>
      <c r="E991" s="8"/>
      <c r="F991" s="8"/>
      <c r="H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>
      <c r="A992" s="8"/>
      <c r="B992" s="8"/>
      <c r="C992" s="8"/>
      <c r="D992" s="8"/>
      <c r="E992" s="8"/>
      <c r="F992" s="8"/>
      <c r="H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>
      <c r="A993" s="8"/>
      <c r="B993" s="8"/>
      <c r="C993" s="8"/>
      <c r="D993" s="8"/>
      <c r="E993" s="8"/>
      <c r="F993" s="8"/>
      <c r="H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>
      <c r="A994" s="8"/>
      <c r="B994" s="8"/>
      <c r="C994" s="8"/>
      <c r="D994" s="8"/>
      <c r="E994" s="8"/>
      <c r="F994" s="8"/>
      <c r="H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>
      <c r="A995" s="8"/>
      <c r="B995" s="8"/>
      <c r="C995" s="8"/>
      <c r="D995" s="8"/>
      <c r="E995" s="8"/>
      <c r="F995" s="8"/>
      <c r="H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>
      <c r="A996" s="8"/>
      <c r="B996" s="8"/>
      <c r="C996" s="8"/>
      <c r="D996" s="8"/>
      <c r="E996" s="8"/>
      <c r="F996" s="8"/>
      <c r="H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>
      <c r="A997" s="8"/>
      <c r="B997" s="8"/>
      <c r="C997" s="8"/>
      <c r="D997" s="8"/>
      <c r="E997" s="8"/>
      <c r="F997" s="8"/>
      <c r="H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>
      <c r="A998" s="8"/>
      <c r="B998" s="8"/>
      <c r="C998" s="8"/>
      <c r="D998" s="8"/>
      <c r="E998" s="8"/>
      <c r="F998" s="8"/>
      <c r="H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4" width="34.0"/>
    <col customWidth="1" min="5" max="7" width="10.88"/>
  </cols>
  <sheetData>
    <row r="1">
      <c r="A1" s="2" t="s">
        <v>0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3</v>
      </c>
      <c r="G1" s="3" t="s">
        <v>7</v>
      </c>
      <c r="H1" s="7" t="s">
        <v>9</v>
      </c>
      <c r="I1" s="8"/>
      <c r="J1" s="8"/>
      <c r="K1" s="8"/>
      <c r="L1" s="8"/>
    </row>
    <row r="2">
      <c r="A2" s="10" t="s">
        <v>14</v>
      </c>
      <c r="B2" s="10" t="s">
        <v>16</v>
      </c>
      <c r="C2" s="10" t="s">
        <v>18</v>
      </c>
      <c r="D2" s="12" t="s">
        <v>18</v>
      </c>
      <c r="E2" s="13" t="s">
        <v>20</v>
      </c>
      <c r="F2" s="15">
        <f>IFERROR(__xludf.DUMMYFUNCTION("XLOOKUP($D2,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2" s="15">
        <f>IFERROR(__xludf.DUMMYFUNCTION("IFNA(XLOOKUP(""*""&amp;TRIM(REGEXREPLACE($D2, ""(?i)^(PT|CV)\.?\s+"", """"))&amp;""*"", 'DATA TARGET'!$C$2:$C998, 'DATA TARGET'!$D$2:$D998, ""Tidak Ditemukan"", 2), ""Tidak Ditemukan"")"),69.57)</f>
        <v>69.57</v>
      </c>
      <c r="H2" s="17">
        <f t="shared" ref="H2:H801" si="1">IF(OR(F2=0, F2="", F2="-"), G2, F2)</f>
        <v>69.57</v>
      </c>
      <c r="I2" s="8"/>
    </row>
    <row r="3">
      <c r="A3" s="10" t="s">
        <v>14</v>
      </c>
      <c r="B3" s="10" t="s">
        <v>16</v>
      </c>
      <c r="C3" s="10" t="s">
        <v>28</v>
      </c>
      <c r="D3" s="12" t="s">
        <v>28</v>
      </c>
      <c r="E3" s="13" t="s">
        <v>29</v>
      </c>
      <c r="F3" s="15">
        <f>IFERROR(__xludf.DUMMYFUNCTION("XLOOKUP($D3,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3" s="15">
        <f>IFERROR(__xludf.DUMMYFUNCTION("IFNA(XLOOKUP(""*""&amp;TRIM(REGEXREPLACE($D3, ""(?i)^(PT|CV)\.?\s+"", """"))&amp;""*"", 'DATA TARGET'!$C$2:$C998, 'DATA TARGET'!$D$2:$D998, ""Tidak Ditemukan"", 2), ""Tidak Ditemukan"")"),22.0)</f>
        <v>22</v>
      </c>
      <c r="H3" s="17">
        <f t="shared" si="1"/>
        <v>22</v>
      </c>
      <c r="I3" s="8"/>
    </row>
    <row r="4">
      <c r="A4" s="10" t="s">
        <v>14</v>
      </c>
      <c r="B4" s="10" t="s">
        <v>16</v>
      </c>
      <c r="C4" s="10" t="s">
        <v>33</v>
      </c>
      <c r="D4" s="12" t="s">
        <v>33</v>
      </c>
      <c r="E4" s="13" t="s">
        <v>34</v>
      </c>
      <c r="F4" s="15">
        <f>IFERROR(__xludf.DUMMYFUNCTION("XLOOKUP($D4,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4" s="15">
        <f>IFERROR(__xludf.DUMMYFUNCTION("IFNA(XLOOKUP(""*""&amp;TRIM(REGEXREPLACE($D4, ""(?i)^(PT|CV)\.?\s+"", """"))&amp;""*"", 'DATA TARGET'!$C$2:$C998, 'DATA TARGET'!$D$2:$D998, ""Tidak Ditemukan"", 2), ""Tidak Ditemukan"")"),346.2)</f>
        <v>346.2</v>
      </c>
      <c r="H4" s="17">
        <f t="shared" si="1"/>
        <v>346.2</v>
      </c>
      <c r="I4" s="8"/>
    </row>
    <row r="5">
      <c r="A5" s="10" t="s">
        <v>14</v>
      </c>
      <c r="B5" s="10" t="s">
        <v>16</v>
      </c>
      <c r="C5" s="10" t="s">
        <v>36</v>
      </c>
      <c r="D5" s="12" t="s">
        <v>36</v>
      </c>
      <c r="E5" s="13" t="s">
        <v>38</v>
      </c>
      <c r="F5" s="15">
        <f>IFERROR(__xludf.DUMMYFUNCTION("XLOOKUP($D5,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(AUTO)'!R6:R""))"),77.89)</f>
        <v>77.89</v>
      </c>
      <c r="G5" s="15">
        <f>IFERROR(__xludf.DUMMYFUNCTION("IFNA(XLOOKUP(""*""&amp;TRIM(REGEXREPLACE($D5, ""(?i)^(PT|CV)\.?\s+"", """"))&amp;""*"", 'DATA TARGET'!$C$2:$C998, 'DATA TARGET'!$D$2:$D998, ""Tidak Ditemukan"", 2), ""Tidak Ditemukan"")"),77.89)</f>
        <v>77.89</v>
      </c>
      <c r="H5" s="17">
        <f t="shared" si="1"/>
        <v>77.89</v>
      </c>
      <c r="I5" s="8"/>
    </row>
    <row r="6">
      <c r="A6" s="10" t="s">
        <v>14</v>
      </c>
      <c r="B6" s="10" t="s">
        <v>16</v>
      </c>
      <c r="C6" s="10" t="s">
        <v>39</v>
      </c>
      <c r="D6" s="12" t="s">
        <v>39</v>
      </c>
      <c r="E6" s="13" t="s">
        <v>41</v>
      </c>
      <c r="F6" s="15">
        <f>IFERROR(__xludf.DUMMYFUNCTION("XLOOKUP($D6,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(AUTO)'!R6:R""))"),155.07)</f>
        <v>155.07</v>
      </c>
      <c r="G6" s="15">
        <f>IFERROR(__xludf.DUMMYFUNCTION("IFNA(XLOOKUP(""*""&amp;TRIM(REGEXREPLACE($D6, ""(?i)^(PT|CV)\.?\s+"", """"))&amp;""*"", 'DATA TARGET'!$C$2:$C998, 'DATA TARGET'!$D$2:$D998, ""Tidak Ditemukan"", 2), ""Tidak Ditemukan"")"),155.07)</f>
        <v>155.07</v>
      </c>
      <c r="H6" s="17">
        <f t="shared" si="1"/>
        <v>155.07</v>
      </c>
      <c r="I6" s="8"/>
    </row>
    <row r="7">
      <c r="A7" s="10" t="s">
        <v>14</v>
      </c>
      <c r="B7" s="10" t="s">
        <v>16</v>
      </c>
      <c r="C7" s="10" t="s">
        <v>43</v>
      </c>
      <c r="D7" s="12" t="s">
        <v>43</v>
      </c>
      <c r="E7" s="13" t="s">
        <v>44</v>
      </c>
      <c r="F7" s="15">
        <f>IFERROR(__xludf.DUMMYFUNCTION("XLOOKUP($D7,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7" s="15">
        <f>IFERROR(__xludf.DUMMYFUNCTION("IFNA(XLOOKUP(""*""&amp;TRIM(REGEXREPLACE($D7, ""(?i)^(PT|CV)\.?\s+"", """"))&amp;""*"", 'DATA TARGET'!$C$2:$C998, 'DATA TARGET'!$D$2:$D998, ""Tidak Ditemukan"", 2), ""Tidak Ditemukan"")"),60.54)</f>
        <v>60.54</v>
      </c>
      <c r="H7" s="17">
        <f t="shared" si="1"/>
        <v>60.54</v>
      </c>
      <c r="I7" s="8"/>
    </row>
    <row r="8">
      <c r="A8" s="10" t="s">
        <v>14</v>
      </c>
      <c r="B8" s="10" t="s">
        <v>16</v>
      </c>
      <c r="C8" s="10" t="s">
        <v>47</v>
      </c>
      <c r="D8" s="12" t="s">
        <v>47</v>
      </c>
      <c r="E8" s="13" t="s">
        <v>48</v>
      </c>
      <c r="F8" s="15">
        <f>IFERROR(__xludf.DUMMYFUNCTION("XLOOKUP($D8,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8" s="15">
        <f>IFERROR(__xludf.DUMMYFUNCTION("IFNA(XLOOKUP(""*""&amp;TRIM(REGEXREPLACE($D8, ""(?i)^(PT|CV)\.?\s+"", """"))&amp;""*"", 'DATA TARGET'!$C$2:$C998, 'DATA TARGET'!$D$2:$D998, ""Tidak Ditemukan"", 2), ""Tidak Ditemukan"")"),15.51)</f>
        <v>15.51</v>
      </c>
      <c r="H8" s="17">
        <f t="shared" si="1"/>
        <v>15.51</v>
      </c>
      <c r="I8" s="8"/>
    </row>
    <row r="9">
      <c r="A9" s="10" t="s">
        <v>14</v>
      </c>
      <c r="B9" s="10" t="s">
        <v>16</v>
      </c>
      <c r="C9" s="10" t="s">
        <v>52</v>
      </c>
      <c r="D9" s="12" t="s">
        <v>52</v>
      </c>
      <c r="E9" s="13" t="s">
        <v>54</v>
      </c>
      <c r="F9" s="15">
        <f>IFERROR(__xludf.DUMMYFUNCTION("XLOOKUP($D9, IMPORTRANGE(""https://docs.google.com/spreadsheets/d/1RJrFMGUC-XijmB6MWr0bUJNzuN7BM1j8R_D0vOt0s8I/edit?usp=sharing"", ""'Master Data TK V0.2 (AUTO)'!F6:F""), IMPORTRANGE(""https://docs.google.com/spreadsheets/d/1RJrFMGUC-XijmB6MWr0bUJNzuN7BM1"&amp;"j8R_D0vOt0s8I/edit?usp=sharing"", ""'Master Data TK V0.2 (AUTO)'!R6:R""))"),0.0)</f>
        <v>0</v>
      </c>
      <c r="G9" s="15">
        <f>IFERROR(__xludf.DUMMYFUNCTION("IFNA(XLOOKUP(""*""&amp;TRIM(REGEXREPLACE($D9, ""(?i)^(PT|CV)\.?\s+"", """"))&amp;""*"", 'DATA TARGET'!$C$2:$C998, 'DATA TARGET'!$D$2:$D998, ""Tidak Ditemukan"", 2), ""Tidak Ditemukan"")"),510.39)</f>
        <v>510.39</v>
      </c>
      <c r="H9" s="17">
        <f t="shared" si="1"/>
        <v>510.39</v>
      </c>
      <c r="I9" s="8"/>
    </row>
    <row r="10">
      <c r="A10" s="10" t="s">
        <v>14</v>
      </c>
      <c r="B10" s="10" t="s">
        <v>55</v>
      </c>
      <c r="C10" s="10" t="s">
        <v>56</v>
      </c>
      <c r="D10" s="12" t="s">
        <v>56</v>
      </c>
      <c r="E10" s="13" t="s">
        <v>57</v>
      </c>
      <c r="F10" s="15">
        <f>IFERROR(__xludf.DUMMYFUNCTION("XLOOKUP($D10,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0" s="15" t="str">
        <f>IFERROR(__xludf.DUMMYFUNCTION("IFNA(XLOOKUP(""*""&amp;TRIM(REGEXREPLACE($D10, ""(?i)^(PT|CV)\.?\s+"", """"))&amp;""*"", 'DATA TARGET'!$C$2:$C998, 'DATA TARGET'!$D$2:$D998, ""Tidak Ditemukan"", 2), ""Tidak Ditemukan"")"),"Tidak Ditemukan")</f>
        <v>Tidak Ditemukan</v>
      </c>
      <c r="H10" s="17" t="str">
        <f t="shared" si="1"/>
        <v>Tidak Ditemukan</v>
      </c>
      <c r="I10" s="8"/>
    </row>
    <row r="11">
      <c r="A11" s="10" t="s">
        <v>14</v>
      </c>
      <c r="B11" s="10" t="s">
        <v>55</v>
      </c>
      <c r="C11" s="10" t="s">
        <v>42</v>
      </c>
      <c r="D11" s="12" t="s">
        <v>42</v>
      </c>
      <c r="E11" s="13" t="s">
        <v>60</v>
      </c>
      <c r="F11" s="15">
        <f>IFERROR(__xludf.DUMMYFUNCTION("XLOOKUP($D11,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(AUTO)'!R6:R""))"),786.0)</f>
        <v>786</v>
      </c>
      <c r="G11" s="15">
        <f>IFERROR(__xludf.DUMMYFUNCTION("IFNA(XLOOKUP(""*""&amp;TRIM(REGEXREPLACE($D11, ""(?i)^(PT|CV)\.?\s+"", """"))&amp;""*"", 'DATA TARGET'!$C$2:$C998, 'DATA TARGET'!$D$2:$D998, ""Tidak Ditemukan"", 2), ""Tidak Ditemukan"")"),786.0)</f>
        <v>786</v>
      </c>
      <c r="H11" s="17">
        <f t="shared" si="1"/>
        <v>786</v>
      </c>
      <c r="I11" s="8"/>
    </row>
    <row r="12">
      <c r="A12" s="10" t="s">
        <v>14</v>
      </c>
      <c r="B12" s="10" t="s">
        <v>55</v>
      </c>
      <c r="C12" s="10" t="s">
        <v>61</v>
      </c>
      <c r="D12" s="12" t="s">
        <v>61</v>
      </c>
      <c r="E12" s="13" t="s">
        <v>64</v>
      </c>
      <c r="F12" s="15">
        <f>IFERROR(__xludf.DUMMYFUNCTION("XLOOKUP($D12,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2" s="15" t="str">
        <f>IFERROR(__xludf.DUMMYFUNCTION("IFNA(XLOOKUP(""*""&amp;TRIM(REGEXREPLACE($D12, ""(?i)^(PT|CV)\.?\s+"", """"))&amp;""*"", 'DATA TARGET'!$C$2:$C998, 'DATA TARGET'!$D$2:$D998, ""Tidak Ditemukan"", 2), ""Tidak Ditemukan"")"),"Tidak Ditemukan")</f>
        <v>Tidak Ditemukan</v>
      </c>
      <c r="H12" s="17" t="str">
        <f t="shared" si="1"/>
        <v>Tidak Ditemukan</v>
      </c>
      <c r="I12" s="8"/>
    </row>
    <row r="13">
      <c r="A13" s="10" t="s">
        <v>14</v>
      </c>
      <c r="B13" s="10" t="s">
        <v>55</v>
      </c>
      <c r="C13" s="10" t="s">
        <v>66</v>
      </c>
      <c r="D13" s="12" t="s">
        <v>66</v>
      </c>
      <c r="E13" s="13" t="s">
        <v>67</v>
      </c>
      <c r="F13" s="15">
        <f>IFERROR(__xludf.DUMMYFUNCTION("XLOOKUP($D13,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3" s="15">
        <f>IFERROR(__xludf.DUMMYFUNCTION("IFNA(XLOOKUP(""*""&amp;TRIM(REGEXREPLACE($D13, ""(?i)^(PT|CV)\.?\s+"", """"))&amp;""*"", 'DATA TARGET'!$C$2:$C998, 'DATA TARGET'!$D$2:$D998, ""Tidak Ditemukan"", 2), ""Tidak Ditemukan"")"),1.59)</f>
        <v>1.59</v>
      </c>
      <c r="H13" s="17">
        <f t="shared" si="1"/>
        <v>1.59</v>
      </c>
      <c r="I13" s="8"/>
    </row>
    <row r="14">
      <c r="A14" s="10" t="s">
        <v>14</v>
      </c>
      <c r="B14" s="10" t="s">
        <v>55</v>
      </c>
      <c r="C14" s="10" t="s">
        <v>69</v>
      </c>
      <c r="D14" s="12" t="s">
        <v>69</v>
      </c>
      <c r="E14" s="13" t="s">
        <v>70</v>
      </c>
      <c r="F14" s="15">
        <f>IFERROR(__xludf.DUMMYFUNCTION("XLOOKUP($D14,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4" s="15">
        <f>IFERROR(__xludf.DUMMYFUNCTION("IFNA(XLOOKUP(""*""&amp;TRIM(REGEXREPLACE($D14, ""(?i)^(PT|CV)\.?\s+"", """"))&amp;""*"", 'DATA TARGET'!$C$2:$C998, 'DATA TARGET'!$D$2:$D998, ""Tidak Ditemukan"", 2), ""Tidak Ditemukan"")"),0.0)</f>
        <v>0</v>
      </c>
      <c r="H14" s="17">
        <f t="shared" si="1"/>
        <v>0</v>
      </c>
      <c r="I14" s="8"/>
    </row>
    <row r="15">
      <c r="A15" s="10" t="s">
        <v>14</v>
      </c>
      <c r="B15" s="10" t="s">
        <v>55</v>
      </c>
      <c r="C15" s="10" t="s">
        <v>73</v>
      </c>
      <c r="D15" s="12" t="s">
        <v>73</v>
      </c>
      <c r="E15" s="13" t="s">
        <v>74</v>
      </c>
      <c r="F15" s="15">
        <f>IFERROR(__xludf.DUMMYFUNCTION("XLOOKUP($D15,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5" s="15">
        <f>IFERROR(__xludf.DUMMYFUNCTION("IFNA(XLOOKUP(""*""&amp;TRIM(REGEXREPLACE($D15, ""(?i)^(PT|CV)\.?\s+"", """"))&amp;""*"", 'DATA TARGET'!$C$2:$C998, 'DATA TARGET'!$D$2:$D998, ""Tidak Ditemukan"", 2), ""Tidak Ditemukan"")"),44.46)</f>
        <v>44.46</v>
      </c>
      <c r="H15" s="17">
        <f t="shared" si="1"/>
        <v>44.46</v>
      </c>
      <c r="I15" s="8"/>
    </row>
    <row r="16">
      <c r="A16" s="10" t="s">
        <v>14</v>
      </c>
      <c r="B16" s="10" t="s">
        <v>55</v>
      </c>
      <c r="C16" s="10" t="s">
        <v>76</v>
      </c>
      <c r="D16" s="12" t="s">
        <v>76</v>
      </c>
      <c r="E16" s="13" t="s">
        <v>77</v>
      </c>
      <c r="F16" s="15">
        <f>IFERROR(__xludf.DUMMYFUNCTION("XLOOKUP($D16,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6" s="15" t="str">
        <f>IFERROR(__xludf.DUMMYFUNCTION("IFNA(XLOOKUP(""*""&amp;TRIM(REGEXREPLACE($D16, ""(?i)^(PT|CV)\.?\s+"", """"))&amp;""*"", 'DATA TARGET'!$C$2:$C998, 'DATA TARGET'!$D$2:$D998, ""Tidak Ditemukan"", 2), ""Tidak Ditemukan"")"),"Tidak Ditemukan")</f>
        <v>Tidak Ditemukan</v>
      </c>
      <c r="H16" s="17" t="str">
        <f t="shared" si="1"/>
        <v>Tidak Ditemukan</v>
      </c>
      <c r="I16" s="8"/>
    </row>
    <row r="17">
      <c r="A17" s="10" t="s">
        <v>14</v>
      </c>
      <c r="B17" s="10" t="s">
        <v>55</v>
      </c>
      <c r="C17" s="10" t="s">
        <v>78</v>
      </c>
      <c r="D17" s="12" t="s">
        <v>80</v>
      </c>
      <c r="E17" s="13" t="s">
        <v>81</v>
      </c>
      <c r="F17" s="15">
        <f>IFERROR(__xludf.DUMMYFUNCTION("XLOOKUP($D17,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7" s="15">
        <f>IFERROR(__xludf.DUMMYFUNCTION("IFNA(XLOOKUP(""*""&amp;TRIM(REGEXREPLACE($D17, ""(?i)^(PT|CV)\.?\s+"", """"))&amp;""*"", 'DATA TARGET'!$C$2:$C998, 'DATA TARGET'!$D$2:$D998, ""Tidak Ditemukan"", 2), ""Tidak Ditemukan"")"),0.0)</f>
        <v>0</v>
      </c>
      <c r="H17" s="17">
        <f t="shared" si="1"/>
        <v>0</v>
      </c>
      <c r="I17" s="8"/>
    </row>
    <row r="18">
      <c r="A18" s="10" t="s">
        <v>14</v>
      </c>
      <c r="B18" s="10" t="s">
        <v>55</v>
      </c>
      <c r="C18" s="10" t="s">
        <v>83</v>
      </c>
      <c r="D18" s="12" t="s">
        <v>83</v>
      </c>
      <c r="E18" s="13" t="s">
        <v>84</v>
      </c>
      <c r="F18" s="15">
        <f>IFERROR(__xludf.DUMMYFUNCTION("XLOOKUP($D18,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8" s="15">
        <f>IFERROR(__xludf.DUMMYFUNCTION("IFNA(XLOOKUP(""*""&amp;TRIM(REGEXREPLACE($D18, ""(?i)^(PT|CV)\.?\s+"", """"))&amp;""*"", 'DATA TARGET'!$C$2:$C998, 'DATA TARGET'!$D$2:$D998, ""Tidak Ditemukan"", 2), ""Tidak Ditemukan"")"),0.0)</f>
        <v>0</v>
      </c>
      <c r="H18" s="17">
        <f t="shared" si="1"/>
        <v>0</v>
      </c>
      <c r="I18" s="8"/>
    </row>
    <row r="19">
      <c r="A19" s="10" t="s">
        <v>14</v>
      </c>
      <c r="B19" s="10" t="s">
        <v>55</v>
      </c>
      <c r="C19" s="10" t="s">
        <v>86</v>
      </c>
      <c r="D19" s="12" t="s">
        <v>86</v>
      </c>
      <c r="E19" s="13" t="s">
        <v>87</v>
      </c>
      <c r="F19" s="15">
        <f>IFERROR(__xludf.DUMMYFUNCTION("XLOOKUP($D19,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19" s="15">
        <f>IFERROR(__xludf.DUMMYFUNCTION("IFNA(XLOOKUP(""*""&amp;TRIM(REGEXREPLACE($D19, ""(?i)^(PT|CV)\.?\s+"", """"))&amp;""*"", 'DATA TARGET'!$C$2:$C998, 'DATA TARGET'!$D$2:$D998, ""Tidak Ditemukan"", 2), ""Tidak Ditemukan"")"),0.0)</f>
        <v>0</v>
      </c>
      <c r="H19" s="17">
        <f t="shared" si="1"/>
        <v>0</v>
      </c>
      <c r="I19" s="8"/>
    </row>
    <row r="20">
      <c r="A20" s="10" t="s">
        <v>14</v>
      </c>
      <c r="B20" s="10" t="s">
        <v>55</v>
      </c>
      <c r="C20" s="10" t="s">
        <v>89</v>
      </c>
      <c r="D20" s="12" t="s">
        <v>89</v>
      </c>
      <c r="E20" s="13" t="s">
        <v>90</v>
      </c>
      <c r="F20" s="15">
        <f>IFERROR(__xludf.DUMMYFUNCTION("XLOOKUP($D20,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0" s="15" t="str">
        <f>IFERROR(__xludf.DUMMYFUNCTION("IFNA(XLOOKUP(""*""&amp;TRIM(REGEXREPLACE($D20, ""(?i)^(PT|CV)\.?\s+"", """"))&amp;""*"", 'DATA TARGET'!$C$2:$C998, 'DATA TARGET'!$D$2:$D998, ""Tidak Ditemukan"", 2), ""Tidak Ditemukan"")"),"Tidak Ditemukan")</f>
        <v>Tidak Ditemukan</v>
      </c>
      <c r="H20" s="17" t="str">
        <f t="shared" si="1"/>
        <v>Tidak Ditemukan</v>
      </c>
      <c r="I20" s="8"/>
    </row>
    <row r="21">
      <c r="A21" s="10" t="s">
        <v>14</v>
      </c>
      <c r="B21" s="10" t="s">
        <v>55</v>
      </c>
      <c r="C21" s="10" t="s">
        <v>91</v>
      </c>
      <c r="D21" s="12" t="s">
        <v>92</v>
      </c>
      <c r="E21" s="13" t="s">
        <v>93</v>
      </c>
      <c r="F21" s="15">
        <f>IFERROR(__xludf.DUMMYFUNCTION("XLOOKUP($D21,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(AUTO)'!R6:R""))"),3260.34)</f>
        <v>3260.34</v>
      </c>
      <c r="G21" s="15" t="str">
        <f>IFERROR(__xludf.DUMMYFUNCTION("IFNA(XLOOKUP(""*""&amp;TRIM(REGEXREPLACE($D21, ""(?i)^(PT|CV)\.?\s+"", """"))&amp;""*"", 'DATA TARGET'!$C$2:$C998, 'DATA TARGET'!$D$2:$D998, ""Tidak Ditemukan"", 2), ""Tidak Ditemukan"")"),"Tidak Ditemukan")</f>
        <v>Tidak Ditemukan</v>
      </c>
      <c r="H21" s="17">
        <f t="shared" si="1"/>
        <v>3260.34</v>
      </c>
      <c r="I21" s="8"/>
    </row>
    <row r="22">
      <c r="A22" s="10" t="s">
        <v>14</v>
      </c>
      <c r="B22" s="10" t="s">
        <v>55</v>
      </c>
      <c r="C22" s="10" t="s">
        <v>94</v>
      </c>
      <c r="D22" s="12" t="s">
        <v>94</v>
      </c>
      <c r="E22" s="13" t="s">
        <v>96</v>
      </c>
      <c r="F22" s="15">
        <f>IFERROR(__xludf.DUMMYFUNCTION("XLOOKUP($D22,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2" s="15">
        <f>IFERROR(__xludf.DUMMYFUNCTION("IFNA(XLOOKUP(""*""&amp;TRIM(REGEXREPLACE($D22, ""(?i)^(PT|CV)\.?\s+"", """"))&amp;""*"", 'DATA TARGET'!$C$2:$C998, 'DATA TARGET'!$D$2:$D998, ""Tidak Ditemukan"", 2), ""Tidak Ditemukan"")"),0.0)</f>
        <v>0</v>
      </c>
      <c r="H22" s="17">
        <f t="shared" si="1"/>
        <v>0</v>
      </c>
      <c r="I22" s="8"/>
    </row>
    <row r="23">
      <c r="A23" s="10" t="s">
        <v>14</v>
      </c>
      <c r="B23" s="10" t="s">
        <v>55</v>
      </c>
      <c r="C23" s="10" t="s">
        <v>99</v>
      </c>
      <c r="D23" s="12" t="s">
        <v>99</v>
      </c>
      <c r="E23" s="13" t="s">
        <v>100</v>
      </c>
      <c r="F23" s="15">
        <f>IFERROR(__xludf.DUMMYFUNCTION("XLOOKUP($D23,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3" s="15" t="str">
        <f>IFERROR(__xludf.DUMMYFUNCTION("IFNA(XLOOKUP(""*""&amp;TRIM(REGEXREPLACE($D23, ""(?i)^(PT|CV)\.?\s+"", """"))&amp;""*"", 'DATA TARGET'!$C$2:$C998, 'DATA TARGET'!$D$2:$D998, ""Tidak Ditemukan"", 2), ""Tidak Ditemukan"")"),"Tidak Ditemukan")</f>
        <v>Tidak Ditemukan</v>
      </c>
      <c r="H23" s="17" t="str">
        <f t="shared" si="1"/>
        <v>Tidak Ditemukan</v>
      </c>
      <c r="I23" s="8"/>
    </row>
    <row r="24">
      <c r="A24" s="10" t="s">
        <v>14</v>
      </c>
      <c r="B24" s="10" t="s">
        <v>55</v>
      </c>
      <c r="C24" s="10" t="s">
        <v>102</v>
      </c>
      <c r="D24" s="12" t="s">
        <v>102</v>
      </c>
      <c r="E24" s="13" t="s">
        <v>103</v>
      </c>
      <c r="F24" s="15">
        <f>IFERROR(__xludf.DUMMYFUNCTION("XLOOKUP($D24,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(AUTO)'!R6:R""))"),269.0)</f>
        <v>269</v>
      </c>
      <c r="G24" s="15">
        <f>IFERROR(__xludf.DUMMYFUNCTION("IFNA(XLOOKUP(""*""&amp;TRIM(REGEXREPLACE($D24, ""(?i)^(PT|CV)\.?\s+"", """"))&amp;""*"", 'DATA TARGET'!$C$2:$C998, 'DATA TARGET'!$D$2:$D998, ""Tidak Ditemukan"", 2), ""Tidak Ditemukan"")"),167.12)</f>
        <v>167.12</v>
      </c>
      <c r="H24" s="17">
        <f t="shared" si="1"/>
        <v>269</v>
      </c>
      <c r="I24" s="8"/>
    </row>
    <row r="25">
      <c r="A25" s="10" t="s">
        <v>14</v>
      </c>
      <c r="B25" s="10" t="s">
        <v>55</v>
      </c>
      <c r="C25" s="10" t="s">
        <v>106</v>
      </c>
      <c r="D25" s="12" t="s">
        <v>106</v>
      </c>
      <c r="E25" s="13" t="s">
        <v>107</v>
      </c>
      <c r="F25" s="15">
        <f>IFERROR(__xludf.DUMMYFUNCTION("XLOOKUP($D25,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(AUTO)'!R6:R""))"),264.84)</f>
        <v>264.84</v>
      </c>
      <c r="G25" s="15">
        <f>IFERROR(__xludf.DUMMYFUNCTION("IFNA(XLOOKUP(""*""&amp;TRIM(REGEXREPLACE($D25, ""(?i)^(PT|CV)\.?\s+"", """"))&amp;""*"", 'DATA TARGET'!$C$2:$C998, 'DATA TARGET'!$D$2:$D998, ""Tidak Ditemukan"", 2), ""Tidak Ditemukan"")"),264.84)</f>
        <v>264.84</v>
      </c>
      <c r="H25" s="17">
        <f t="shared" si="1"/>
        <v>264.84</v>
      </c>
      <c r="I25" s="8"/>
    </row>
    <row r="26">
      <c r="A26" s="10" t="s">
        <v>14</v>
      </c>
      <c r="B26" s="10" t="s">
        <v>55</v>
      </c>
      <c r="C26" s="10" t="s">
        <v>109</v>
      </c>
      <c r="D26" s="12" t="s">
        <v>109</v>
      </c>
      <c r="E26" s="13" t="s">
        <v>110</v>
      </c>
      <c r="F26" s="15">
        <f>IFERROR(__xludf.DUMMYFUNCTION("XLOOKUP($D26,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6" s="15">
        <f>IFERROR(__xludf.DUMMYFUNCTION("IFNA(XLOOKUP(""*""&amp;TRIM(REGEXREPLACE($D26, ""(?i)^(PT|CV)\.?\s+"", """"))&amp;""*"", 'DATA TARGET'!$C$2:$C998, 'DATA TARGET'!$D$2:$D998, ""Tidak Ditemukan"", 2), ""Tidak Ditemukan"")"),440.4)</f>
        <v>440.4</v>
      </c>
      <c r="H26" s="17">
        <f t="shared" si="1"/>
        <v>440.4</v>
      </c>
      <c r="I26" s="8"/>
    </row>
    <row r="27">
      <c r="A27" s="10" t="s">
        <v>14</v>
      </c>
      <c r="B27" s="10" t="s">
        <v>55</v>
      </c>
      <c r="C27" s="10" t="s">
        <v>113</v>
      </c>
      <c r="D27" s="12" t="s">
        <v>113</v>
      </c>
      <c r="E27" s="13" t="s">
        <v>114</v>
      </c>
      <c r="F27" s="15">
        <f>IFERROR(__xludf.DUMMYFUNCTION("XLOOKUP($D27,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7" s="15" t="str">
        <f>IFERROR(__xludf.DUMMYFUNCTION("IFNA(XLOOKUP(""*""&amp;TRIM(REGEXREPLACE($D27, ""(?i)^(PT|CV)\.?\s+"", """"))&amp;""*"", 'DATA TARGET'!$C$2:$C998, 'DATA TARGET'!$D$2:$D998, ""Tidak Ditemukan"", 2), ""Tidak Ditemukan"")"),"Tidak Ditemukan")</f>
        <v>Tidak Ditemukan</v>
      </c>
      <c r="H27" s="17" t="str">
        <f t="shared" si="1"/>
        <v>Tidak Ditemukan</v>
      </c>
      <c r="I27" s="8"/>
    </row>
    <row r="28">
      <c r="A28" s="10" t="s">
        <v>14</v>
      </c>
      <c r="B28" s="10" t="s">
        <v>55</v>
      </c>
      <c r="C28" s="10" t="s">
        <v>116</v>
      </c>
      <c r="D28" s="12" t="s">
        <v>116</v>
      </c>
      <c r="E28" s="13" t="s">
        <v>117</v>
      </c>
      <c r="F28" s="15">
        <f>IFERROR(__xludf.DUMMYFUNCTION("XLOOKUP($D28,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8" s="15">
        <f>IFERROR(__xludf.DUMMYFUNCTION("IFNA(XLOOKUP(""*""&amp;TRIM(REGEXREPLACE($D28, ""(?i)^(PT|CV)\.?\s+"", """"))&amp;""*"", 'DATA TARGET'!$C$2:$C998, 'DATA TARGET'!$D$2:$D998, ""Tidak Ditemukan"", 2), ""Tidak Ditemukan"")"),0.0)</f>
        <v>0</v>
      </c>
      <c r="H28" s="17">
        <f t="shared" si="1"/>
        <v>0</v>
      </c>
      <c r="I28" s="8"/>
    </row>
    <row r="29">
      <c r="A29" s="10" t="s">
        <v>14</v>
      </c>
      <c r="B29" s="10" t="s">
        <v>55</v>
      </c>
      <c r="C29" s="10" t="s">
        <v>119</v>
      </c>
      <c r="D29" s="12" t="s">
        <v>119</v>
      </c>
      <c r="E29" s="13" t="s">
        <v>120</v>
      </c>
      <c r="F29" s="15">
        <f>IFERROR(__xludf.DUMMYFUNCTION("XLOOKUP($D29,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29" s="15">
        <f>IFERROR(__xludf.DUMMYFUNCTION("IFNA(XLOOKUP(""*""&amp;TRIM(REGEXREPLACE($D29, ""(?i)^(PT|CV)\.?\s+"", """"))&amp;""*"", 'DATA TARGET'!$C$2:$C998, 'DATA TARGET'!$D$2:$D998, ""Tidak Ditemukan"", 2), ""Tidak Ditemukan"")"),0.0)</f>
        <v>0</v>
      </c>
      <c r="H29" s="17">
        <f t="shared" si="1"/>
        <v>0</v>
      </c>
      <c r="I29" s="8"/>
    </row>
    <row r="30">
      <c r="A30" s="10" t="s">
        <v>14</v>
      </c>
      <c r="B30" s="10" t="s">
        <v>55</v>
      </c>
      <c r="C30" s="10" t="s">
        <v>122</v>
      </c>
      <c r="D30" s="12" t="s">
        <v>122</v>
      </c>
      <c r="E30" s="13" t="s">
        <v>123</v>
      </c>
      <c r="F30" s="15">
        <f>IFERROR(__xludf.DUMMYFUNCTION("XLOOKUP($D30,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0" s="15">
        <f>IFERROR(__xludf.DUMMYFUNCTION("IFNA(XLOOKUP(""*""&amp;TRIM(REGEXREPLACE($D30, ""(?i)^(PT|CV)\.?\s+"", """"))&amp;""*"", 'DATA TARGET'!$C$2:$C998, 'DATA TARGET'!$D$2:$D998, ""Tidak Ditemukan"", 2), ""Tidak Ditemukan"")"),59.9)</f>
        <v>59.9</v>
      </c>
      <c r="H30" s="17">
        <f t="shared" si="1"/>
        <v>59.9</v>
      </c>
      <c r="I30" s="8"/>
    </row>
    <row r="31">
      <c r="A31" s="10" t="s">
        <v>14</v>
      </c>
      <c r="B31" s="10" t="s">
        <v>55</v>
      </c>
      <c r="C31" s="10" t="s">
        <v>127</v>
      </c>
      <c r="D31" s="12" t="s">
        <v>127</v>
      </c>
      <c r="E31" s="13" t="s">
        <v>128</v>
      </c>
      <c r="F31" s="15">
        <f>IFERROR(__xludf.DUMMYFUNCTION("XLOOKUP($D31,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1" s="15">
        <f>IFERROR(__xludf.DUMMYFUNCTION("IFNA(XLOOKUP(""*""&amp;TRIM(REGEXREPLACE($D31, ""(?i)^(PT|CV)\.?\s+"", """"))&amp;""*"", 'DATA TARGET'!$C$2:$C998, 'DATA TARGET'!$D$2:$D998, ""Tidak Ditemukan"", 2), ""Tidak Ditemukan"")"),0.0)</f>
        <v>0</v>
      </c>
      <c r="H31" s="17">
        <f t="shared" si="1"/>
        <v>0</v>
      </c>
      <c r="I31" s="8"/>
    </row>
    <row r="32">
      <c r="A32" s="10" t="s">
        <v>14</v>
      </c>
      <c r="B32" s="10" t="s">
        <v>55</v>
      </c>
      <c r="C32" s="10" t="s">
        <v>130</v>
      </c>
      <c r="D32" s="12" t="s">
        <v>130</v>
      </c>
      <c r="E32" s="13" t="s">
        <v>131</v>
      </c>
      <c r="F32" s="15">
        <f>IFERROR(__xludf.DUMMYFUNCTION("XLOOKUP($D32,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2" s="15" t="str">
        <f>IFERROR(__xludf.DUMMYFUNCTION("IFNA(XLOOKUP(""*""&amp;TRIM(REGEXREPLACE($D32, ""(?i)^(PT|CV)\.?\s+"", """"))&amp;""*"", 'DATA TARGET'!$C$2:$C998, 'DATA TARGET'!$D$2:$D998, ""Tidak Ditemukan"", 2), ""Tidak Ditemukan"")"),"Tidak Ditemukan")</f>
        <v>Tidak Ditemukan</v>
      </c>
      <c r="H32" s="17" t="str">
        <f t="shared" si="1"/>
        <v>Tidak Ditemukan</v>
      </c>
      <c r="I32" s="8"/>
    </row>
    <row r="33">
      <c r="A33" s="10" t="s">
        <v>14</v>
      </c>
      <c r="B33" s="10" t="s">
        <v>55</v>
      </c>
      <c r="C33" s="10" t="s">
        <v>133</v>
      </c>
      <c r="D33" s="12" t="s">
        <v>133</v>
      </c>
      <c r="E33" s="13" t="s">
        <v>135</v>
      </c>
      <c r="F33" s="15">
        <f>IFERROR(__xludf.DUMMYFUNCTION("XLOOKUP($D33,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3" s="15" t="str">
        <f>IFERROR(__xludf.DUMMYFUNCTION("IFNA(XLOOKUP(""*""&amp;TRIM(REGEXREPLACE($D33, ""(?i)^(PT|CV)\.?\s+"", """"))&amp;""*"", 'DATA TARGET'!$C$2:$C998, 'DATA TARGET'!$D$2:$D998, ""Tidak Ditemukan"", 2), ""Tidak Ditemukan"")"),"Tidak Ditemukan")</f>
        <v>Tidak Ditemukan</v>
      </c>
      <c r="H33" s="17" t="str">
        <f t="shared" si="1"/>
        <v>Tidak Ditemukan</v>
      </c>
      <c r="I33" s="8"/>
    </row>
    <row r="34">
      <c r="A34" s="10" t="s">
        <v>14</v>
      </c>
      <c r="B34" s="10" t="s">
        <v>55</v>
      </c>
      <c r="C34" s="10" t="s">
        <v>136</v>
      </c>
      <c r="D34" s="12" t="s">
        <v>136</v>
      </c>
      <c r="E34" s="13" t="s">
        <v>138</v>
      </c>
      <c r="F34" s="15">
        <f>IFERROR(__xludf.DUMMYFUNCTION("XLOOKUP($D34,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4" s="15">
        <f>IFERROR(__xludf.DUMMYFUNCTION("IFNA(XLOOKUP(""*""&amp;TRIM(REGEXREPLACE($D34, ""(?i)^(PT|CV)\.?\s+"", """"))&amp;""*"", 'DATA TARGET'!$C$2:$C998, 'DATA TARGET'!$D$2:$D998, ""Tidak Ditemukan"", 2), ""Tidak Ditemukan"")"),0.0)</f>
        <v>0</v>
      </c>
      <c r="H34" s="17">
        <f t="shared" si="1"/>
        <v>0</v>
      </c>
      <c r="I34" s="8"/>
    </row>
    <row r="35">
      <c r="A35" s="10" t="s">
        <v>14</v>
      </c>
      <c r="B35" s="10" t="s">
        <v>55</v>
      </c>
      <c r="C35" s="10" t="s">
        <v>139</v>
      </c>
      <c r="D35" s="12" t="s">
        <v>139</v>
      </c>
      <c r="E35" s="13" t="s">
        <v>141</v>
      </c>
      <c r="F35" s="15">
        <f>IFERROR(__xludf.DUMMYFUNCTION("XLOOKUP($D35,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5" s="15">
        <f>IFERROR(__xludf.DUMMYFUNCTION("IFNA(XLOOKUP(""*""&amp;TRIM(REGEXREPLACE($D35, ""(?i)^(PT|CV)\.?\s+"", """"))&amp;""*"", 'DATA TARGET'!$C$2:$C998, 'DATA TARGET'!$D$2:$D998, ""Tidak Ditemukan"", 2), ""Tidak Ditemukan"")"),0.0)</f>
        <v>0</v>
      </c>
      <c r="H35" s="17">
        <f t="shared" si="1"/>
        <v>0</v>
      </c>
      <c r="I35" s="8"/>
    </row>
    <row r="36">
      <c r="A36" s="10" t="s">
        <v>14</v>
      </c>
      <c r="B36" s="10" t="s">
        <v>55</v>
      </c>
      <c r="C36" s="10" t="s">
        <v>142</v>
      </c>
      <c r="D36" s="12" t="s">
        <v>142</v>
      </c>
      <c r="E36" s="13" t="s">
        <v>143</v>
      </c>
      <c r="F36" s="15">
        <f>IFERROR(__xludf.DUMMYFUNCTION("XLOOKUP($D36,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6" s="15" t="str">
        <f>IFERROR(__xludf.DUMMYFUNCTION("IFNA(XLOOKUP(""*""&amp;TRIM(REGEXREPLACE($D36, ""(?i)^(PT|CV)\.?\s+"", """"))&amp;""*"", 'DATA TARGET'!$C$2:$C998, 'DATA TARGET'!$D$2:$D998, ""Tidak Ditemukan"", 2), ""Tidak Ditemukan"")"),"Tidak Ditemukan")</f>
        <v>Tidak Ditemukan</v>
      </c>
      <c r="H36" s="17" t="str">
        <f t="shared" si="1"/>
        <v>Tidak Ditemukan</v>
      </c>
      <c r="I36" s="8"/>
    </row>
    <row r="37">
      <c r="A37" s="10" t="s">
        <v>14</v>
      </c>
      <c r="B37" s="10" t="s">
        <v>55</v>
      </c>
      <c r="C37" s="10" t="s">
        <v>145</v>
      </c>
      <c r="D37" s="12" t="s">
        <v>145</v>
      </c>
      <c r="E37" s="13" t="s">
        <v>146</v>
      </c>
      <c r="F37" s="15">
        <f>IFERROR(__xludf.DUMMYFUNCTION("XLOOKUP($D37,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7" s="15" t="str">
        <f>IFERROR(__xludf.DUMMYFUNCTION("IFNA(XLOOKUP(""*""&amp;TRIM(REGEXREPLACE($D37, ""(?i)^(PT|CV)\.?\s+"", """"))&amp;""*"", 'DATA TARGET'!$C$2:$C998, 'DATA TARGET'!$D$2:$D998, ""Tidak Ditemukan"", 2), ""Tidak Ditemukan"")"),"Tidak Ditemukan")</f>
        <v>Tidak Ditemukan</v>
      </c>
      <c r="H37" s="17" t="str">
        <f t="shared" si="1"/>
        <v>Tidak Ditemukan</v>
      </c>
      <c r="I37" s="8"/>
    </row>
    <row r="38">
      <c r="A38" s="10" t="s">
        <v>14</v>
      </c>
      <c r="B38" s="10" t="s">
        <v>55</v>
      </c>
      <c r="C38" s="10" t="s">
        <v>148</v>
      </c>
      <c r="D38" s="12" t="s">
        <v>148</v>
      </c>
      <c r="E38" s="13" t="s">
        <v>149</v>
      </c>
      <c r="F38" s="15">
        <f>IFERROR(__xludf.DUMMYFUNCTION("XLOOKUP($D38,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8" s="15">
        <f>IFERROR(__xludf.DUMMYFUNCTION("IFNA(XLOOKUP(""*""&amp;TRIM(REGEXREPLACE($D38, ""(?i)^(PT|CV)\.?\s+"", """"))&amp;""*"", 'DATA TARGET'!$C$2:$C998, 'DATA TARGET'!$D$2:$D998, ""Tidak Ditemukan"", 2), ""Tidak Ditemukan"")"),0.0)</f>
        <v>0</v>
      </c>
      <c r="H38" s="17">
        <f t="shared" si="1"/>
        <v>0</v>
      </c>
      <c r="I38" s="8"/>
    </row>
    <row r="39">
      <c r="A39" s="10" t="s">
        <v>14</v>
      </c>
      <c r="B39" s="10" t="s">
        <v>55</v>
      </c>
      <c r="C39" s="10" t="s">
        <v>150</v>
      </c>
      <c r="D39" s="12" t="s">
        <v>150</v>
      </c>
      <c r="E39" s="13" t="s">
        <v>152</v>
      </c>
      <c r="F39" s="15">
        <f>IFERROR(__xludf.DUMMYFUNCTION("XLOOKUP($D39,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39" s="15" t="str">
        <f>IFERROR(__xludf.DUMMYFUNCTION("IFNA(XLOOKUP(""*""&amp;TRIM(REGEXREPLACE($D39, ""(?i)^(PT|CV)\.?\s+"", """"))&amp;""*"", 'DATA TARGET'!$C$2:$C998, 'DATA TARGET'!$D$2:$D998, ""Tidak Ditemukan"", 2), ""Tidak Ditemukan"")"),"Tidak Ditemukan")</f>
        <v>Tidak Ditemukan</v>
      </c>
      <c r="H39" s="17" t="str">
        <f t="shared" si="1"/>
        <v>Tidak Ditemukan</v>
      </c>
      <c r="I39" s="8"/>
    </row>
    <row r="40">
      <c r="A40" s="10" t="s">
        <v>14</v>
      </c>
      <c r="B40" s="10" t="s">
        <v>55</v>
      </c>
      <c r="C40" s="10" t="s">
        <v>154</v>
      </c>
      <c r="D40" s="12" t="s">
        <v>154</v>
      </c>
      <c r="E40" s="13" t="s">
        <v>155</v>
      </c>
      <c r="F40" s="15">
        <f>IFERROR(__xludf.DUMMYFUNCTION("XLOOKUP($D40,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0" s="15">
        <f>IFERROR(__xludf.DUMMYFUNCTION("IFNA(XLOOKUP(""*""&amp;TRIM(REGEXREPLACE($D40, ""(?i)^(PT|CV)\.?\s+"", """"))&amp;""*"", 'DATA TARGET'!$C$2:$C998, 'DATA TARGET'!$D$2:$D998, ""Tidak Ditemukan"", 2), ""Tidak Ditemukan"")"),0.0)</f>
        <v>0</v>
      </c>
      <c r="H40" s="17">
        <f t="shared" si="1"/>
        <v>0</v>
      </c>
      <c r="I40" s="8"/>
    </row>
    <row r="41">
      <c r="A41" s="10" t="s">
        <v>14</v>
      </c>
      <c r="B41" s="10" t="s">
        <v>55</v>
      </c>
      <c r="C41" s="10" t="s">
        <v>156</v>
      </c>
      <c r="D41" s="12" t="s">
        <v>156</v>
      </c>
      <c r="E41" s="13" t="s">
        <v>158</v>
      </c>
      <c r="F41" s="15">
        <f>IFERROR(__xludf.DUMMYFUNCTION("XLOOKUP($D41,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1" s="15">
        <f>IFERROR(__xludf.DUMMYFUNCTION("IFNA(XLOOKUP(""*""&amp;TRIM(REGEXREPLACE($D41, ""(?i)^(PT|CV)\.?\s+"", """"))&amp;""*"", 'DATA TARGET'!$C$2:$C998, 'DATA TARGET'!$D$2:$D998, ""Tidak Ditemukan"", 2), ""Tidak Ditemukan"")"),233.62)</f>
        <v>233.62</v>
      </c>
      <c r="H41" s="17">
        <f t="shared" si="1"/>
        <v>233.62</v>
      </c>
      <c r="I41" s="8"/>
    </row>
    <row r="42">
      <c r="A42" s="10" t="s">
        <v>14</v>
      </c>
      <c r="B42" s="10" t="s">
        <v>55</v>
      </c>
      <c r="C42" s="10" t="s">
        <v>160</v>
      </c>
      <c r="D42" s="12" t="s">
        <v>160</v>
      </c>
      <c r="E42" s="13" t="s">
        <v>161</v>
      </c>
      <c r="F42" s="15">
        <f>IFERROR(__xludf.DUMMYFUNCTION("XLOOKUP($D42,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2" s="15" t="str">
        <f>IFERROR(__xludf.DUMMYFUNCTION("IFNA(XLOOKUP(""*""&amp;TRIM(REGEXREPLACE($D42, ""(?i)^(PT|CV)\.?\s+"", """"))&amp;""*"", 'DATA TARGET'!$C$2:$C998, 'DATA TARGET'!$D$2:$D998, ""Tidak Ditemukan"", 2), ""Tidak Ditemukan"")"),"Tidak Ditemukan")</f>
        <v>Tidak Ditemukan</v>
      </c>
      <c r="H42" s="17" t="str">
        <f t="shared" si="1"/>
        <v>Tidak Ditemukan</v>
      </c>
      <c r="I42" s="8"/>
    </row>
    <row r="43">
      <c r="A43" s="10" t="s">
        <v>14</v>
      </c>
      <c r="B43" s="10" t="s">
        <v>55</v>
      </c>
      <c r="C43" s="10" t="s">
        <v>163</v>
      </c>
      <c r="D43" s="12" t="s">
        <v>163</v>
      </c>
      <c r="E43" s="13" t="s">
        <v>164</v>
      </c>
      <c r="F43" s="15">
        <f>IFERROR(__xludf.DUMMYFUNCTION("XLOOKUP($D43,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3" s="15" t="str">
        <f>IFERROR(__xludf.DUMMYFUNCTION("IFNA(XLOOKUP(""*""&amp;TRIM(REGEXREPLACE($D43, ""(?i)^(PT|CV)\.?\s+"", """"))&amp;""*"", 'DATA TARGET'!$C$2:$C998, 'DATA TARGET'!$D$2:$D998, ""Tidak Ditemukan"", 2), ""Tidak Ditemukan"")"),"Tidak Ditemukan")</f>
        <v>Tidak Ditemukan</v>
      </c>
      <c r="H43" s="17" t="str">
        <f t="shared" si="1"/>
        <v>Tidak Ditemukan</v>
      </c>
      <c r="I43" s="8"/>
    </row>
    <row r="44">
      <c r="A44" s="10" t="s">
        <v>14</v>
      </c>
      <c r="B44" s="10" t="s">
        <v>55</v>
      </c>
      <c r="C44" s="10" t="s">
        <v>166</v>
      </c>
      <c r="D44" s="12" t="s">
        <v>166</v>
      </c>
      <c r="E44" s="13" t="s">
        <v>167</v>
      </c>
      <c r="F44" s="15">
        <f>IFERROR(__xludf.DUMMYFUNCTION("XLOOKUP($D44,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(AUTO)'!R6:R""))"),106.2)</f>
        <v>106.2</v>
      </c>
      <c r="G44" s="15" t="str">
        <f>IFERROR(__xludf.DUMMYFUNCTION("IFNA(XLOOKUP(""*""&amp;TRIM(REGEXREPLACE($D44, ""(?i)^(PT|CV)\.?\s+"", """"))&amp;""*"", 'DATA TARGET'!$C$2:$C998, 'DATA TARGET'!$D$2:$D998, ""Tidak Ditemukan"", 2), ""Tidak Ditemukan"")"),"Tidak Ditemukan")</f>
        <v>Tidak Ditemukan</v>
      </c>
      <c r="H44" s="17">
        <f t="shared" si="1"/>
        <v>106.2</v>
      </c>
      <c r="I44" s="8"/>
    </row>
    <row r="45">
      <c r="A45" s="10" t="s">
        <v>14</v>
      </c>
      <c r="B45" s="10" t="s">
        <v>55</v>
      </c>
      <c r="C45" s="10" t="s">
        <v>170</v>
      </c>
      <c r="D45" s="12" t="s">
        <v>170</v>
      </c>
      <c r="E45" s="13" t="s">
        <v>171</v>
      </c>
      <c r="F45" s="15">
        <f>IFERROR(__xludf.DUMMYFUNCTION("XLOOKUP($D45,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5" s="15">
        <f>IFERROR(__xludf.DUMMYFUNCTION("IFNA(XLOOKUP(""*""&amp;TRIM(REGEXREPLACE($D45, ""(?i)^(PT|CV)\.?\s+"", """"))&amp;""*"", 'DATA TARGET'!$C$2:$C998, 'DATA TARGET'!$D$2:$D998, ""Tidak Ditemukan"", 2), ""Tidak Ditemukan"")"),0.0)</f>
        <v>0</v>
      </c>
      <c r="H45" s="17">
        <f t="shared" si="1"/>
        <v>0</v>
      </c>
      <c r="I45" s="8"/>
    </row>
    <row r="46">
      <c r="A46" s="10" t="s">
        <v>14</v>
      </c>
      <c r="B46" s="10" t="s">
        <v>55</v>
      </c>
      <c r="C46" s="10" t="s">
        <v>174</v>
      </c>
      <c r="D46" s="12" t="s">
        <v>174</v>
      </c>
      <c r="E46" s="13" t="s">
        <v>175</v>
      </c>
      <c r="F46" s="15">
        <f>IFERROR(__xludf.DUMMYFUNCTION("XLOOKUP($D46,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6" s="15" t="str">
        <f>IFERROR(__xludf.DUMMYFUNCTION("IFNA(XLOOKUP(""*""&amp;TRIM(REGEXREPLACE($D46, ""(?i)^(PT|CV)\.?\s+"", """"))&amp;""*"", 'DATA TARGET'!$C$2:$C998, 'DATA TARGET'!$D$2:$D998, ""Tidak Ditemukan"", 2), ""Tidak Ditemukan"")"),"Tidak Ditemukan")</f>
        <v>Tidak Ditemukan</v>
      </c>
      <c r="H46" s="17" t="str">
        <f t="shared" si="1"/>
        <v>Tidak Ditemukan</v>
      </c>
      <c r="I46" s="8"/>
    </row>
    <row r="47">
      <c r="A47" s="10" t="s">
        <v>14</v>
      </c>
      <c r="B47" s="10" t="s">
        <v>55</v>
      </c>
      <c r="C47" s="10" t="s">
        <v>177</v>
      </c>
      <c r="D47" s="12" t="s">
        <v>177</v>
      </c>
      <c r="E47" s="13" t="s">
        <v>178</v>
      </c>
      <c r="F47" s="15">
        <f>IFERROR(__xludf.DUMMYFUNCTION("XLOOKUP($D47,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(AUTO)'!R6:R""))"),0.0)</f>
        <v>0</v>
      </c>
      <c r="G47" s="15">
        <f>IFERROR(__xludf.DUMMYFUNCTION("IFNA(XLOOKUP(""*""&amp;TRIM(REGEXREPLACE($D47, ""(?i)^(PT|CV)\.?\s+"", """"))&amp;""*"", 'DATA TARGET'!$C$2:$C998, 'DATA TARGET'!$D$2:$D998, ""Tidak Ditemukan"", 2), ""Tidak Ditemukan"")"),0.0)</f>
        <v>0</v>
      </c>
      <c r="H47" s="17">
        <f t="shared" si="1"/>
        <v>0</v>
      </c>
      <c r="I47" s="8"/>
    </row>
    <row r="48">
      <c r="A48" s="10" t="s">
        <v>14</v>
      </c>
      <c r="B48" s="10" t="s">
        <v>180</v>
      </c>
      <c r="C48" s="10" t="s">
        <v>182</v>
      </c>
      <c r="D48" s="12" t="s">
        <v>98</v>
      </c>
      <c r="E48" s="13" t="s">
        <v>183</v>
      </c>
      <c r="F48" s="15">
        <f>IFERROR(__xludf.DUMMYFUNCTION("XLOOKUP($D48,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(AUTO)'!R6:R""))"),12888.38)</f>
        <v>12888.38</v>
      </c>
      <c r="G48" s="15">
        <f>IFERROR(__xludf.DUMMYFUNCTION("IFNA(XLOOKUP(""*""&amp;TRIM(REGEXREPLACE($D48, ""(?i)^(PT|CV)\.?\s+"", """"))&amp;""*"", 'DATA TARGET'!$C$2:$C998, 'DATA TARGET'!$D$2:$D998, ""Tidak Ditemukan"", 2), ""Tidak Ditemukan"")"),10052.38)</f>
        <v>10052.38</v>
      </c>
      <c r="H48" s="17">
        <f t="shared" si="1"/>
        <v>12888.38</v>
      </c>
      <c r="I48" s="8"/>
    </row>
    <row r="49">
      <c r="A49" s="10" t="s">
        <v>14</v>
      </c>
      <c r="B49" s="10" t="s">
        <v>180</v>
      </c>
      <c r="C49" s="10" t="s">
        <v>182</v>
      </c>
      <c r="D49" s="12" t="s">
        <v>105</v>
      </c>
      <c r="E49" s="13" t="s">
        <v>187</v>
      </c>
      <c r="F49" s="15">
        <f>IFERROR(__xludf.DUMMYFUNCTION("XLOOKUP($D49,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(AUTO)'!R6:R""))"),12127.94)</f>
        <v>12127.94</v>
      </c>
      <c r="G49" s="15">
        <f>IFERROR(__xludf.DUMMYFUNCTION("IFNA(XLOOKUP(""*""&amp;TRIM(REGEXREPLACE($D49, ""(?i)^(PT|CV)\.?\s+"", """"))&amp;""*"", 'DATA TARGET'!$C$2:$C998, 'DATA TARGET'!$D$2:$D998, ""Tidak Ditemukan"", 2), ""Tidak Ditemukan"")"),9292.19)</f>
        <v>9292.19</v>
      </c>
      <c r="H49" s="17">
        <f t="shared" si="1"/>
        <v>12127.94</v>
      </c>
      <c r="I49" s="8"/>
    </row>
    <row r="50">
      <c r="A50" s="10" t="s">
        <v>14</v>
      </c>
      <c r="B50" s="10" t="s">
        <v>180</v>
      </c>
      <c r="C50" s="10" t="s">
        <v>182</v>
      </c>
      <c r="D50" s="12" t="s">
        <v>115</v>
      </c>
      <c r="E50" s="13" t="s">
        <v>190</v>
      </c>
      <c r="F50" s="15">
        <f>IFERROR(__xludf.DUMMYFUNCTION("XLOOKUP($D50,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(AUTO)'!R6:R""))"),14243.49)</f>
        <v>14243.49</v>
      </c>
      <c r="G50" s="15">
        <f>IFERROR(__xludf.DUMMYFUNCTION("IFNA(XLOOKUP(""*""&amp;TRIM(REGEXREPLACE($D50, ""(?i)^(PT|CV)\.?\s+"", """"))&amp;""*"", 'DATA TARGET'!$C$2:$C998, 'DATA TARGET'!$D$2:$D998, ""Tidak Ditemukan"", 2), ""Tidak Ditemukan"")"),128.34)</f>
        <v>128.34</v>
      </c>
      <c r="H50" s="17">
        <f t="shared" si="1"/>
        <v>14243.49</v>
      </c>
      <c r="I50" s="8"/>
    </row>
    <row r="51">
      <c r="A51" s="10" t="s">
        <v>14</v>
      </c>
      <c r="B51" s="10" t="s">
        <v>180</v>
      </c>
      <c r="C51" s="10" t="s">
        <v>182</v>
      </c>
      <c r="D51" s="12" t="s">
        <v>111</v>
      </c>
      <c r="E51" s="13" t="s">
        <v>192</v>
      </c>
      <c r="F51" s="15">
        <f>IFERROR(__xludf.DUMMYFUNCTION("XLOOKUP($D51,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(AUTO)'!R6:R""))"),4634.41)</f>
        <v>4634.41</v>
      </c>
      <c r="G51" s="15">
        <f>IFERROR(__xludf.DUMMYFUNCTION("IFNA(XLOOKUP(""*""&amp;TRIM(REGEXREPLACE($D51, ""(?i)^(PT|CV)\.?\s+"", """"))&amp;""*"", 'DATA TARGET'!$C$2:$C998, 'DATA TARGET'!$D$2:$D998, ""Tidak Ditemukan"", 2), ""Tidak Ditemukan"")"),2724.04)</f>
        <v>2724.04</v>
      </c>
      <c r="H51" s="17">
        <f t="shared" si="1"/>
        <v>4634.41</v>
      </c>
      <c r="I51" s="8"/>
    </row>
    <row r="52">
      <c r="A52" s="10" t="s">
        <v>14</v>
      </c>
      <c r="B52" s="10" t="s">
        <v>180</v>
      </c>
      <c r="C52" s="10" t="s">
        <v>195</v>
      </c>
      <c r="D52" s="12" t="s">
        <v>195</v>
      </c>
      <c r="E52" s="13" t="s">
        <v>196</v>
      </c>
      <c r="F52" s="15">
        <f>IFERROR(__xludf.DUMMYFUNCTION("XLOOKUP($D52,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(AUTO)'!R6:R""))"),2783.48)</f>
        <v>2783.48</v>
      </c>
      <c r="G52" s="15">
        <f>IFERROR(__xludf.DUMMYFUNCTION("IFNA(XLOOKUP(""*""&amp;TRIM(REGEXREPLACE($D52, ""(?i)^(PT|CV)\.?\s+"", """"))&amp;""*"", 'DATA TARGET'!$C$2:$C998, 'DATA TARGET'!$D$2:$D998, ""Tidak Ditemukan"", 2), ""Tidak Ditemukan"")"),2783.48)</f>
        <v>2783.48</v>
      </c>
      <c r="H52" s="17">
        <f t="shared" si="1"/>
        <v>2783.48</v>
      </c>
      <c r="I52" s="8"/>
    </row>
    <row r="53">
      <c r="A53" s="10" t="s">
        <v>198</v>
      </c>
      <c r="B53" s="10" t="s">
        <v>199</v>
      </c>
      <c r="C53" s="10" t="s">
        <v>200</v>
      </c>
      <c r="D53" s="12" t="s">
        <v>201</v>
      </c>
      <c r="E53" s="13" t="s">
        <v>202</v>
      </c>
      <c r="F53" s="15">
        <f>IFERROR(__xludf.DUMMYFUNCTION("XLOOKUP($D53,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(AUTO)'!R6:R""))"),250.49)</f>
        <v>250.49</v>
      </c>
      <c r="G53" s="15" t="str">
        <f>IFERROR(__xludf.DUMMYFUNCTION("IFNA(XLOOKUP(""*""&amp;TRIM(REGEXREPLACE($D53, ""(?i)^(PT|CV)\.?\s+"", """"))&amp;""*"", 'DATA TARGET'!$C$2:$C998, 'DATA TARGET'!$D$2:$D998, ""Tidak Ditemukan"", 2), ""Tidak Ditemukan"")"),"Tidak Ditemukan")</f>
        <v>Tidak Ditemukan</v>
      </c>
      <c r="H53" s="17">
        <f t="shared" si="1"/>
        <v>250.49</v>
      </c>
      <c r="I53" s="8"/>
    </row>
    <row r="54">
      <c r="A54" s="10" t="s">
        <v>198</v>
      </c>
      <c r="B54" s="10" t="s">
        <v>199</v>
      </c>
      <c r="C54" s="10" t="s">
        <v>181</v>
      </c>
      <c r="D54" s="12" t="s">
        <v>181</v>
      </c>
      <c r="E54" s="13" t="s">
        <v>204</v>
      </c>
      <c r="F54" s="15">
        <f>IFERROR(__xludf.DUMMYFUNCTION("XLOOKUP($D54,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(AUTO)'!R6:R""))"),34.0)</f>
        <v>34</v>
      </c>
      <c r="G54" s="15">
        <f>IFERROR(__xludf.DUMMYFUNCTION("IFNA(XLOOKUP(""*""&amp;TRIM(REGEXREPLACE($D54, ""(?i)^(PT|CV)\.?\s+"", """"))&amp;""*"", 'DATA TARGET'!$C$2:$C998, 'DATA TARGET'!$D$2:$D998, ""Tidak Ditemukan"", 2), ""Tidak Ditemukan"")"),34.0)</f>
        <v>34</v>
      </c>
      <c r="H54" s="17">
        <f t="shared" si="1"/>
        <v>34</v>
      </c>
      <c r="I54" s="8"/>
    </row>
    <row r="55">
      <c r="A55" s="10" t="s">
        <v>198</v>
      </c>
      <c r="B55" s="10" t="s">
        <v>199</v>
      </c>
      <c r="C55" s="10" t="s">
        <v>207</v>
      </c>
      <c r="D55" s="12" t="s">
        <v>208</v>
      </c>
      <c r="E55" s="13" t="s">
        <v>209</v>
      </c>
      <c r="F55" s="15">
        <f>IFERROR(__xludf.DUMMYFUNCTION("XLOOKUP($D55,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(AUTO)'!R6:R""))"),1104.56)</f>
        <v>1104.56</v>
      </c>
      <c r="G55" s="15" t="str">
        <f>IFERROR(__xludf.DUMMYFUNCTION("IFNA(XLOOKUP(""*""&amp;TRIM(REGEXREPLACE($D55, ""(?i)^(PT|CV)\.?\s+"", """"))&amp;""*"", 'DATA TARGET'!$C$2:$C998, 'DATA TARGET'!$D$2:$D998, ""Tidak Ditemukan"", 2), ""Tidak Ditemukan"")"),"Tidak Ditemukan")</f>
        <v>Tidak Ditemukan</v>
      </c>
      <c r="H55" s="17">
        <f t="shared" si="1"/>
        <v>1104.56</v>
      </c>
      <c r="I55" s="8"/>
    </row>
    <row r="56">
      <c r="A56" s="10" t="s">
        <v>198</v>
      </c>
      <c r="B56" s="10" t="s">
        <v>199</v>
      </c>
      <c r="C56" s="10" t="s">
        <v>212</v>
      </c>
      <c r="D56" s="12" t="s">
        <v>213</v>
      </c>
      <c r="E56" s="13" t="s">
        <v>214</v>
      </c>
      <c r="F56" s="15">
        <f>IFERROR(__xludf.DUMMYFUNCTION("XLOOKUP($D56,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(AUTO)'!R6:R""))"),4157.86)</f>
        <v>4157.86</v>
      </c>
      <c r="G56" s="15" t="str">
        <f>IFERROR(__xludf.DUMMYFUNCTION("IFNA(XLOOKUP(""*""&amp;TRIM(REGEXREPLACE($D56, ""(?i)^(PT|CV)\.?\s+"", """"))&amp;""*"", 'DATA TARGET'!$C$2:$C998, 'DATA TARGET'!$D$2:$D998, ""Tidak Ditemukan"", 2), ""Tidak Ditemukan"")"),"Tidak Ditemukan")</f>
        <v>Tidak Ditemukan</v>
      </c>
      <c r="H56" s="17">
        <f t="shared" si="1"/>
        <v>4157.86</v>
      </c>
      <c r="I56" s="8"/>
    </row>
    <row r="57">
      <c r="A57" s="10" t="s">
        <v>198</v>
      </c>
      <c r="B57" s="10" t="s">
        <v>199</v>
      </c>
      <c r="C57" s="10" t="s">
        <v>212</v>
      </c>
      <c r="D57" s="12" t="s">
        <v>216</v>
      </c>
      <c r="E57" s="13" t="s">
        <v>218</v>
      </c>
      <c r="F57" s="15">
        <f>IFERROR(__xludf.DUMMYFUNCTION("XLOOKUP($D57,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(AUTO)'!R6:R""))"),3014.12)</f>
        <v>3014.12</v>
      </c>
      <c r="G57" s="15" t="str">
        <f>IFERROR(__xludf.DUMMYFUNCTION("IFNA(XLOOKUP(""*""&amp;TRIM(REGEXREPLACE($D57, ""(?i)^(PT|CV)\.?\s+"", """"))&amp;""*"", 'DATA TARGET'!$C$2:$C998, 'DATA TARGET'!$D$2:$D998, ""Tidak Ditemukan"", 2), ""Tidak Ditemukan"")"),"Tidak Ditemukan")</f>
        <v>Tidak Ditemukan</v>
      </c>
      <c r="H57" s="17">
        <f t="shared" si="1"/>
        <v>3014.12</v>
      </c>
      <c r="I57" s="8"/>
    </row>
    <row r="58">
      <c r="A58" s="10" t="s">
        <v>198</v>
      </c>
      <c r="B58" s="10" t="s">
        <v>199</v>
      </c>
      <c r="C58" s="10" t="s">
        <v>220</v>
      </c>
      <c r="D58" s="12" t="s">
        <v>221</v>
      </c>
      <c r="E58" s="13" t="s">
        <v>222</v>
      </c>
      <c r="F58" s="15">
        <f>IFERROR(__xludf.DUMMYFUNCTION("XLOOKUP($D58,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(AUTO)'!R6:R""))"),3839.43)</f>
        <v>3839.43</v>
      </c>
      <c r="G58" s="15" t="str">
        <f>IFERROR(__xludf.DUMMYFUNCTION("IFNA(XLOOKUP(""*""&amp;TRIM(REGEXREPLACE($D58, ""(?i)^(PT|CV)\.?\s+"", """"))&amp;""*"", 'DATA TARGET'!$C$2:$C998, 'DATA TARGET'!$D$2:$D998, ""Tidak Ditemukan"", 2), ""Tidak Ditemukan"")"),"Tidak Ditemukan")</f>
        <v>Tidak Ditemukan</v>
      </c>
      <c r="H58" s="17">
        <f t="shared" si="1"/>
        <v>3839.43</v>
      </c>
      <c r="I58" s="8"/>
    </row>
    <row r="59">
      <c r="A59" s="10" t="s">
        <v>198</v>
      </c>
      <c r="B59" s="10" t="s">
        <v>199</v>
      </c>
      <c r="C59" s="10" t="s">
        <v>220</v>
      </c>
      <c r="D59" s="12" t="s">
        <v>225</v>
      </c>
      <c r="E59" s="13" t="s">
        <v>226</v>
      </c>
      <c r="F59" s="15">
        <f>IFERROR(__xludf.DUMMYFUNCTION("XLOOKUP($D59,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(AUTO)'!R6:R""))"),4579.57)</f>
        <v>4579.57</v>
      </c>
      <c r="G59" s="15" t="str">
        <f>IFERROR(__xludf.DUMMYFUNCTION("IFNA(XLOOKUP(""*""&amp;TRIM(REGEXREPLACE($D59, ""(?i)^(PT|CV)\.?\s+"", """"))&amp;""*"", 'DATA TARGET'!$C$2:$C998, 'DATA TARGET'!$D$2:$D998, ""Tidak Ditemukan"", 2), ""Tidak Ditemukan"")"),"Tidak Ditemukan")</f>
        <v>Tidak Ditemukan</v>
      </c>
      <c r="H59" s="17">
        <f t="shared" si="1"/>
        <v>4579.57</v>
      </c>
      <c r="I59" s="8"/>
    </row>
    <row r="60">
      <c r="A60" s="10" t="s">
        <v>198</v>
      </c>
      <c r="B60" s="10" t="s">
        <v>199</v>
      </c>
      <c r="C60" s="10" t="s">
        <v>227</v>
      </c>
      <c r="D60" s="12" t="s">
        <v>229</v>
      </c>
      <c r="E60" s="13" t="s">
        <v>230</v>
      </c>
      <c r="F60" s="15">
        <f>IFERROR(__xludf.DUMMYFUNCTION("XLOOKUP($D60,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(AUTO)'!R6:R""))"),4724.66)</f>
        <v>4724.66</v>
      </c>
      <c r="G60" s="15" t="str">
        <f>IFERROR(__xludf.DUMMYFUNCTION("IFNA(XLOOKUP(""*""&amp;TRIM(REGEXREPLACE($D60, ""(?i)^(PT|CV)\.?\s+"", """"))&amp;""*"", 'DATA TARGET'!$C$2:$C998, 'DATA TARGET'!$D$2:$D998, ""Tidak Ditemukan"", 2), ""Tidak Ditemukan"")"),"Tidak Ditemukan")</f>
        <v>Tidak Ditemukan</v>
      </c>
      <c r="H60" s="17">
        <f t="shared" si="1"/>
        <v>4724.66</v>
      </c>
      <c r="I60" s="8"/>
    </row>
    <row r="61">
      <c r="A61" s="10" t="s">
        <v>198</v>
      </c>
      <c r="B61" s="10" t="s">
        <v>199</v>
      </c>
      <c r="C61" s="10" t="s">
        <v>227</v>
      </c>
      <c r="D61" s="12" t="s">
        <v>231</v>
      </c>
      <c r="E61" s="13" t="s">
        <v>232</v>
      </c>
      <c r="F61" s="15">
        <f>IFERROR(__xludf.DUMMYFUNCTION("XLOOKUP($D61,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(AUTO)'!R6:R""))"),4648.22)</f>
        <v>4648.22</v>
      </c>
      <c r="G61" s="15" t="str">
        <f>IFERROR(__xludf.DUMMYFUNCTION("IFNA(XLOOKUP(""*""&amp;TRIM(REGEXREPLACE($D61, ""(?i)^(PT|CV)\.?\s+"", """"))&amp;""*"", 'DATA TARGET'!$C$2:$C998, 'DATA TARGET'!$D$2:$D998, ""Tidak Ditemukan"", 2), ""Tidak Ditemukan"")"),"Tidak Ditemukan")</f>
        <v>Tidak Ditemukan</v>
      </c>
      <c r="H61" s="17">
        <f t="shared" si="1"/>
        <v>4648.22</v>
      </c>
      <c r="I61" s="8"/>
    </row>
    <row r="62">
      <c r="A62" s="10" t="s">
        <v>198</v>
      </c>
      <c r="B62" s="10" t="s">
        <v>199</v>
      </c>
      <c r="C62" s="10" t="s">
        <v>227</v>
      </c>
      <c r="D62" s="12" t="s">
        <v>234</v>
      </c>
      <c r="E62" s="13" t="s">
        <v>235</v>
      </c>
      <c r="F62" s="15">
        <f>IFERROR(__xludf.DUMMYFUNCTION("XLOOKUP($D62,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(AUTO)'!R6:R""))"),2420.65)</f>
        <v>2420.65</v>
      </c>
      <c r="G62" s="15" t="str">
        <f>IFERROR(__xludf.DUMMYFUNCTION("IFNA(XLOOKUP(""*""&amp;TRIM(REGEXREPLACE($D62, ""(?i)^(PT|CV)\.?\s+"", """"))&amp;""*"", 'DATA TARGET'!$C$2:$C998, 'DATA TARGET'!$D$2:$D998, ""Tidak Ditemukan"", 2), ""Tidak Ditemukan"")"),"Tidak Ditemukan")</f>
        <v>Tidak Ditemukan</v>
      </c>
      <c r="H62" s="17">
        <f t="shared" si="1"/>
        <v>2420.65</v>
      </c>
      <c r="I62" s="8"/>
    </row>
    <row r="63">
      <c r="A63" s="10" t="s">
        <v>198</v>
      </c>
      <c r="B63" s="10" t="s">
        <v>199</v>
      </c>
      <c r="C63" s="10" t="s">
        <v>238</v>
      </c>
      <c r="D63" s="12" t="s">
        <v>239</v>
      </c>
      <c r="E63" s="13" t="s">
        <v>240</v>
      </c>
      <c r="F63" s="15">
        <f>IFERROR(__xludf.DUMMYFUNCTION("XLOOKUP($D63,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(AUTO)'!R6:R""))"),4648.18)</f>
        <v>4648.18</v>
      </c>
      <c r="G63" s="15">
        <f>IFERROR(__xludf.DUMMYFUNCTION("IFNA(XLOOKUP(""*""&amp;TRIM(REGEXREPLACE($D63, ""(?i)^(PT|CV)\.?\s+"", """"))&amp;""*"", 'DATA TARGET'!$C$2:$C998, 'DATA TARGET'!$D$2:$D998, ""Tidak Ditemukan"", 2), ""Tidak Ditemukan"")"),4648.18)</f>
        <v>4648.18</v>
      </c>
      <c r="H63" s="17">
        <f t="shared" si="1"/>
        <v>4648.18</v>
      </c>
      <c r="I63" s="8"/>
    </row>
    <row r="64">
      <c r="A64" s="10" t="s">
        <v>198</v>
      </c>
      <c r="B64" s="10" t="s">
        <v>199</v>
      </c>
      <c r="C64" s="10" t="s">
        <v>241</v>
      </c>
      <c r="D64" s="12" t="s">
        <v>243</v>
      </c>
      <c r="E64" s="13" t="s">
        <v>244</v>
      </c>
      <c r="F64" s="15">
        <f>IFERROR(__xludf.DUMMYFUNCTION("XLOOKUP($D64,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(AUTO)'!R6:R""))"),3834.49)</f>
        <v>3834.49</v>
      </c>
      <c r="G64" s="15" t="str">
        <f>IFERROR(__xludf.DUMMYFUNCTION("IFNA(XLOOKUP(""*""&amp;TRIM(REGEXREPLACE($D64, ""(?i)^(PT|CV)\.?\s+"", """"))&amp;""*"", 'DATA TARGET'!$C$2:$C998, 'DATA TARGET'!$D$2:$D998, ""Tidak Ditemukan"", 2), ""Tidak Ditemukan"")"),"Tidak Ditemukan")</f>
        <v>Tidak Ditemukan</v>
      </c>
      <c r="H64" s="17">
        <f t="shared" si="1"/>
        <v>3834.49</v>
      </c>
      <c r="I64" s="8"/>
    </row>
    <row r="65">
      <c r="A65" s="10" t="s">
        <v>198</v>
      </c>
      <c r="B65" s="10" t="s">
        <v>199</v>
      </c>
      <c r="C65" s="10" t="s">
        <v>246</v>
      </c>
      <c r="D65" s="12" t="s">
        <v>247</v>
      </c>
      <c r="E65" s="13" t="s">
        <v>248</v>
      </c>
      <c r="F65" s="15">
        <f>IFERROR(__xludf.DUMMYFUNCTION("XLOOKUP($D65,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(AUTO)'!R6:R""))"),3285.83)</f>
        <v>3285.83</v>
      </c>
      <c r="G65" s="15" t="str">
        <f>IFERROR(__xludf.DUMMYFUNCTION("IFNA(XLOOKUP(""*""&amp;TRIM(REGEXREPLACE($D65, ""(?i)^(PT|CV)\.?\s+"", """"))&amp;""*"", 'DATA TARGET'!$C$2:$C998, 'DATA TARGET'!$D$2:$D998, ""Tidak Ditemukan"", 2), ""Tidak Ditemukan"")"),"Tidak Ditemukan")</f>
        <v>Tidak Ditemukan</v>
      </c>
      <c r="H65" s="17">
        <f t="shared" si="1"/>
        <v>3285.83</v>
      </c>
      <c r="I65" s="8"/>
    </row>
    <row r="66">
      <c r="A66" s="10" t="s">
        <v>198</v>
      </c>
      <c r="B66" s="10" t="s">
        <v>199</v>
      </c>
      <c r="C66" s="10" t="s">
        <v>246</v>
      </c>
      <c r="D66" s="12" t="s">
        <v>250</v>
      </c>
      <c r="E66" s="13" t="s">
        <v>252</v>
      </c>
      <c r="F66" s="15">
        <f>IFERROR(__xludf.DUMMYFUNCTION("XLOOKUP($D66,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(AUTO)'!R6:R""))"),3452.19)</f>
        <v>3452.19</v>
      </c>
      <c r="G66" s="15" t="str">
        <f>IFERROR(__xludf.DUMMYFUNCTION("IFNA(XLOOKUP(""*""&amp;TRIM(REGEXREPLACE($D66, ""(?i)^(PT|CV)\.?\s+"", """"))&amp;""*"", 'DATA TARGET'!$C$2:$C998, 'DATA TARGET'!$D$2:$D998, ""Tidak Ditemukan"", 2), ""Tidak Ditemukan"")"),"Tidak Ditemukan")</f>
        <v>Tidak Ditemukan</v>
      </c>
      <c r="H66" s="17">
        <f t="shared" si="1"/>
        <v>3452.19</v>
      </c>
      <c r="I66" s="8"/>
    </row>
    <row r="67">
      <c r="A67" s="10" t="s">
        <v>198</v>
      </c>
      <c r="B67" s="10" t="s">
        <v>199</v>
      </c>
      <c r="C67" s="10" t="s">
        <v>246</v>
      </c>
      <c r="D67" s="12" t="s">
        <v>253</v>
      </c>
      <c r="E67" s="13" t="s">
        <v>254</v>
      </c>
      <c r="F67" s="15">
        <f>IFERROR(__xludf.DUMMYFUNCTION("XLOOKUP($D67,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(AUTO)'!R6:R""))"),2463.89)</f>
        <v>2463.89</v>
      </c>
      <c r="G67" s="15" t="str">
        <f>IFERROR(__xludf.DUMMYFUNCTION("IFNA(XLOOKUP(""*""&amp;TRIM(REGEXREPLACE($D67, ""(?i)^(PT|CV)\.?\s+"", """"))&amp;""*"", 'DATA TARGET'!$C$2:$C998, 'DATA TARGET'!$D$2:$D998, ""Tidak Ditemukan"", 2), ""Tidak Ditemukan"")"),"Tidak Ditemukan")</f>
        <v>Tidak Ditemukan</v>
      </c>
      <c r="H67" s="17">
        <f t="shared" si="1"/>
        <v>2463.89</v>
      </c>
      <c r="I67" s="8"/>
    </row>
    <row r="68">
      <c r="A68" s="10" t="s">
        <v>198</v>
      </c>
      <c r="B68" s="10" t="s">
        <v>199</v>
      </c>
      <c r="C68" s="10" t="s">
        <v>256</v>
      </c>
      <c r="D68" s="12" t="s">
        <v>257</v>
      </c>
      <c r="E68" s="13" t="s">
        <v>258</v>
      </c>
      <c r="F68" s="15">
        <f>IFERROR(__xludf.DUMMYFUNCTION("XLOOKUP($D68,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(AUTO)'!R6:R""))"),5279.61)</f>
        <v>5279.61</v>
      </c>
      <c r="G68" s="15" t="str">
        <f>IFERROR(__xludf.DUMMYFUNCTION("IFNA(XLOOKUP(""*""&amp;TRIM(REGEXREPLACE($D68, ""(?i)^(PT|CV)\.?\s+"", """"))&amp;""*"", 'DATA TARGET'!$C$2:$C998, 'DATA TARGET'!$D$2:$D998, ""Tidak Ditemukan"", 2), ""Tidak Ditemukan"")"),"Tidak Ditemukan")</f>
        <v>Tidak Ditemukan</v>
      </c>
      <c r="H68" s="17">
        <f t="shared" si="1"/>
        <v>5279.61</v>
      </c>
      <c r="I68" s="8"/>
    </row>
    <row r="69">
      <c r="A69" s="10" t="s">
        <v>198</v>
      </c>
      <c r="B69" s="10" t="s">
        <v>199</v>
      </c>
      <c r="C69" s="10" t="s">
        <v>260</v>
      </c>
      <c r="D69" s="12" t="s">
        <v>261</v>
      </c>
      <c r="E69" s="13" t="s">
        <v>262</v>
      </c>
      <c r="F69" s="15">
        <f>IFERROR(__xludf.DUMMYFUNCTION("XLOOKUP($D69,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(AUTO)'!R6:R""))"),1468.74)</f>
        <v>1468.74</v>
      </c>
      <c r="G69" s="15" t="str">
        <f>IFERROR(__xludf.DUMMYFUNCTION("IFNA(XLOOKUP(""*""&amp;TRIM(REGEXREPLACE($D69, ""(?i)^(PT|CV)\.?\s+"", """"))&amp;""*"", 'DATA TARGET'!$C$2:$C998, 'DATA TARGET'!$D$2:$D998, ""Tidak Ditemukan"", 2), ""Tidak Ditemukan"")"),"Tidak Ditemukan")</f>
        <v>Tidak Ditemukan</v>
      </c>
      <c r="H69" s="17">
        <f t="shared" si="1"/>
        <v>1468.74</v>
      </c>
      <c r="I69" s="8"/>
    </row>
    <row r="70">
      <c r="A70" s="10" t="s">
        <v>198</v>
      </c>
      <c r="B70" s="10" t="s">
        <v>199</v>
      </c>
      <c r="C70" s="10" t="s">
        <v>264</v>
      </c>
      <c r="D70" s="12" t="s">
        <v>265</v>
      </c>
      <c r="E70" s="13" t="s">
        <v>267</v>
      </c>
      <c r="F70" s="15">
        <f>IFERROR(__xludf.DUMMYFUNCTION("XLOOKUP($D70,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(AUTO)'!R6:R""))"),4522.19)</f>
        <v>4522.19</v>
      </c>
      <c r="G70" s="15">
        <f>IFERROR(__xludf.DUMMYFUNCTION("IFNA(XLOOKUP(""*""&amp;TRIM(REGEXREPLACE($D70, ""(?i)^(PT|CV)\.?\s+"", """"))&amp;""*"", 'DATA TARGET'!$C$2:$C998, 'DATA TARGET'!$D$2:$D998, ""Tidak Ditemukan"", 2), ""Tidak Ditemukan"")"),4522.19)</f>
        <v>4522.19</v>
      </c>
      <c r="H70" s="17">
        <f t="shared" si="1"/>
        <v>4522.19</v>
      </c>
      <c r="I70" s="8"/>
    </row>
    <row r="71">
      <c r="A71" s="10" t="s">
        <v>198</v>
      </c>
      <c r="B71" s="10" t="s">
        <v>199</v>
      </c>
      <c r="C71" s="10" t="s">
        <v>264</v>
      </c>
      <c r="D71" s="12" t="s">
        <v>269</v>
      </c>
      <c r="E71" s="13" t="s">
        <v>270</v>
      </c>
      <c r="F71" s="15">
        <f>IFERROR(__xludf.DUMMYFUNCTION("XLOOKUP($D71,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(AUTO)'!R6:R""))"),2268.19)</f>
        <v>2268.19</v>
      </c>
      <c r="G71" s="15">
        <f>IFERROR(__xludf.DUMMYFUNCTION("IFNA(XLOOKUP(""*""&amp;TRIM(REGEXREPLACE($D71, ""(?i)^(PT|CV)\.?\s+"", """"))&amp;""*"", 'DATA TARGET'!$C$2:$C998, 'DATA TARGET'!$D$2:$D998, ""Tidak Ditemukan"", 2), ""Tidak Ditemukan"")"),2268.19)</f>
        <v>2268.19</v>
      </c>
      <c r="H71" s="17">
        <f t="shared" si="1"/>
        <v>2268.19</v>
      </c>
      <c r="I71" s="8"/>
    </row>
    <row r="72">
      <c r="A72" s="10" t="s">
        <v>198</v>
      </c>
      <c r="B72" s="10" t="s">
        <v>199</v>
      </c>
      <c r="C72" s="10" t="s">
        <v>272</v>
      </c>
      <c r="D72" s="12" t="s">
        <v>274</v>
      </c>
      <c r="E72" s="13" t="s">
        <v>275</v>
      </c>
      <c r="F72" s="15">
        <f>IFERROR(__xludf.DUMMYFUNCTION("XLOOKUP($D72,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(AUTO)'!R6:R""))"),3626.12)</f>
        <v>3626.12</v>
      </c>
      <c r="G72" s="15">
        <f>IFERROR(__xludf.DUMMYFUNCTION("IFNA(XLOOKUP(""*""&amp;TRIM(REGEXREPLACE($D72, ""(?i)^(PT|CV)\.?\s+"", """"))&amp;""*"", 'DATA TARGET'!$C$2:$C998, 'DATA TARGET'!$D$2:$D998, ""Tidak Ditemukan"", 2), ""Tidak Ditemukan"")"),3626.12)</f>
        <v>3626.12</v>
      </c>
      <c r="H72" s="17">
        <f t="shared" si="1"/>
        <v>3626.12</v>
      </c>
      <c r="I72" s="8"/>
    </row>
    <row r="73">
      <c r="A73" s="10" t="s">
        <v>198</v>
      </c>
      <c r="B73" s="10" t="s">
        <v>199</v>
      </c>
      <c r="C73" s="10" t="s">
        <v>277</v>
      </c>
      <c r="D73" s="12" t="s">
        <v>278</v>
      </c>
      <c r="E73" s="13" t="s">
        <v>279</v>
      </c>
      <c r="F73" s="15">
        <f>IFERROR(__xludf.DUMMYFUNCTION("XLOOKUP($D73,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(AUTO)'!R6:R""))"),946.23)</f>
        <v>946.23</v>
      </c>
      <c r="G73" s="15" t="str">
        <f>IFERROR(__xludf.DUMMYFUNCTION("IFNA(XLOOKUP(""*""&amp;TRIM(REGEXREPLACE($D73, ""(?i)^(PT|CV)\.?\s+"", """"))&amp;""*"", 'DATA TARGET'!$C$2:$C998, 'DATA TARGET'!$D$2:$D998, ""Tidak Ditemukan"", 2), ""Tidak Ditemukan"")"),"Tidak Ditemukan")</f>
        <v>Tidak Ditemukan</v>
      </c>
      <c r="H73" s="17">
        <f t="shared" si="1"/>
        <v>946.23</v>
      </c>
      <c r="I73" s="8"/>
    </row>
    <row r="74">
      <c r="A74" s="10" t="s">
        <v>198</v>
      </c>
      <c r="B74" s="10" t="s">
        <v>199</v>
      </c>
      <c r="C74" s="10" t="s">
        <v>282</v>
      </c>
      <c r="D74" s="12" t="s">
        <v>283</v>
      </c>
      <c r="E74" s="13" t="s">
        <v>284</v>
      </c>
      <c r="F74" s="15">
        <f>IFERROR(__xludf.DUMMYFUNCTION("XLOOKUP($D74,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(AUTO)'!R6:R""))"),2041.21)</f>
        <v>2041.21</v>
      </c>
      <c r="G74" s="15">
        <f>IFERROR(__xludf.DUMMYFUNCTION("IFNA(XLOOKUP(""*""&amp;TRIM(REGEXREPLACE($D74, ""(?i)^(PT|CV)\.?\s+"", """"))&amp;""*"", 'DATA TARGET'!$C$2:$C998, 'DATA TARGET'!$D$2:$D998, ""Tidak Ditemukan"", 2), ""Tidak Ditemukan"")"),2041.21)</f>
        <v>2041.21</v>
      </c>
      <c r="H74" s="17">
        <f t="shared" si="1"/>
        <v>2041.21</v>
      </c>
      <c r="I74" s="8"/>
    </row>
    <row r="75">
      <c r="A75" s="10" t="s">
        <v>286</v>
      </c>
      <c r="B75" s="10" t="s">
        <v>287</v>
      </c>
      <c r="C75" s="10" t="s">
        <v>223</v>
      </c>
      <c r="D75" s="12" t="s">
        <v>223</v>
      </c>
      <c r="E75" s="13" t="s">
        <v>288</v>
      </c>
      <c r="F75" s="15">
        <f>IFERROR(__xludf.DUMMYFUNCTION("XLOOKUP($D75,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(AUTO)'!R6:R""))"),256.42)</f>
        <v>256.42</v>
      </c>
      <c r="G75" s="15">
        <f>IFERROR(__xludf.DUMMYFUNCTION("IFNA(XLOOKUP(""*""&amp;TRIM(REGEXREPLACE($D75, ""(?i)^(PT|CV)\.?\s+"", """"))&amp;""*"", 'DATA TARGET'!$C$2:$C998, 'DATA TARGET'!$D$2:$D998, ""Tidak Ditemukan"", 2), ""Tidak Ditemukan"")"),256.42)</f>
        <v>256.42</v>
      </c>
      <c r="H75" s="17">
        <f t="shared" si="1"/>
        <v>256.42</v>
      </c>
      <c r="I75" s="8"/>
    </row>
    <row r="76">
      <c r="A76" s="10" t="s">
        <v>286</v>
      </c>
      <c r="B76" s="10" t="s">
        <v>287</v>
      </c>
      <c r="C76" s="10" t="s">
        <v>291</v>
      </c>
      <c r="D76" s="12" t="s">
        <v>291</v>
      </c>
      <c r="E76" s="13" t="s">
        <v>292</v>
      </c>
      <c r="F76" s="15">
        <f>IFERROR(__xludf.DUMMYFUNCTION("XLOOKUP($D76,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(AUTO)'!R6:R""))"),25.0)</f>
        <v>25</v>
      </c>
      <c r="G76" s="15">
        <f>IFERROR(__xludf.DUMMYFUNCTION("IFNA(XLOOKUP(""*""&amp;TRIM(REGEXREPLACE($D76, ""(?i)^(PT|CV)\.?\s+"", """"))&amp;""*"", 'DATA TARGET'!$C$2:$C998, 'DATA TARGET'!$D$2:$D998, ""Tidak Ditemukan"", 2), ""Tidak Ditemukan"")"),22.0)</f>
        <v>22</v>
      </c>
      <c r="H76" s="17">
        <f t="shared" si="1"/>
        <v>25</v>
      </c>
      <c r="I76" s="8"/>
    </row>
    <row r="77">
      <c r="A77" s="10" t="s">
        <v>286</v>
      </c>
      <c r="B77" s="10" t="s">
        <v>287</v>
      </c>
      <c r="C77" s="10" t="s">
        <v>294</v>
      </c>
      <c r="D77" s="12" t="s">
        <v>294</v>
      </c>
      <c r="E77" s="13" t="s">
        <v>296</v>
      </c>
      <c r="F77" s="15">
        <f>IFERROR(__xludf.DUMMYFUNCTION("XLOOKUP($D77,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(AUTO)'!R6:R""))"),623.45)</f>
        <v>623.45</v>
      </c>
      <c r="G77" s="15">
        <f>IFERROR(__xludf.DUMMYFUNCTION("IFNA(XLOOKUP(""*""&amp;TRIM(REGEXREPLACE($D77, ""(?i)^(PT|CV)\.?\s+"", """"))&amp;""*"", 'DATA TARGET'!$C$2:$C998, 'DATA TARGET'!$D$2:$D998, ""Tidak Ditemukan"", 2), ""Tidak Ditemukan"")"),596.2)</f>
        <v>596.2</v>
      </c>
      <c r="H77" s="17">
        <f t="shared" si="1"/>
        <v>623.45</v>
      </c>
      <c r="I77" s="8"/>
    </row>
    <row r="78">
      <c r="A78" s="10" t="s">
        <v>286</v>
      </c>
      <c r="B78" s="10" t="s">
        <v>287</v>
      </c>
      <c r="C78" s="10" t="s">
        <v>298</v>
      </c>
      <c r="D78" s="12" t="s">
        <v>298</v>
      </c>
      <c r="E78" s="13" t="s">
        <v>299</v>
      </c>
      <c r="F78" s="15">
        <f>IFERROR(__xludf.DUMMYFUNCTION("XLOOKUP($D78,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(AUTO)'!R6:R""))"),1070.59)</f>
        <v>1070.59</v>
      </c>
      <c r="G78" s="15" t="str">
        <f>IFERROR(__xludf.DUMMYFUNCTION("IFNA(XLOOKUP(""*""&amp;TRIM(REGEXREPLACE($D78, ""(?i)^(PT|CV)\.?\s+"", """"))&amp;""*"", 'DATA TARGET'!$C$2:$C998, 'DATA TARGET'!$D$2:$D998, ""Tidak Ditemukan"", 2), ""Tidak Ditemukan"")"),"Tidak Ditemukan")</f>
        <v>Tidak Ditemukan</v>
      </c>
      <c r="H78" s="17">
        <f t="shared" si="1"/>
        <v>1070.59</v>
      </c>
      <c r="I78" s="8"/>
    </row>
    <row r="79">
      <c r="A79" s="10" t="s">
        <v>286</v>
      </c>
      <c r="B79" s="10" t="s">
        <v>287</v>
      </c>
      <c r="C79" s="10" t="s">
        <v>301</v>
      </c>
      <c r="D79" s="12" t="s">
        <v>301</v>
      </c>
      <c r="E79" s="13" t="s">
        <v>302</v>
      </c>
      <c r="F79" s="15">
        <f>IFERROR(__xludf.DUMMYFUNCTION("XLOOKUP($D79,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(AUTO)'!R6:R""))"),1209.9)</f>
        <v>1209.9</v>
      </c>
      <c r="G79" s="15">
        <f>IFERROR(__xludf.DUMMYFUNCTION("IFNA(XLOOKUP(""*""&amp;TRIM(REGEXREPLACE($D79, ""(?i)^(PT|CV)\.?\s+"", """"))&amp;""*"", 'DATA TARGET'!$C$2:$C998, 'DATA TARGET'!$D$2:$D998, ""Tidak Ditemukan"", 2), ""Tidak Ditemukan"")"),326.4)</f>
        <v>326.4</v>
      </c>
      <c r="H79" s="17">
        <f t="shared" si="1"/>
        <v>1209.9</v>
      </c>
      <c r="I79" s="8"/>
    </row>
    <row r="80">
      <c r="A80" s="10" t="s">
        <v>286</v>
      </c>
      <c r="B80" s="10" t="s">
        <v>287</v>
      </c>
      <c r="C80" s="10" t="s">
        <v>228</v>
      </c>
      <c r="D80" s="12" t="s">
        <v>228</v>
      </c>
      <c r="E80" s="13" t="s">
        <v>305</v>
      </c>
      <c r="F80" s="15">
        <f>IFERROR(__xludf.DUMMYFUNCTION("XLOOKUP($D80,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(AUTO)'!R6:R""))"),50.74)</f>
        <v>50.74</v>
      </c>
      <c r="G80" s="15">
        <f>IFERROR(__xludf.DUMMYFUNCTION("IFNA(XLOOKUP(""*""&amp;TRIM(REGEXREPLACE($D80, ""(?i)^(PT|CV)\.?\s+"", """"))&amp;""*"", 'DATA TARGET'!$C$2:$C998, 'DATA TARGET'!$D$2:$D998, ""Tidak Ditemukan"", 2), ""Tidak Ditemukan"")"),39.04)</f>
        <v>39.04</v>
      </c>
      <c r="H80" s="17">
        <f t="shared" si="1"/>
        <v>50.74</v>
      </c>
      <c r="I80" s="8"/>
    </row>
    <row r="81">
      <c r="A81" s="10" t="s">
        <v>286</v>
      </c>
      <c r="B81" s="10" t="s">
        <v>287</v>
      </c>
      <c r="C81" s="10" t="s">
        <v>237</v>
      </c>
      <c r="D81" s="12" t="s">
        <v>237</v>
      </c>
      <c r="E81" s="13" t="s">
        <v>306</v>
      </c>
      <c r="F81" s="15">
        <f>IFERROR(__xludf.DUMMYFUNCTION("XLOOKUP($D81,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(AUTO)'!R6:R""))"),749.6)</f>
        <v>749.6</v>
      </c>
      <c r="G81" s="15">
        <f>IFERROR(__xludf.DUMMYFUNCTION("IFNA(XLOOKUP(""*""&amp;TRIM(REGEXREPLACE($D81, ""(?i)^(PT|CV)\.?\s+"", """"))&amp;""*"", 'DATA TARGET'!$C$2:$C998, 'DATA TARGET'!$D$2:$D998, ""Tidak Ditemukan"", 2), ""Tidak Ditemukan"")"),749.6)</f>
        <v>749.6</v>
      </c>
      <c r="H81" s="17">
        <f t="shared" si="1"/>
        <v>749.6</v>
      </c>
      <c r="I81" s="8"/>
    </row>
    <row r="82">
      <c r="A82" s="10" t="s">
        <v>286</v>
      </c>
      <c r="B82" s="10" t="s">
        <v>287</v>
      </c>
      <c r="C82" s="10" t="s">
        <v>307</v>
      </c>
      <c r="D82" s="12" t="s">
        <v>307</v>
      </c>
      <c r="E82" s="13" t="s">
        <v>308</v>
      </c>
      <c r="F82" s="15">
        <f>IFERROR(__xludf.DUMMYFUNCTION("XLOOKUP($D82,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(AUTO)'!R6:R""))"),432.0)</f>
        <v>432</v>
      </c>
      <c r="G82" s="15">
        <f>IFERROR(__xludf.DUMMYFUNCTION("IFNA(XLOOKUP(""*""&amp;TRIM(REGEXREPLACE($D82, ""(?i)^(PT|CV)\.?\s+"", """"))&amp;""*"", 'DATA TARGET'!$C$2:$C998, 'DATA TARGET'!$D$2:$D998, ""Tidak Ditemukan"", 2), ""Tidak Ditemukan"")"),242.0)</f>
        <v>242</v>
      </c>
      <c r="H82" s="17">
        <f t="shared" si="1"/>
        <v>432</v>
      </c>
      <c r="I82" s="8"/>
    </row>
    <row r="83">
      <c r="A83" s="10" t="s">
        <v>286</v>
      </c>
      <c r="B83" s="10" t="s">
        <v>287</v>
      </c>
      <c r="C83" s="10" t="s">
        <v>310</v>
      </c>
      <c r="D83" s="12" t="s">
        <v>310</v>
      </c>
      <c r="E83" s="13" t="s">
        <v>311</v>
      </c>
      <c r="F83" s="15">
        <f>IFERROR(__xludf.DUMMYFUNCTION("XLOOKUP($D83,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(AUTO)'!R6:R""))"),200.0)</f>
        <v>200</v>
      </c>
      <c r="G83" s="15" t="str">
        <f>IFERROR(__xludf.DUMMYFUNCTION("IFNA(XLOOKUP(""*""&amp;TRIM(REGEXREPLACE($D83, ""(?i)^(PT|CV)\.?\s+"", """"))&amp;""*"", 'DATA TARGET'!$C$2:$C998, 'DATA TARGET'!$D$2:$D998, ""Tidak Ditemukan"", 2), ""Tidak Ditemukan"")"),"Tidak Ditemukan")</f>
        <v>Tidak Ditemukan</v>
      </c>
      <c r="H83" s="17">
        <f t="shared" si="1"/>
        <v>200</v>
      </c>
      <c r="I83" s="8"/>
    </row>
    <row r="84">
      <c r="A84" s="10" t="s">
        <v>286</v>
      </c>
      <c r="B84" s="10" t="s">
        <v>287</v>
      </c>
      <c r="C84" s="10" t="s">
        <v>193</v>
      </c>
      <c r="D84" s="12" t="s">
        <v>193</v>
      </c>
      <c r="E84" s="13" t="s">
        <v>312</v>
      </c>
      <c r="F84" s="15">
        <f>IFERROR(__xludf.DUMMYFUNCTION("XLOOKUP($D84,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(AUTO)'!R6:R""))"),1440.4)</f>
        <v>1440.4</v>
      </c>
      <c r="G84" s="15">
        <f>IFERROR(__xludf.DUMMYFUNCTION("IFNA(XLOOKUP(""*""&amp;TRIM(REGEXREPLACE($D84, ""(?i)^(PT|CV)\.?\s+"", """"))&amp;""*"", 'DATA TARGET'!$C$2:$C998, 'DATA TARGET'!$D$2:$D998, ""Tidak Ditemukan"", 2), ""Tidak Ditemukan"")"),774.0)</f>
        <v>774</v>
      </c>
      <c r="H84" s="17">
        <f t="shared" si="1"/>
        <v>1440.4</v>
      </c>
      <c r="I84" s="8"/>
    </row>
    <row r="85">
      <c r="A85" s="10" t="s">
        <v>286</v>
      </c>
      <c r="B85" s="10" t="s">
        <v>287</v>
      </c>
      <c r="C85" s="10" t="s">
        <v>314</v>
      </c>
      <c r="D85" s="12" t="s">
        <v>314</v>
      </c>
      <c r="E85" s="13" t="s">
        <v>315</v>
      </c>
      <c r="F85" s="15">
        <f>IFERROR(__xludf.DUMMYFUNCTION("XLOOKUP($D85,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(AUTO)'!R6:R""))"),628.11)</f>
        <v>628.11</v>
      </c>
      <c r="G85" s="15">
        <f>IFERROR(__xludf.DUMMYFUNCTION("IFNA(XLOOKUP(""*""&amp;TRIM(REGEXREPLACE($D85, ""(?i)^(PT|CV)\.?\s+"", """"))&amp;""*"", 'DATA TARGET'!$C$2:$C998, 'DATA TARGET'!$D$2:$D998, ""Tidak Ditemukan"", 2), ""Tidak Ditemukan"")"),132.0)</f>
        <v>132</v>
      </c>
      <c r="H85" s="17">
        <f t="shared" si="1"/>
        <v>628.11</v>
      </c>
      <c r="I85" s="8"/>
    </row>
    <row r="86">
      <c r="A86" s="10" t="s">
        <v>286</v>
      </c>
      <c r="B86" s="10" t="s">
        <v>287</v>
      </c>
      <c r="C86" s="10" t="s">
        <v>317</v>
      </c>
      <c r="D86" s="12" t="s">
        <v>317</v>
      </c>
      <c r="E86" s="13" t="s">
        <v>318</v>
      </c>
      <c r="F86" s="15" t="str">
        <f>IFERROR(__xludf.DUMMYFUNCTION("XLOOKUP($D86,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(AUTO)'!R6:R""))"),"-")</f>
        <v>-</v>
      </c>
      <c r="G86" s="15">
        <f>IFERROR(__xludf.DUMMYFUNCTION("IFNA(XLOOKUP(""*""&amp;TRIM(REGEXREPLACE($D86, ""(?i)^(PT|CV)\.?\s+"", """"))&amp;""*"", 'DATA TARGET'!$C$2:$C998, 'DATA TARGET'!$D$2:$D998, ""Tidak Ditemukan"", 2), ""Tidak Ditemukan"")"),0.0)</f>
        <v>0</v>
      </c>
      <c r="H86" s="17">
        <f t="shared" si="1"/>
        <v>0</v>
      </c>
      <c r="I86" s="8"/>
    </row>
    <row r="87">
      <c r="A87" s="10" t="s">
        <v>286</v>
      </c>
      <c r="B87" s="10" t="s">
        <v>287</v>
      </c>
      <c r="C87" s="10" t="s">
        <v>320</v>
      </c>
      <c r="D87" s="12" t="s">
        <v>320</v>
      </c>
      <c r="E87" s="13" t="s">
        <v>321</v>
      </c>
      <c r="F87" s="15">
        <f>IFERROR(__xludf.DUMMYFUNCTION("XLOOKUP($D87,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(AUTO)'!R6:R""))"),3683.69)</f>
        <v>3683.69</v>
      </c>
      <c r="G87" s="15">
        <f>IFERROR(__xludf.DUMMYFUNCTION("IFNA(XLOOKUP(""*""&amp;TRIM(REGEXREPLACE($D87, ""(?i)^(PT|CV)\.?\s+"", """"))&amp;""*"", 'DATA TARGET'!$C$2:$C998, 'DATA TARGET'!$D$2:$D998, ""Tidak Ditemukan"", 2), ""Tidak Ditemukan"")"),1850.0)</f>
        <v>1850</v>
      </c>
      <c r="H87" s="17">
        <f t="shared" si="1"/>
        <v>3683.69</v>
      </c>
      <c r="I87" s="8"/>
    </row>
    <row r="88">
      <c r="A88" s="10" t="s">
        <v>286</v>
      </c>
      <c r="B88" s="10" t="s">
        <v>287</v>
      </c>
      <c r="C88" s="10" t="s">
        <v>323</v>
      </c>
      <c r="D88" s="12" t="s">
        <v>323</v>
      </c>
      <c r="E88" s="13" t="s">
        <v>324</v>
      </c>
      <c r="F88" s="15">
        <f>IFERROR(__xludf.DUMMYFUNCTION("XLOOKUP($D88,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(AUTO)'!R6:R""))"),2100.14)</f>
        <v>2100.14</v>
      </c>
      <c r="G88" s="15">
        <f>IFERROR(__xludf.DUMMYFUNCTION("IFNA(XLOOKUP(""*""&amp;TRIM(REGEXREPLACE($D88, ""(?i)^(PT|CV)\.?\s+"", """"))&amp;""*"", 'DATA TARGET'!$C$2:$C998, 'DATA TARGET'!$D$2:$D998, ""Tidak Ditemukan"", 2), ""Tidak Ditemukan"")"),1324.01)</f>
        <v>1324.01</v>
      </c>
      <c r="H88" s="17">
        <f t="shared" si="1"/>
        <v>2100.14</v>
      </c>
      <c r="I88" s="8"/>
    </row>
    <row r="89">
      <c r="A89" s="10" t="s">
        <v>286</v>
      </c>
      <c r="B89" s="10" t="s">
        <v>287</v>
      </c>
      <c r="C89" s="10" t="s">
        <v>326</v>
      </c>
      <c r="D89" s="12" t="s">
        <v>326</v>
      </c>
      <c r="E89" s="13" t="s">
        <v>327</v>
      </c>
      <c r="F89" s="15" t="str">
        <f>IFERROR(__xludf.DUMMYFUNCTION("XLOOKUP($D89,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(AUTO)'!R6:R""))"),"-")</f>
        <v>-</v>
      </c>
      <c r="G89" s="15">
        <f>IFERROR(__xludf.DUMMYFUNCTION("IFNA(XLOOKUP(""*""&amp;TRIM(REGEXREPLACE($D89, ""(?i)^(PT|CV)\.?\s+"", """"))&amp;""*"", 'DATA TARGET'!$C$2:$C998, 'DATA TARGET'!$D$2:$D998, ""Tidak Ditemukan"", 2), ""Tidak Ditemukan"")"),200.77)</f>
        <v>200.77</v>
      </c>
      <c r="H89" s="17">
        <f t="shared" si="1"/>
        <v>200.77</v>
      </c>
      <c r="I89" s="8"/>
    </row>
    <row r="90">
      <c r="A90" s="10" t="s">
        <v>286</v>
      </c>
      <c r="B90" s="10" t="s">
        <v>287</v>
      </c>
      <c r="C90" s="10" t="s">
        <v>329</v>
      </c>
      <c r="D90" s="12" t="s">
        <v>329</v>
      </c>
      <c r="E90" s="13" t="s">
        <v>330</v>
      </c>
      <c r="F90" s="15">
        <f>IFERROR(__xludf.DUMMYFUNCTION("XLOOKUP($D90,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(AUTO)'!R6:R""))"),423.0)</f>
        <v>423</v>
      </c>
      <c r="G90" s="15" t="str">
        <f>IFERROR(__xludf.DUMMYFUNCTION("IFNA(XLOOKUP(""*""&amp;TRIM(REGEXREPLACE($D90, ""(?i)^(PT|CV)\.?\s+"", """"))&amp;""*"", 'DATA TARGET'!$C$2:$C998, 'DATA TARGET'!$D$2:$D998, ""Tidak Ditemukan"", 2), ""Tidak Ditemukan"")"),"Tidak Ditemukan")</f>
        <v>Tidak Ditemukan</v>
      </c>
      <c r="H90" s="17">
        <f t="shared" si="1"/>
        <v>423</v>
      </c>
      <c r="I90" s="8"/>
    </row>
    <row r="91">
      <c r="A91" s="10" t="s">
        <v>286</v>
      </c>
      <c r="B91" s="10" t="s">
        <v>287</v>
      </c>
      <c r="C91" s="10" t="s">
        <v>332</v>
      </c>
      <c r="D91" s="12" t="s">
        <v>332</v>
      </c>
      <c r="E91" s="13" t="s">
        <v>333</v>
      </c>
      <c r="F91" s="15">
        <f>IFERROR(__xludf.DUMMYFUNCTION("XLOOKUP($D91,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(AUTO)'!R6:R""))"),33.0)</f>
        <v>33</v>
      </c>
      <c r="G91" s="15">
        <f>IFERROR(__xludf.DUMMYFUNCTION("IFNA(XLOOKUP(""*""&amp;TRIM(REGEXREPLACE($D91, ""(?i)^(PT|CV)\.?\s+"", """"))&amp;""*"", 'DATA TARGET'!$C$2:$C998, 'DATA TARGET'!$D$2:$D998, ""Tidak Ditemukan"", 2), ""Tidak Ditemukan"")"),33.0)</f>
        <v>33</v>
      </c>
      <c r="H91" s="17">
        <f t="shared" si="1"/>
        <v>33</v>
      </c>
      <c r="I91" s="8"/>
    </row>
    <row r="92">
      <c r="A92" s="10" t="s">
        <v>286</v>
      </c>
      <c r="B92" s="10" t="s">
        <v>287</v>
      </c>
      <c r="C92" s="10" t="s">
        <v>336</v>
      </c>
      <c r="D92" s="12" t="s">
        <v>336</v>
      </c>
      <c r="E92" s="13" t="s">
        <v>337</v>
      </c>
      <c r="F92" s="15">
        <f>IFERROR(__xludf.DUMMYFUNCTION("XLOOKUP($D92,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(AUTO)'!R6:R""))"),1855.53)</f>
        <v>1855.53</v>
      </c>
      <c r="G92" s="15">
        <f>IFERROR(__xludf.DUMMYFUNCTION("IFNA(XLOOKUP(""*""&amp;TRIM(REGEXREPLACE($D92, ""(?i)^(PT|CV)\.?\s+"", """"))&amp;""*"", 'DATA TARGET'!$C$2:$C998, 'DATA TARGET'!$D$2:$D998, ""Tidak Ditemukan"", 2), ""Tidak Ditemukan"")"),1633.37)</f>
        <v>1633.37</v>
      </c>
      <c r="H92" s="17">
        <f t="shared" si="1"/>
        <v>1855.53</v>
      </c>
      <c r="I92" s="8"/>
    </row>
    <row r="93">
      <c r="A93" s="10" t="s">
        <v>286</v>
      </c>
      <c r="B93" s="10" t="s">
        <v>287</v>
      </c>
      <c r="C93" s="10" t="s">
        <v>340</v>
      </c>
      <c r="D93" s="12" t="s">
        <v>340</v>
      </c>
      <c r="E93" s="13" t="s">
        <v>342</v>
      </c>
      <c r="F93" s="15" t="str">
        <f>IFERROR(__xludf.DUMMYFUNCTION("XLOOKUP($D93,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(AUTO)'!R6:R""))"),"-")</f>
        <v>-</v>
      </c>
      <c r="G93" s="15">
        <f>IFERROR(__xludf.DUMMYFUNCTION("IFNA(XLOOKUP(""*""&amp;TRIM(REGEXREPLACE($D93, ""(?i)^(PT|CV)\.?\s+"", """"))&amp;""*"", 'DATA TARGET'!$C$2:$C998, 'DATA TARGET'!$D$2:$D998, ""Tidak Ditemukan"", 2), ""Tidak Ditemukan"")"),3663.17)</f>
        <v>3663.17</v>
      </c>
      <c r="H93" s="17">
        <f t="shared" si="1"/>
        <v>3663.17</v>
      </c>
      <c r="I93" s="8"/>
    </row>
    <row r="94">
      <c r="A94" s="10" t="s">
        <v>286</v>
      </c>
      <c r="B94" s="10" t="s">
        <v>287</v>
      </c>
      <c r="C94" s="10" t="s">
        <v>344</v>
      </c>
      <c r="D94" s="12" t="s">
        <v>344</v>
      </c>
      <c r="E94" s="13" t="s">
        <v>345</v>
      </c>
      <c r="F94" s="15" t="str">
        <f>IFERROR(__xludf.DUMMYFUNCTION("XLOOKUP($D94,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(AUTO)'!R6:R""))"),"-")</f>
        <v>-</v>
      </c>
      <c r="G94" s="15" t="str">
        <f>IFERROR(__xludf.DUMMYFUNCTION("IFNA(XLOOKUP(""*""&amp;TRIM(REGEXREPLACE($D94, ""(?i)^(PT|CV)\.?\s+"", """"))&amp;""*"", 'DATA TARGET'!$C$2:$C998, 'DATA TARGET'!$D$2:$D998, ""Tidak Ditemukan"", 2), ""Tidak Ditemukan"")"),"Tidak Ditemukan")</f>
        <v>Tidak Ditemukan</v>
      </c>
      <c r="H94" s="17" t="str">
        <f t="shared" si="1"/>
        <v>Tidak Ditemukan</v>
      </c>
      <c r="I94" s="8"/>
    </row>
    <row r="95">
      <c r="A95" s="10" t="s">
        <v>286</v>
      </c>
      <c r="B95" s="10" t="s">
        <v>287</v>
      </c>
      <c r="C95" s="10" t="s">
        <v>347</v>
      </c>
      <c r="D95" s="12" t="s">
        <v>347</v>
      </c>
      <c r="E95" s="13" t="s">
        <v>348</v>
      </c>
      <c r="F95" s="15">
        <f>IFERROR(__xludf.DUMMYFUNCTION("XLOOKUP($D95,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(AUTO)'!R6:R""))"),2855.8)</f>
        <v>2855.8</v>
      </c>
      <c r="G95" s="15">
        <f>IFERROR(__xludf.DUMMYFUNCTION("IFNA(XLOOKUP(""*""&amp;TRIM(REGEXREPLACE($D95, ""(?i)^(PT|CV)\.?\s+"", """"))&amp;""*"", 'DATA TARGET'!$C$2:$C998, 'DATA TARGET'!$D$2:$D998, ""Tidak Ditemukan"", 2), ""Tidak Ditemukan"")"),2855.8)</f>
        <v>2855.8</v>
      </c>
      <c r="H95" s="17">
        <f t="shared" si="1"/>
        <v>2855.8</v>
      </c>
      <c r="I95" s="8"/>
    </row>
    <row r="96">
      <c r="A96" s="10" t="s">
        <v>286</v>
      </c>
      <c r="B96" s="10" t="s">
        <v>287</v>
      </c>
      <c r="C96" s="10" t="s">
        <v>351</v>
      </c>
      <c r="D96" s="12" t="s">
        <v>351</v>
      </c>
      <c r="E96" s="13" t="s">
        <v>352</v>
      </c>
      <c r="F96" s="15">
        <f>IFERROR(__xludf.DUMMYFUNCTION("XLOOKUP($D96,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(AUTO)'!R6:R""))"),10.6)</f>
        <v>10.6</v>
      </c>
      <c r="G96" s="15">
        <f>IFERROR(__xludf.DUMMYFUNCTION("IFNA(XLOOKUP(""*""&amp;TRIM(REGEXREPLACE($D96, ""(?i)^(PT|CV)\.?\s+"", """"))&amp;""*"", 'DATA TARGET'!$C$2:$C998, 'DATA TARGET'!$D$2:$D998, ""Tidak Ditemukan"", 2), ""Tidak Ditemukan"")"),12.0)</f>
        <v>12</v>
      </c>
      <c r="H96" s="17">
        <f t="shared" si="1"/>
        <v>10.6</v>
      </c>
      <c r="I96" s="8"/>
    </row>
    <row r="97">
      <c r="A97" s="10" t="s">
        <v>286</v>
      </c>
      <c r="B97" s="10" t="s">
        <v>287</v>
      </c>
      <c r="C97" s="10" t="s">
        <v>354</v>
      </c>
      <c r="D97" s="12" t="s">
        <v>354</v>
      </c>
      <c r="E97" s="13" t="s">
        <v>355</v>
      </c>
      <c r="F97" s="15">
        <f>IFERROR(__xludf.DUMMYFUNCTION("XLOOKUP($D97,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(AUTO)'!R6:R""))"),238.54)</f>
        <v>238.54</v>
      </c>
      <c r="G97" s="15">
        <f>IFERROR(__xludf.DUMMYFUNCTION("IFNA(XLOOKUP(""*""&amp;TRIM(REGEXREPLACE($D97, ""(?i)^(PT|CV)\.?\s+"", """"))&amp;""*"", 'DATA TARGET'!$C$2:$C998, 'DATA TARGET'!$D$2:$D998, ""Tidak Ditemukan"", 2), ""Tidak Ditemukan"")"),74.0)</f>
        <v>74</v>
      </c>
      <c r="H97" s="17">
        <f t="shared" si="1"/>
        <v>238.54</v>
      </c>
      <c r="I97" s="8"/>
    </row>
    <row r="98">
      <c r="A98" s="10" t="s">
        <v>286</v>
      </c>
      <c r="B98" s="10" t="s">
        <v>287</v>
      </c>
      <c r="C98" s="10" t="s">
        <v>357</v>
      </c>
      <c r="D98" s="12" t="s">
        <v>357</v>
      </c>
      <c r="E98" s="13" t="s">
        <v>358</v>
      </c>
      <c r="F98" s="15">
        <f>IFERROR(__xludf.DUMMYFUNCTION("XLOOKUP($D98,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(AUTO)'!R6:R""))"),952.0)</f>
        <v>952</v>
      </c>
      <c r="G98" s="15">
        <f>IFERROR(__xludf.DUMMYFUNCTION("IFNA(XLOOKUP(""*""&amp;TRIM(REGEXREPLACE($D98, ""(?i)^(PT|CV)\.?\s+"", """"))&amp;""*"", 'DATA TARGET'!$C$2:$C998, 'DATA TARGET'!$D$2:$D998, ""Tidak Ditemukan"", 2), ""Tidak Ditemukan"")"),639.8)</f>
        <v>639.8</v>
      </c>
      <c r="H98" s="17">
        <f t="shared" si="1"/>
        <v>952</v>
      </c>
      <c r="I98" s="8"/>
    </row>
    <row r="99">
      <c r="A99" s="10" t="s">
        <v>286</v>
      </c>
      <c r="B99" s="10" t="s">
        <v>287</v>
      </c>
      <c r="C99" s="10" t="s">
        <v>361</v>
      </c>
      <c r="D99" s="12" t="s">
        <v>361</v>
      </c>
      <c r="E99" s="13" t="s">
        <v>362</v>
      </c>
      <c r="F99" s="15">
        <f>IFERROR(__xludf.DUMMYFUNCTION("XLOOKUP($D99, IMPORTRANGE(""https://docs.google.com/spreadsheets/d/1RJrFMGUC-XijmB6MWr0bUJNzuN7BM1j8R_D0vOt0s8I/edit?usp=sharing"", ""'Master Data TK V0.2 (AUTO)'!F6:F""), IMPORTRANGE(""https://docs.google.com/spreadsheets/d/1RJrFMGUC-XijmB6MWr0bUJNzuN7BM"&amp;"1j8R_D0vOt0s8I/edit?usp=sharing"", ""'Master Data TK V0.2 (AUTO)'!R6:R""))"),1383.92)</f>
        <v>1383.92</v>
      </c>
      <c r="G99" s="15">
        <f>IFERROR(__xludf.DUMMYFUNCTION("IFNA(XLOOKUP(""*""&amp;TRIM(REGEXREPLACE($D99, ""(?i)^(PT|CV)\.?\s+"", """"))&amp;""*"", 'DATA TARGET'!$C$2:$C998, 'DATA TARGET'!$D$2:$D998, ""Tidak Ditemukan"", 2), ""Tidak Ditemukan"")"),1029.33)</f>
        <v>1029.33</v>
      </c>
      <c r="H99" s="17">
        <f t="shared" si="1"/>
        <v>1383.92</v>
      </c>
      <c r="I99" s="8"/>
    </row>
    <row r="100">
      <c r="A100" s="10" t="s">
        <v>286</v>
      </c>
      <c r="B100" s="10" t="s">
        <v>287</v>
      </c>
      <c r="C100" s="10" t="s">
        <v>365</v>
      </c>
      <c r="D100" s="12" t="s">
        <v>365</v>
      </c>
      <c r="E100" s="13" t="s">
        <v>366</v>
      </c>
      <c r="F100" s="15">
        <f>IFERROR(__xludf.DUMMYFUNCTION("XLOOKUP($D100,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(AUTO)'!R6:R""))"),933.31)</f>
        <v>933.31</v>
      </c>
      <c r="G100" s="15">
        <f>IFERROR(__xludf.DUMMYFUNCTION("IFNA(XLOOKUP(""*""&amp;TRIM(REGEXREPLACE($D100, ""(?i)^(PT|CV)\.?\s+"", """"))&amp;""*"", 'DATA TARGET'!$C$2:$C998, 'DATA TARGET'!$D$2:$D998, ""Tidak Ditemukan"", 2), ""Tidak Ditemukan"")"),701.3)</f>
        <v>701.3</v>
      </c>
      <c r="H100" s="17">
        <f t="shared" si="1"/>
        <v>933.31</v>
      </c>
      <c r="I100" s="8"/>
    </row>
    <row r="101">
      <c r="A101" s="10" t="s">
        <v>286</v>
      </c>
      <c r="B101" s="10" t="s">
        <v>287</v>
      </c>
      <c r="C101" s="10" t="s">
        <v>368</v>
      </c>
      <c r="D101" s="12" t="s">
        <v>368</v>
      </c>
      <c r="E101" s="13" t="s">
        <v>369</v>
      </c>
      <c r="F101" s="15">
        <f>IFERROR(__xludf.DUMMYFUNCTION("XLOOKUP($D101,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(AUTO)'!R6:R""))"),600.0)</f>
        <v>600</v>
      </c>
      <c r="G101" s="15">
        <f>IFERROR(__xludf.DUMMYFUNCTION("IFNA(XLOOKUP(""*""&amp;TRIM(REGEXREPLACE($D101, ""(?i)^(PT|CV)\.?\s+"", """"))&amp;""*"", 'DATA TARGET'!$C$2:$C998, 'DATA TARGET'!$D$2:$D998, ""Tidak Ditemukan"", 2), ""Tidak Ditemukan"")"),246.92)</f>
        <v>246.92</v>
      </c>
      <c r="H101" s="17">
        <f t="shared" si="1"/>
        <v>600</v>
      </c>
      <c r="I101" s="8"/>
    </row>
    <row r="102">
      <c r="A102" s="10" t="s">
        <v>286</v>
      </c>
      <c r="B102" s="10" t="s">
        <v>287</v>
      </c>
      <c r="C102" s="10" t="s">
        <v>372</v>
      </c>
      <c r="D102" s="12" t="s">
        <v>372</v>
      </c>
      <c r="E102" s="13" t="s">
        <v>373</v>
      </c>
      <c r="F102" s="15">
        <f>IFERROR(__xludf.DUMMYFUNCTION("XLOOKUP($D102,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(AUTO)'!R6:R""))"),895.78)</f>
        <v>895.78</v>
      </c>
      <c r="G102" s="15">
        <f>IFERROR(__xludf.DUMMYFUNCTION("IFNA(XLOOKUP(""*""&amp;TRIM(REGEXREPLACE($D102, ""(?i)^(PT|CV)\.?\s+"", """"))&amp;""*"", 'DATA TARGET'!$C$2:$C998, 'DATA TARGET'!$D$2:$D998, ""Tidak Ditemukan"", 2), ""Tidak Ditemukan"")"),65.0)</f>
        <v>65</v>
      </c>
      <c r="H102" s="17">
        <f t="shared" si="1"/>
        <v>895.78</v>
      </c>
      <c r="I102" s="8"/>
    </row>
    <row r="103">
      <c r="A103" s="10" t="s">
        <v>286</v>
      </c>
      <c r="B103" s="10" t="s">
        <v>287</v>
      </c>
      <c r="C103" s="10" t="s">
        <v>375</v>
      </c>
      <c r="D103" s="12" t="s">
        <v>375</v>
      </c>
      <c r="E103" s="13" t="s">
        <v>376</v>
      </c>
      <c r="F103" s="15">
        <f>IFERROR(__xludf.DUMMYFUNCTION("XLOOKUP($D103,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(AUTO)'!R6:R""))"),54.0)</f>
        <v>54</v>
      </c>
      <c r="G103" s="15">
        <f>IFERROR(__xludf.DUMMYFUNCTION("IFNA(XLOOKUP(""*""&amp;TRIM(REGEXREPLACE($D103, ""(?i)^(PT|CV)\.?\s+"", """"))&amp;""*"", 'DATA TARGET'!$C$2:$C998, 'DATA TARGET'!$D$2:$D998, ""Tidak Ditemukan"", 2), ""Tidak Ditemukan"")"),48.0)</f>
        <v>48</v>
      </c>
      <c r="H103" s="17">
        <f t="shared" si="1"/>
        <v>54</v>
      </c>
      <c r="I103" s="8"/>
    </row>
    <row r="104">
      <c r="A104" s="10" t="s">
        <v>286</v>
      </c>
      <c r="B104" s="10" t="s">
        <v>287</v>
      </c>
      <c r="C104" s="10" t="s">
        <v>379</v>
      </c>
      <c r="D104" s="12" t="s">
        <v>379</v>
      </c>
      <c r="E104" s="13" t="s">
        <v>380</v>
      </c>
      <c r="F104" s="15" t="str">
        <f>IFERROR(__xludf.DUMMYFUNCTION("XLOOKUP($D104,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04" s="15">
        <f>IFERROR(__xludf.DUMMYFUNCTION("IFNA(XLOOKUP(""*""&amp;TRIM(REGEXREPLACE($D104, ""(?i)^(PT|CV)\.?\s+"", """"))&amp;""*"", 'DATA TARGET'!$C$2:$C998, 'DATA TARGET'!$D$2:$D998, ""Tidak Ditemukan"", 2), ""Tidak Ditemukan"")"),3.5)</f>
        <v>3.5</v>
      </c>
      <c r="H104" s="17">
        <f t="shared" si="1"/>
        <v>3.5</v>
      </c>
      <c r="I104" s="8"/>
    </row>
    <row r="105">
      <c r="A105" s="10" t="s">
        <v>286</v>
      </c>
      <c r="B105" s="10" t="s">
        <v>287</v>
      </c>
      <c r="C105" s="10" t="s">
        <v>382</v>
      </c>
      <c r="D105" s="12" t="s">
        <v>382</v>
      </c>
      <c r="E105" s="13" t="s">
        <v>383</v>
      </c>
      <c r="F105" s="15">
        <f>IFERROR(__xludf.DUMMYFUNCTION("XLOOKUP($D105,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(AUTO)'!R6:R""))"),185.81)</f>
        <v>185.81</v>
      </c>
      <c r="G105" s="15">
        <f>IFERROR(__xludf.DUMMYFUNCTION("IFNA(XLOOKUP(""*""&amp;TRIM(REGEXREPLACE($D105, ""(?i)^(PT|CV)\.?\s+"", """"))&amp;""*"", 'DATA TARGET'!$C$2:$C998, 'DATA TARGET'!$D$2:$D998, ""Tidak Ditemukan"", 2), ""Tidak Ditemukan"")"),178.7)</f>
        <v>178.7</v>
      </c>
      <c r="H105" s="17">
        <f t="shared" si="1"/>
        <v>185.81</v>
      </c>
      <c r="I105" s="8"/>
    </row>
    <row r="106">
      <c r="A106" s="10" t="s">
        <v>286</v>
      </c>
      <c r="B106" s="10" t="s">
        <v>287</v>
      </c>
      <c r="C106" s="10" t="s">
        <v>385</v>
      </c>
      <c r="D106" s="12" t="s">
        <v>385</v>
      </c>
      <c r="E106" s="13" t="s">
        <v>386</v>
      </c>
      <c r="F106" s="15">
        <f>IFERROR(__xludf.DUMMYFUNCTION("XLOOKUP($D106,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(AUTO)'!R6:R""))"),265.0)</f>
        <v>265</v>
      </c>
      <c r="G106" s="15">
        <f>IFERROR(__xludf.DUMMYFUNCTION("IFNA(XLOOKUP(""*""&amp;TRIM(REGEXREPLACE($D106, ""(?i)^(PT|CV)\.?\s+"", """"))&amp;""*"", 'DATA TARGET'!$C$2:$C998, 'DATA TARGET'!$D$2:$D998, ""Tidak Ditemukan"", 2), ""Tidak Ditemukan"")"),265.0)</f>
        <v>265</v>
      </c>
      <c r="H106" s="17">
        <f t="shared" si="1"/>
        <v>265</v>
      </c>
      <c r="I106" s="8"/>
    </row>
    <row r="107">
      <c r="A107" s="10" t="s">
        <v>286</v>
      </c>
      <c r="B107" s="10" t="s">
        <v>287</v>
      </c>
      <c r="C107" s="10" t="s">
        <v>387</v>
      </c>
      <c r="D107" s="12" t="s">
        <v>387</v>
      </c>
      <c r="E107" s="13" t="s">
        <v>388</v>
      </c>
      <c r="F107" s="15">
        <f>IFERROR(__xludf.DUMMYFUNCTION("XLOOKUP($D107,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(AUTO)'!R6:R""))"),8.93)</f>
        <v>8.93</v>
      </c>
      <c r="G107" s="15">
        <f>IFERROR(__xludf.DUMMYFUNCTION("IFNA(XLOOKUP(""*""&amp;TRIM(REGEXREPLACE($D107, ""(?i)^(PT|CV)\.?\s+"", """"))&amp;""*"", 'DATA TARGET'!$C$2:$C998, 'DATA TARGET'!$D$2:$D998, ""Tidak Ditemukan"", 2), ""Tidak Ditemukan"")"),6.53)</f>
        <v>6.53</v>
      </c>
      <c r="H107" s="17">
        <f t="shared" si="1"/>
        <v>8.93</v>
      </c>
      <c r="I107" s="8"/>
    </row>
    <row r="108">
      <c r="A108" s="10" t="s">
        <v>286</v>
      </c>
      <c r="B108" s="10" t="s">
        <v>287</v>
      </c>
      <c r="C108" s="10" t="s">
        <v>392</v>
      </c>
      <c r="D108" s="12" t="s">
        <v>392</v>
      </c>
      <c r="E108" s="13" t="s">
        <v>393</v>
      </c>
      <c r="F108" s="15">
        <f>IFERROR(__xludf.DUMMYFUNCTION("XLOOKUP($D108,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(AUTO)'!R6:R""))"),394.24)</f>
        <v>394.24</v>
      </c>
      <c r="G108" s="15">
        <f>IFERROR(__xludf.DUMMYFUNCTION("IFNA(XLOOKUP(""*""&amp;TRIM(REGEXREPLACE($D108, ""(?i)^(PT|CV)\.?\s+"", """"))&amp;""*"", 'DATA TARGET'!$C$2:$C998, 'DATA TARGET'!$D$2:$D998, ""Tidak Ditemukan"", 2), ""Tidak Ditemukan"")"),315.39)</f>
        <v>315.39</v>
      </c>
      <c r="H108" s="17">
        <f t="shared" si="1"/>
        <v>394.24</v>
      </c>
      <c r="I108" s="8"/>
    </row>
    <row r="109">
      <c r="A109" s="10" t="s">
        <v>286</v>
      </c>
      <c r="B109" s="10" t="s">
        <v>287</v>
      </c>
      <c r="C109" s="10" t="s">
        <v>396</v>
      </c>
      <c r="D109" s="12" t="s">
        <v>396</v>
      </c>
      <c r="E109" s="13" t="s">
        <v>397</v>
      </c>
      <c r="F109" s="15">
        <f>IFERROR(__xludf.DUMMYFUNCTION("XLOOKUP($D109,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(AUTO)'!R6:R""))"),108.99)</f>
        <v>108.99</v>
      </c>
      <c r="G109" s="15">
        <f>IFERROR(__xludf.DUMMYFUNCTION("IFNA(XLOOKUP(""*""&amp;TRIM(REGEXREPLACE($D109, ""(?i)^(PT|CV)\.?\s+"", """"))&amp;""*"", 'DATA TARGET'!$C$2:$C998, 'DATA TARGET'!$D$2:$D998, ""Tidak Ditemukan"", 2), ""Tidak Ditemukan"")"),75.0)</f>
        <v>75</v>
      </c>
      <c r="H109" s="17">
        <f t="shared" si="1"/>
        <v>108.99</v>
      </c>
      <c r="I109" s="8"/>
    </row>
    <row r="110">
      <c r="A110" s="10" t="s">
        <v>286</v>
      </c>
      <c r="B110" s="10" t="s">
        <v>287</v>
      </c>
      <c r="C110" s="10" t="s">
        <v>400</v>
      </c>
      <c r="D110" s="12" t="s">
        <v>400</v>
      </c>
      <c r="E110" s="13" t="s">
        <v>401</v>
      </c>
      <c r="F110" s="15">
        <f>IFERROR(__xludf.DUMMYFUNCTION("XLOOKUP($D110,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(AUTO)'!R6:R""))"),197.58)</f>
        <v>197.58</v>
      </c>
      <c r="G110" s="15">
        <f>IFERROR(__xludf.DUMMYFUNCTION("IFNA(XLOOKUP(""*""&amp;TRIM(REGEXREPLACE($D110, ""(?i)^(PT|CV)\.?\s+"", """"))&amp;""*"", 'DATA TARGET'!$C$2:$C998, 'DATA TARGET'!$D$2:$D998, ""Tidak Ditemukan"", 2), ""Tidak Ditemukan"")"),172.87)</f>
        <v>172.87</v>
      </c>
      <c r="H110" s="17">
        <f t="shared" si="1"/>
        <v>197.58</v>
      </c>
      <c r="I110" s="8"/>
    </row>
    <row r="111">
      <c r="A111" s="10" t="s">
        <v>286</v>
      </c>
      <c r="B111" s="10" t="s">
        <v>287</v>
      </c>
      <c r="C111" s="10" t="s">
        <v>404</v>
      </c>
      <c r="D111" s="12" t="s">
        <v>404</v>
      </c>
      <c r="E111" s="13" t="s">
        <v>405</v>
      </c>
      <c r="F111" s="15">
        <f>IFERROR(__xludf.DUMMYFUNCTION("XLOOKUP($D111,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(AUTO)'!R6:R""))"),8.0)</f>
        <v>8</v>
      </c>
      <c r="G111" s="15">
        <f>IFERROR(__xludf.DUMMYFUNCTION("IFNA(XLOOKUP(""*""&amp;TRIM(REGEXREPLACE($D111, ""(?i)^(PT|CV)\.?\s+"", """"))&amp;""*"", 'DATA TARGET'!$C$2:$C998, 'DATA TARGET'!$D$2:$D998, ""Tidak Ditemukan"", 2), ""Tidak Ditemukan"")"),8.0)</f>
        <v>8</v>
      </c>
      <c r="H111" s="17">
        <f t="shared" si="1"/>
        <v>8</v>
      </c>
      <c r="I111" s="8"/>
    </row>
    <row r="112">
      <c r="A112" s="10" t="s">
        <v>286</v>
      </c>
      <c r="B112" s="10" t="s">
        <v>287</v>
      </c>
      <c r="C112" s="10" t="s">
        <v>407</v>
      </c>
      <c r="D112" s="12" t="s">
        <v>407</v>
      </c>
      <c r="E112" s="13" t="s">
        <v>408</v>
      </c>
      <c r="F112" s="15">
        <f>IFERROR(__xludf.DUMMYFUNCTION("XLOOKUP($D112,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(AUTO)'!R6:R""))"),30.0)</f>
        <v>30</v>
      </c>
      <c r="G112" s="15">
        <f>IFERROR(__xludf.DUMMYFUNCTION("IFNA(XLOOKUP(""*""&amp;TRIM(REGEXREPLACE($D112, ""(?i)^(PT|CV)\.?\s+"", """"))&amp;""*"", 'DATA TARGET'!$C$2:$C998, 'DATA TARGET'!$D$2:$D998, ""Tidak Ditemukan"", 2), ""Tidak Ditemukan"")"),329.34)</f>
        <v>329.34</v>
      </c>
      <c r="H112" s="17">
        <f t="shared" si="1"/>
        <v>30</v>
      </c>
      <c r="I112" s="8"/>
    </row>
    <row r="113">
      <c r="A113" s="10" t="s">
        <v>286</v>
      </c>
      <c r="B113" s="10" t="s">
        <v>287</v>
      </c>
      <c r="C113" s="10" t="s">
        <v>410</v>
      </c>
      <c r="D113" s="12" t="s">
        <v>410</v>
      </c>
      <c r="E113" s="13" t="s">
        <v>411</v>
      </c>
      <c r="F113" s="15">
        <f>IFERROR(__xludf.DUMMYFUNCTION("XLOOKUP($D113,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(AUTO)'!R6:R""))"),1458.7)</f>
        <v>1458.7</v>
      </c>
      <c r="G113" s="15">
        <f>IFERROR(__xludf.DUMMYFUNCTION("IFNA(XLOOKUP(""*""&amp;TRIM(REGEXREPLACE($D113, ""(?i)^(PT|CV)\.?\s+"", """"))&amp;""*"", 'DATA TARGET'!$C$2:$C998, 'DATA TARGET'!$D$2:$D998, ""Tidak Ditemukan"", 2), ""Tidak Ditemukan"")"),1458.7)</f>
        <v>1458.7</v>
      </c>
      <c r="H113" s="17">
        <f t="shared" si="1"/>
        <v>1458.7</v>
      </c>
      <c r="I113" s="8"/>
    </row>
    <row r="114">
      <c r="A114" s="10" t="s">
        <v>286</v>
      </c>
      <c r="B114" s="10" t="s">
        <v>287</v>
      </c>
      <c r="C114" s="10" t="s">
        <v>414</v>
      </c>
      <c r="D114" s="12" t="s">
        <v>414</v>
      </c>
      <c r="E114" s="13" t="s">
        <v>415</v>
      </c>
      <c r="F114" s="15">
        <f>IFERROR(__xludf.DUMMYFUNCTION("XLOOKUP($D114,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(AUTO)'!R6:R""))"),53.95)</f>
        <v>53.95</v>
      </c>
      <c r="G114" s="15">
        <f>IFERROR(__xludf.DUMMYFUNCTION("IFNA(XLOOKUP(""*""&amp;TRIM(REGEXREPLACE($D114, ""(?i)^(PT|CV)\.?\s+"", """"))&amp;""*"", 'DATA TARGET'!$C$2:$C998, 'DATA TARGET'!$D$2:$D998, ""Tidak Ditemukan"", 2), ""Tidak Ditemukan"")"),53.95)</f>
        <v>53.95</v>
      </c>
      <c r="H114" s="17">
        <f t="shared" si="1"/>
        <v>53.95</v>
      </c>
      <c r="I114" s="8"/>
    </row>
    <row r="115">
      <c r="A115" s="10" t="s">
        <v>286</v>
      </c>
      <c r="B115" s="10" t="s">
        <v>287</v>
      </c>
      <c r="C115" s="10" t="s">
        <v>417</v>
      </c>
      <c r="D115" s="12" t="s">
        <v>417</v>
      </c>
      <c r="E115" s="13" t="s">
        <v>419</v>
      </c>
      <c r="F115" s="15">
        <f>IFERROR(__xludf.DUMMYFUNCTION("XLOOKUP($D115,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(AUTO)'!R6:R""))"),131.75)</f>
        <v>131.75</v>
      </c>
      <c r="G115" s="15">
        <f>IFERROR(__xludf.DUMMYFUNCTION("IFNA(XLOOKUP(""*""&amp;TRIM(REGEXREPLACE($D115, ""(?i)^(PT|CV)\.?\s+"", """"))&amp;""*"", 'DATA TARGET'!$C$2:$C998, 'DATA TARGET'!$D$2:$D998, ""Tidak Ditemukan"", 2), ""Tidak Ditemukan"")"),134.7)</f>
        <v>134.7</v>
      </c>
      <c r="H115" s="17">
        <f t="shared" si="1"/>
        <v>131.75</v>
      </c>
      <c r="I115" s="8"/>
    </row>
    <row r="116">
      <c r="A116" s="10" t="s">
        <v>286</v>
      </c>
      <c r="B116" s="10" t="s">
        <v>287</v>
      </c>
      <c r="C116" s="10" t="s">
        <v>421</v>
      </c>
      <c r="D116" s="12" t="s">
        <v>421</v>
      </c>
      <c r="E116" s="13" t="s">
        <v>422</v>
      </c>
      <c r="F116" s="15">
        <f>IFERROR(__xludf.DUMMYFUNCTION("XLOOKUP($D116,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(AUTO)'!R6:R""))"),114.19)</f>
        <v>114.19</v>
      </c>
      <c r="G116" s="15">
        <f>IFERROR(__xludf.DUMMYFUNCTION("IFNA(XLOOKUP(""*""&amp;TRIM(REGEXREPLACE($D116, ""(?i)^(PT|CV)\.?\s+"", """"))&amp;""*"", 'DATA TARGET'!$C$2:$C998, 'DATA TARGET'!$D$2:$D998, ""Tidak Ditemukan"", 2), ""Tidak Ditemukan"")"),75.0)</f>
        <v>75</v>
      </c>
      <c r="H116" s="17">
        <f t="shared" si="1"/>
        <v>114.19</v>
      </c>
      <c r="I116" s="8"/>
    </row>
    <row r="117">
      <c r="A117" s="10" t="s">
        <v>286</v>
      </c>
      <c r="B117" s="10" t="s">
        <v>287</v>
      </c>
      <c r="C117" s="10" t="s">
        <v>424</v>
      </c>
      <c r="D117" s="12" t="s">
        <v>424</v>
      </c>
      <c r="E117" s="13" t="s">
        <v>425</v>
      </c>
      <c r="F117" s="15">
        <f>IFERROR(__xludf.DUMMYFUNCTION("XLOOKUP($D117,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(AUTO)'!R6:R""))"),118.0)</f>
        <v>118</v>
      </c>
      <c r="G117" s="15">
        <f>IFERROR(__xludf.DUMMYFUNCTION("IFNA(XLOOKUP(""*""&amp;TRIM(REGEXREPLACE($D117, ""(?i)^(PT|CV)\.?\s+"", """"))&amp;""*"", 'DATA TARGET'!$C$2:$C998, 'DATA TARGET'!$D$2:$D998, ""Tidak Ditemukan"", 2), ""Tidak Ditemukan"")"),132.0)</f>
        <v>132</v>
      </c>
      <c r="H117" s="17">
        <f t="shared" si="1"/>
        <v>118</v>
      </c>
      <c r="I117" s="8"/>
    </row>
    <row r="118">
      <c r="A118" s="10" t="s">
        <v>286</v>
      </c>
      <c r="B118" s="10" t="s">
        <v>287</v>
      </c>
      <c r="C118" s="10" t="s">
        <v>427</v>
      </c>
      <c r="D118" s="12" t="s">
        <v>427</v>
      </c>
      <c r="E118" s="13" t="s">
        <v>428</v>
      </c>
      <c r="F118" s="15">
        <f>IFERROR(__xludf.DUMMYFUNCTION("XLOOKUP($D118,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(AUTO)'!R6:R""))"),247.54)</f>
        <v>247.54</v>
      </c>
      <c r="G118" s="15">
        <f>IFERROR(__xludf.DUMMYFUNCTION("IFNA(XLOOKUP(""*""&amp;TRIM(REGEXREPLACE($D118, ""(?i)^(PT|CV)\.?\s+"", """"))&amp;""*"", 'DATA TARGET'!$C$2:$C998, 'DATA TARGET'!$D$2:$D998, ""Tidak Ditemukan"", 2), ""Tidak Ditemukan"")"),247.54)</f>
        <v>247.54</v>
      </c>
      <c r="H118" s="17">
        <f t="shared" si="1"/>
        <v>247.54</v>
      </c>
      <c r="I118" s="8"/>
    </row>
    <row r="119">
      <c r="A119" s="10" t="s">
        <v>286</v>
      </c>
      <c r="B119" s="10" t="s">
        <v>287</v>
      </c>
      <c r="C119" s="10" t="s">
        <v>430</v>
      </c>
      <c r="D119" s="12" t="s">
        <v>430</v>
      </c>
      <c r="E119" s="13" t="s">
        <v>431</v>
      </c>
      <c r="F119" s="15">
        <f>IFERROR(__xludf.DUMMYFUNCTION("XLOOKUP($D119,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(AUTO)'!R6:R""))"),27.01)</f>
        <v>27.01</v>
      </c>
      <c r="G119" s="15">
        <f>IFERROR(__xludf.DUMMYFUNCTION("IFNA(XLOOKUP(""*""&amp;TRIM(REGEXREPLACE($D119, ""(?i)^(PT|CV)\.?\s+"", """"))&amp;""*"", 'DATA TARGET'!$C$2:$C998, 'DATA TARGET'!$D$2:$D998, ""Tidak Ditemukan"", 2), ""Tidak Ditemukan"")"),27.01)</f>
        <v>27.01</v>
      </c>
      <c r="H119" s="17">
        <f t="shared" si="1"/>
        <v>27.01</v>
      </c>
      <c r="I119" s="8"/>
    </row>
    <row r="120">
      <c r="A120" s="10" t="s">
        <v>286</v>
      </c>
      <c r="B120" s="10" t="s">
        <v>287</v>
      </c>
      <c r="C120" s="10" t="s">
        <v>433</v>
      </c>
      <c r="D120" s="12" t="s">
        <v>433</v>
      </c>
      <c r="E120" s="13" t="s">
        <v>434</v>
      </c>
      <c r="F120" s="15">
        <f>IFERROR(__xludf.DUMMYFUNCTION("XLOOKUP($D120,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(AUTO)'!R6:R""))"),38.51)</f>
        <v>38.51</v>
      </c>
      <c r="G120" s="15">
        <f>IFERROR(__xludf.DUMMYFUNCTION("IFNA(XLOOKUP(""*""&amp;TRIM(REGEXREPLACE($D120, ""(?i)^(PT|CV)\.?\s+"", """"))&amp;""*"", 'DATA TARGET'!$C$2:$C998, 'DATA TARGET'!$D$2:$D998, ""Tidak Ditemukan"", 2), ""Tidak Ditemukan"")"),6.0)</f>
        <v>6</v>
      </c>
      <c r="H120" s="17">
        <f t="shared" si="1"/>
        <v>38.51</v>
      </c>
      <c r="I120" s="8"/>
    </row>
    <row r="121">
      <c r="A121" s="10" t="s">
        <v>286</v>
      </c>
      <c r="B121" s="10" t="s">
        <v>287</v>
      </c>
      <c r="C121" s="10" t="s">
        <v>436</v>
      </c>
      <c r="D121" s="12" t="s">
        <v>436</v>
      </c>
      <c r="E121" s="13" t="s">
        <v>437</v>
      </c>
      <c r="F121" s="15" t="str">
        <f>IFERROR(__xludf.DUMMYFUNCTION("XLOOKUP($D121,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21" s="15">
        <f>IFERROR(__xludf.DUMMYFUNCTION("IFNA(XLOOKUP(""*""&amp;TRIM(REGEXREPLACE($D121, ""(?i)^(PT|CV)\.?\s+"", """"))&amp;""*"", 'DATA TARGET'!$C$2:$C998, 'DATA TARGET'!$D$2:$D998, ""Tidak Ditemukan"", 2), ""Tidak Ditemukan"")"),0.0)</f>
        <v>0</v>
      </c>
      <c r="H121" s="17">
        <f t="shared" si="1"/>
        <v>0</v>
      </c>
      <c r="I121" s="8"/>
    </row>
    <row r="122">
      <c r="A122" s="10" t="s">
        <v>286</v>
      </c>
      <c r="B122" s="10" t="s">
        <v>287</v>
      </c>
      <c r="C122" s="10" t="s">
        <v>439</v>
      </c>
      <c r="D122" s="12" t="s">
        <v>439</v>
      </c>
      <c r="E122" s="13" t="s">
        <v>440</v>
      </c>
      <c r="F122" s="15">
        <f>IFERROR(__xludf.DUMMYFUNCTION("XLOOKUP($D122,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(AUTO)'!R6:R""))"),2249.62)</f>
        <v>2249.62</v>
      </c>
      <c r="G122" s="15">
        <f>IFERROR(__xludf.DUMMYFUNCTION("IFNA(XLOOKUP(""*""&amp;TRIM(REGEXREPLACE($D122, ""(?i)^(PT|CV)\.?\s+"", """"))&amp;""*"", 'DATA TARGET'!$C$2:$C998, 'DATA TARGET'!$D$2:$D998, ""Tidak Ditemukan"", 2), ""Tidak Ditemukan"")"),1802.71)</f>
        <v>1802.71</v>
      </c>
      <c r="H122" s="17">
        <f t="shared" si="1"/>
        <v>2249.62</v>
      </c>
      <c r="I122" s="8"/>
    </row>
    <row r="123">
      <c r="A123" s="10" t="s">
        <v>286</v>
      </c>
      <c r="B123" s="10" t="s">
        <v>287</v>
      </c>
      <c r="C123" s="10" t="s">
        <v>441</v>
      </c>
      <c r="D123" s="12" t="s">
        <v>441</v>
      </c>
      <c r="E123" s="13" t="s">
        <v>442</v>
      </c>
      <c r="F123" s="15">
        <f>IFERROR(__xludf.DUMMYFUNCTION("XLOOKUP($D123,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(AUTO)'!R6:R""))"),768.8)</f>
        <v>768.8</v>
      </c>
      <c r="G123" s="15" t="str">
        <f>IFERROR(__xludf.DUMMYFUNCTION("IFNA(XLOOKUP(""*""&amp;TRIM(REGEXREPLACE($D123, ""(?i)^(PT|CV)\.?\s+"", """"))&amp;""*"", 'DATA TARGET'!$C$2:$C998, 'DATA TARGET'!$D$2:$D998, ""Tidak Ditemukan"", 2), ""Tidak Ditemukan"")"),"Tidak Ditemukan")</f>
        <v>Tidak Ditemukan</v>
      </c>
      <c r="H123" s="17">
        <f t="shared" si="1"/>
        <v>768.8</v>
      </c>
      <c r="I123" s="8"/>
    </row>
    <row r="124">
      <c r="A124" s="10" t="s">
        <v>286</v>
      </c>
      <c r="B124" s="10" t="s">
        <v>287</v>
      </c>
      <c r="C124" s="10" t="s">
        <v>444</v>
      </c>
      <c r="D124" s="12" t="s">
        <v>444</v>
      </c>
      <c r="E124" s="13" t="s">
        <v>445</v>
      </c>
      <c r="F124" s="15">
        <f>IFERROR(__xludf.DUMMYFUNCTION("XLOOKUP($D124,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(AUTO)'!R6:R""))"),123.56)</f>
        <v>123.56</v>
      </c>
      <c r="G124" s="15" t="str">
        <f>IFERROR(__xludf.DUMMYFUNCTION("IFNA(XLOOKUP(""*""&amp;TRIM(REGEXREPLACE($D124, ""(?i)^(PT|CV)\.?\s+"", """"))&amp;""*"", 'DATA TARGET'!$C$2:$C998, 'DATA TARGET'!$D$2:$D998, ""Tidak Ditemukan"", 2), ""Tidak Ditemukan"")"),"Tidak Ditemukan")</f>
        <v>Tidak Ditemukan</v>
      </c>
      <c r="H124" s="17">
        <f t="shared" si="1"/>
        <v>123.56</v>
      </c>
      <c r="I124" s="8"/>
    </row>
    <row r="125">
      <c r="A125" s="10" t="s">
        <v>286</v>
      </c>
      <c r="B125" s="10" t="s">
        <v>287</v>
      </c>
      <c r="C125" s="10" t="s">
        <v>446</v>
      </c>
      <c r="D125" s="12" t="s">
        <v>446</v>
      </c>
      <c r="E125" s="13" t="s">
        <v>448</v>
      </c>
      <c r="F125" s="15">
        <f>IFERROR(__xludf.DUMMYFUNCTION("XLOOKUP($D125,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(AUTO)'!R6:R""))"),831.43)</f>
        <v>831.43</v>
      </c>
      <c r="G125" s="15">
        <f>IFERROR(__xludf.DUMMYFUNCTION("IFNA(XLOOKUP(""*""&amp;TRIM(REGEXREPLACE($D125, ""(?i)^(PT|CV)\.?\s+"", """"))&amp;""*"", 'DATA TARGET'!$C$2:$C998, 'DATA TARGET'!$D$2:$D998, ""Tidak Ditemukan"", 2), ""Tidak Ditemukan"")"),786.38)</f>
        <v>786.38</v>
      </c>
      <c r="H125" s="17">
        <f t="shared" si="1"/>
        <v>831.43</v>
      </c>
      <c r="I125" s="8"/>
    </row>
    <row r="126">
      <c r="A126" s="10" t="s">
        <v>286</v>
      </c>
      <c r="B126" s="10" t="s">
        <v>287</v>
      </c>
      <c r="C126" s="10" t="s">
        <v>450</v>
      </c>
      <c r="D126" s="12" t="s">
        <v>450</v>
      </c>
      <c r="E126" s="13" t="s">
        <v>451</v>
      </c>
      <c r="F126" s="15" t="str">
        <f>IFERROR(__xludf.DUMMYFUNCTION("XLOOKUP($D126,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26" s="15">
        <f>IFERROR(__xludf.DUMMYFUNCTION("IFNA(XLOOKUP(""*""&amp;TRIM(REGEXREPLACE($D126, ""(?i)^(PT|CV)\.?\s+"", """"))&amp;""*"", 'DATA TARGET'!$C$2:$C998, 'DATA TARGET'!$D$2:$D998, ""Tidak Ditemukan"", 2), ""Tidak Ditemukan"")"),0.0)</f>
        <v>0</v>
      </c>
      <c r="H126" s="17">
        <f t="shared" si="1"/>
        <v>0</v>
      </c>
      <c r="I126" s="8"/>
    </row>
    <row r="127">
      <c r="A127" s="10" t="s">
        <v>286</v>
      </c>
      <c r="B127" s="10" t="s">
        <v>287</v>
      </c>
      <c r="C127" s="10" t="s">
        <v>452</v>
      </c>
      <c r="D127" s="12" t="s">
        <v>452</v>
      </c>
      <c r="E127" s="13" t="s">
        <v>454</v>
      </c>
      <c r="F127" s="15">
        <f>IFERROR(__xludf.DUMMYFUNCTION("XLOOKUP($D127,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(AUTO)'!R6:R""))"),134.06)</f>
        <v>134.06</v>
      </c>
      <c r="G127" s="15">
        <f>IFERROR(__xludf.DUMMYFUNCTION("IFNA(XLOOKUP(""*""&amp;TRIM(REGEXREPLACE($D127, ""(?i)^(PT|CV)\.?\s+"", """"))&amp;""*"", 'DATA TARGET'!$C$2:$C998, 'DATA TARGET'!$D$2:$D998, ""Tidak Ditemukan"", 2), ""Tidak Ditemukan"")"),126.29)</f>
        <v>126.29</v>
      </c>
      <c r="H127" s="17">
        <f t="shared" si="1"/>
        <v>134.06</v>
      </c>
      <c r="I127" s="8"/>
    </row>
    <row r="128">
      <c r="A128" s="10" t="s">
        <v>286</v>
      </c>
      <c r="B128" s="10" t="s">
        <v>287</v>
      </c>
      <c r="C128" s="10" t="s">
        <v>455</v>
      </c>
      <c r="D128" s="12" t="s">
        <v>455</v>
      </c>
      <c r="E128" s="13" t="s">
        <v>457</v>
      </c>
      <c r="F128" s="15">
        <f>IFERROR(__xludf.DUMMYFUNCTION("XLOOKUP($D128,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(AUTO)'!R6:R""))"),1242.3)</f>
        <v>1242.3</v>
      </c>
      <c r="G128" s="15">
        <f>IFERROR(__xludf.DUMMYFUNCTION("IFNA(XLOOKUP(""*""&amp;TRIM(REGEXREPLACE($D128, ""(?i)^(PT|CV)\.?\s+"", """"))&amp;""*"", 'DATA TARGET'!$C$2:$C998, 'DATA TARGET'!$D$2:$D998, ""Tidak Ditemukan"", 2), ""Tidak Ditemukan"")"),677.77)</f>
        <v>677.77</v>
      </c>
      <c r="H128" s="17">
        <f t="shared" si="1"/>
        <v>1242.3</v>
      </c>
      <c r="I128" s="8"/>
    </row>
    <row r="129">
      <c r="A129" s="10" t="s">
        <v>286</v>
      </c>
      <c r="B129" s="10" t="s">
        <v>287</v>
      </c>
      <c r="C129" s="10" t="s">
        <v>458</v>
      </c>
      <c r="D129" s="12" t="s">
        <v>458</v>
      </c>
      <c r="E129" s="13" t="s">
        <v>459</v>
      </c>
      <c r="F129" s="15">
        <f>IFERROR(__xludf.DUMMYFUNCTION("XLOOKUP($D129,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(AUTO)'!R6:R""))"),7.21)</f>
        <v>7.21</v>
      </c>
      <c r="G129" s="15">
        <f>IFERROR(__xludf.DUMMYFUNCTION("IFNA(XLOOKUP(""*""&amp;TRIM(REGEXREPLACE($D129, ""(?i)^(PT|CV)\.?\s+"", """"))&amp;""*"", 'DATA TARGET'!$C$2:$C998, 'DATA TARGET'!$D$2:$D998, ""Tidak Ditemukan"", 2), ""Tidak Ditemukan"")"),12.65)</f>
        <v>12.65</v>
      </c>
      <c r="H129" s="17">
        <f t="shared" si="1"/>
        <v>7.21</v>
      </c>
      <c r="I129" s="8"/>
    </row>
    <row r="130">
      <c r="A130" s="10" t="s">
        <v>286</v>
      </c>
      <c r="B130" s="10" t="s">
        <v>287</v>
      </c>
      <c r="C130" s="10" t="s">
        <v>461</v>
      </c>
      <c r="D130" s="12" t="s">
        <v>461</v>
      </c>
      <c r="E130" s="13" t="s">
        <v>462</v>
      </c>
      <c r="F130" s="15">
        <f>IFERROR(__xludf.DUMMYFUNCTION("XLOOKUP($D130,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(AUTO)'!R6:R""))"),15.1)</f>
        <v>15.1</v>
      </c>
      <c r="G130" s="15">
        <f>IFERROR(__xludf.DUMMYFUNCTION("IFNA(XLOOKUP(""*""&amp;TRIM(REGEXREPLACE($D130, ""(?i)^(PT|CV)\.?\s+"", """"))&amp;""*"", 'DATA TARGET'!$C$2:$C998, 'DATA TARGET'!$D$2:$D998, ""Tidak Ditemukan"", 2), ""Tidak Ditemukan"")"),15.1)</f>
        <v>15.1</v>
      </c>
      <c r="H130" s="17">
        <f t="shared" si="1"/>
        <v>15.1</v>
      </c>
      <c r="I130" s="8"/>
    </row>
    <row r="131">
      <c r="A131" s="10" t="s">
        <v>286</v>
      </c>
      <c r="B131" s="10" t="s">
        <v>287</v>
      </c>
      <c r="C131" s="10" t="s">
        <v>464</v>
      </c>
      <c r="D131" s="12" t="s">
        <v>464</v>
      </c>
      <c r="E131" s="13" t="s">
        <v>465</v>
      </c>
      <c r="F131" s="15">
        <f>IFERROR(__xludf.DUMMYFUNCTION("XLOOKUP($D131,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(AUTO)'!R6:R""))"),13.68)</f>
        <v>13.68</v>
      </c>
      <c r="G131" s="15">
        <f>IFERROR(__xludf.DUMMYFUNCTION("IFNA(XLOOKUP(""*""&amp;TRIM(REGEXREPLACE($D131, ""(?i)^(PT|CV)\.?\s+"", """"))&amp;""*"", 'DATA TARGET'!$C$2:$C998, 'DATA TARGET'!$D$2:$D998, ""Tidak Ditemukan"", 2), ""Tidak Ditemukan"")"),13.68)</f>
        <v>13.68</v>
      </c>
      <c r="H131" s="17">
        <f t="shared" si="1"/>
        <v>13.68</v>
      </c>
      <c r="I131" s="8"/>
    </row>
    <row r="132">
      <c r="A132" s="10" t="s">
        <v>286</v>
      </c>
      <c r="B132" s="10" t="s">
        <v>287</v>
      </c>
      <c r="C132" s="10" t="s">
        <v>467</v>
      </c>
      <c r="D132" s="12" t="s">
        <v>467</v>
      </c>
      <c r="E132" s="13" t="s">
        <v>468</v>
      </c>
      <c r="F132" s="15">
        <f>IFERROR(__xludf.DUMMYFUNCTION("XLOOKUP($D132,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(AUTO)'!R6:R""))"),5.89)</f>
        <v>5.89</v>
      </c>
      <c r="G132" s="15">
        <f>IFERROR(__xludf.DUMMYFUNCTION("IFNA(XLOOKUP(""*""&amp;TRIM(REGEXREPLACE($D132, ""(?i)^(PT|CV)\.?\s+"", """"))&amp;""*"", 'DATA TARGET'!$C$2:$C998, 'DATA TARGET'!$D$2:$D998, ""Tidak Ditemukan"", 2), ""Tidak Ditemukan"")"),5.89)</f>
        <v>5.89</v>
      </c>
      <c r="H132" s="17">
        <f t="shared" si="1"/>
        <v>5.89</v>
      </c>
      <c r="I132" s="8"/>
    </row>
    <row r="133">
      <c r="A133" s="10" t="s">
        <v>286</v>
      </c>
      <c r="B133" s="10" t="s">
        <v>287</v>
      </c>
      <c r="C133" s="10" t="s">
        <v>470</v>
      </c>
      <c r="D133" s="12" t="s">
        <v>470</v>
      </c>
      <c r="E133" s="13" t="s">
        <v>471</v>
      </c>
      <c r="F133" s="15">
        <f>IFERROR(__xludf.DUMMYFUNCTION("XLOOKUP($D133,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(AUTO)'!R6:R""))"),270.3)</f>
        <v>270.3</v>
      </c>
      <c r="G133" s="15">
        <f>IFERROR(__xludf.DUMMYFUNCTION("IFNA(XLOOKUP(""*""&amp;TRIM(REGEXREPLACE($D133, ""(?i)^(PT|CV)\.?\s+"", """"))&amp;""*"", 'DATA TARGET'!$C$2:$C998, 'DATA TARGET'!$D$2:$D998, ""Tidak Ditemukan"", 2), ""Tidak Ditemukan"")"),481.2)</f>
        <v>481.2</v>
      </c>
      <c r="H133" s="17">
        <f t="shared" si="1"/>
        <v>270.3</v>
      </c>
      <c r="I133" s="8"/>
    </row>
    <row r="134">
      <c r="A134" s="10" t="s">
        <v>286</v>
      </c>
      <c r="B134" s="10" t="s">
        <v>287</v>
      </c>
      <c r="C134" s="10" t="s">
        <v>473</v>
      </c>
      <c r="D134" s="12" t="s">
        <v>473</v>
      </c>
      <c r="E134" s="13" t="s">
        <v>474</v>
      </c>
      <c r="F134" s="15">
        <f>IFERROR(__xludf.DUMMYFUNCTION("XLOOKUP($D134,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(AUTO)'!R6:R""))"),3.0)</f>
        <v>3</v>
      </c>
      <c r="G134" s="15">
        <f>IFERROR(__xludf.DUMMYFUNCTION("IFNA(XLOOKUP(""*""&amp;TRIM(REGEXREPLACE($D134, ""(?i)^(PT|CV)\.?\s+"", """"))&amp;""*"", 'DATA TARGET'!$C$2:$C998, 'DATA TARGET'!$D$2:$D998, ""Tidak Ditemukan"", 2), ""Tidak Ditemukan"")"),3.0)</f>
        <v>3</v>
      </c>
      <c r="H134" s="17">
        <f t="shared" si="1"/>
        <v>3</v>
      </c>
      <c r="I134" s="8"/>
    </row>
    <row r="135">
      <c r="A135" s="10" t="s">
        <v>286</v>
      </c>
      <c r="B135" s="10" t="s">
        <v>287</v>
      </c>
      <c r="C135" s="10" t="s">
        <v>477</v>
      </c>
      <c r="D135" s="12" t="s">
        <v>477</v>
      </c>
      <c r="E135" s="13" t="s">
        <v>478</v>
      </c>
      <c r="F135" s="15">
        <f>IFERROR(__xludf.DUMMYFUNCTION("XLOOKUP($D135,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(AUTO)'!R6:R""))"),6.59)</f>
        <v>6.59</v>
      </c>
      <c r="G135" s="15">
        <f>IFERROR(__xludf.DUMMYFUNCTION("IFNA(XLOOKUP(""*""&amp;TRIM(REGEXREPLACE($D135, ""(?i)^(PT|CV)\.?\s+"", """"))&amp;""*"", 'DATA TARGET'!$C$2:$C998, 'DATA TARGET'!$D$2:$D998, ""Tidak Ditemukan"", 2), ""Tidak Ditemukan"")"),6.59)</f>
        <v>6.59</v>
      </c>
      <c r="H135" s="17">
        <f t="shared" si="1"/>
        <v>6.59</v>
      </c>
      <c r="I135" s="8"/>
    </row>
    <row r="136">
      <c r="A136" s="10" t="s">
        <v>286</v>
      </c>
      <c r="B136" s="10" t="s">
        <v>287</v>
      </c>
      <c r="C136" s="10" t="s">
        <v>480</v>
      </c>
      <c r="D136" s="12" t="s">
        <v>480</v>
      </c>
      <c r="E136" s="13" t="s">
        <v>482</v>
      </c>
      <c r="F136" s="15">
        <f>IFERROR(__xludf.DUMMYFUNCTION("XLOOKUP($D136,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(AUTO)'!R6:R""))"),417.87)</f>
        <v>417.87</v>
      </c>
      <c r="G136" s="15">
        <f>IFERROR(__xludf.DUMMYFUNCTION("IFNA(XLOOKUP(""*""&amp;TRIM(REGEXREPLACE($D136, ""(?i)^(PT|CV)\.?\s+"", """"))&amp;""*"", 'DATA TARGET'!$C$2:$C998, 'DATA TARGET'!$D$2:$D998, ""Tidak Ditemukan"", 2), ""Tidak Ditemukan"")"),338.9)</f>
        <v>338.9</v>
      </c>
      <c r="H136" s="17">
        <f t="shared" si="1"/>
        <v>417.87</v>
      </c>
      <c r="I136" s="8"/>
    </row>
    <row r="137">
      <c r="A137" s="10" t="s">
        <v>286</v>
      </c>
      <c r="B137" s="10" t="s">
        <v>287</v>
      </c>
      <c r="C137" s="10" t="s">
        <v>483</v>
      </c>
      <c r="D137" s="12" t="s">
        <v>483</v>
      </c>
      <c r="E137" s="13" t="s">
        <v>484</v>
      </c>
      <c r="F137" s="15">
        <f>IFERROR(__xludf.DUMMYFUNCTION("XLOOKUP($D137,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(AUTO)'!R6:R""))"),348.88)</f>
        <v>348.88</v>
      </c>
      <c r="G137" s="15">
        <f>IFERROR(__xludf.DUMMYFUNCTION("IFNA(XLOOKUP(""*""&amp;TRIM(REGEXREPLACE($D137, ""(?i)^(PT|CV)\.?\s+"", """"))&amp;""*"", 'DATA TARGET'!$C$2:$C998, 'DATA TARGET'!$D$2:$D998, ""Tidak Ditemukan"", 2), ""Tidak Ditemukan"")"),306.0)</f>
        <v>306</v>
      </c>
      <c r="H137" s="17">
        <f t="shared" si="1"/>
        <v>348.88</v>
      </c>
      <c r="I137" s="8"/>
    </row>
    <row r="138">
      <c r="A138" s="10" t="s">
        <v>286</v>
      </c>
      <c r="B138" s="10" t="s">
        <v>287</v>
      </c>
      <c r="C138" s="10" t="s">
        <v>487</v>
      </c>
      <c r="D138" s="12" t="s">
        <v>487</v>
      </c>
      <c r="E138" s="13" t="s">
        <v>488</v>
      </c>
      <c r="F138" s="15">
        <f>IFERROR(__xludf.DUMMYFUNCTION("XLOOKUP($D138,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(AUTO)'!R6:R""))"),7.0)</f>
        <v>7</v>
      </c>
      <c r="G138" s="15">
        <f>IFERROR(__xludf.DUMMYFUNCTION("IFNA(XLOOKUP(""*""&amp;TRIM(REGEXREPLACE($D138, ""(?i)^(PT|CV)\.?\s+"", """"))&amp;""*"", 'DATA TARGET'!$C$2:$C998, 'DATA TARGET'!$D$2:$D998, ""Tidak Ditemukan"", 2), ""Tidak Ditemukan"")"),7.0)</f>
        <v>7</v>
      </c>
      <c r="H138" s="17">
        <f t="shared" si="1"/>
        <v>7</v>
      </c>
      <c r="I138" s="8"/>
    </row>
    <row r="139">
      <c r="A139" s="10" t="s">
        <v>286</v>
      </c>
      <c r="B139" s="10" t="s">
        <v>287</v>
      </c>
      <c r="C139" s="10" t="s">
        <v>490</v>
      </c>
      <c r="D139" s="12" t="s">
        <v>490</v>
      </c>
      <c r="E139" s="13" t="s">
        <v>492</v>
      </c>
      <c r="F139" s="15">
        <f>IFERROR(__xludf.DUMMYFUNCTION("XLOOKUP($D139,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(AUTO)'!R6:R""))"),362.94)</f>
        <v>362.94</v>
      </c>
      <c r="G139" s="15">
        <f>IFERROR(__xludf.DUMMYFUNCTION("IFNA(XLOOKUP(""*""&amp;TRIM(REGEXREPLACE($D139, ""(?i)^(PT|CV)\.?\s+"", """"))&amp;""*"", 'DATA TARGET'!$C$2:$C998, 'DATA TARGET'!$D$2:$D998, ""Tidak Ditemukan"", 2), ""Tidak Ditemukan"")"),265.0)</f>
        <v>265</v>
      </c>
      <c r="H139" s="17">
        <f t="shared" si="1"/>
        <v>362.94</v>
      </c>
      <c r="I139" s="8"/>
    </row>
    <row r="140">
      <c r="A140" s="10" t="s">
        <v>286</v>
      </c>
      <c r="B140" s="10" t="s">
        <v>287</v>
      </c>
      <c r="C140" s="10" t="s">
        <v>493</v>
      </c>
      <c r="D140" s="12" t="s">
        <v>493</v>
      </c>
      <c r="E140" s="13" t="s">
        <v>494</v>
      </c>
      <c r="F140" s="15">
        <f>IFERROR(__xludf.DUMMYFUNCTION("XLOOKUP($D140,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(AUTO)'!R6:R""))"),99.45)</f>
        <v>99.45</v>
      </c>
      <c r="G140" s="15">
        <f>IFERROR(__xludf.DUMMYFUNCTION("IFNA(XLOOKUP(""*""&amp;TRIM(REGEXREPLACE($D140, ""(?i)^(PT|CV)\.?\s+"", """"))&amp;""*"", 'DATA TARGET'!$C$2:$C998, 'DATA TARGET'!$D$2:$D998, ""Tidak Ditemukan"", 2), ""Tidak Ditemukan"")"),99.45)</f>
        <v>99.45</v>
      </c>
      <c r="H140" s="17">
        <f t="shared" si="1"/>
        <v>99.45</v>
      </c>
      <c r="I140" s="8"/>
    </row>
    <row r="141">
      <c r="A141" s="10" t="s">
        <v>286</v>
      </c>
      <c r="B141" s="10" t="s">
        <v>287</v>
      </c>
      <c r="C141" s="10" t="s">
        <v>496</v>
      </c>
      <c r="D141" s="12" t="s">
        <v>496</v>
      </c>
      <c r="E141" s="13" t="s">
        <v>497</v>
      </c>
      <c r="F141" s="15">
        <f>IFERROR(__xludf.DUMMYFUNCTION("XLOOKUP($D141,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(AUTO)'!R6:R""))"),282.82)</f>
        <v>282.82</v>
      </c>
      <c r="G141" s="15">
        <f>IFERROR(__xludf.DUMMYFUNCTION("IFNA(XLOOKUP(""*""&amp;TRIM(REGEXREPLACE($D141, ""(?i)^(PT|CV)\.?\s+"", """"))&amp;""*"", 'DATA TARGET'!$C$2:$C998, 'DATA TARGET'!$D$2:$D998, ""Tidak Ditemukan"", 2), ""Tidak Ditemukan"")"),80.0)</f>
        <v>80</v>
      </c>
      <c r="H141" s="17">
        <f t="shared" si="1"/>
        <v>282.82</v>
      </c>
      <c r="I141" s="8"/>
    </row>
    <row r="142">
      <c r="A142" s="10" t="s">
        <v>286</v>
      </c>
      <c r="B142" s="10" t="s">
        <v>287</v>
      </c>
      <c r="C142" s="10" t="s">
        <v>500</v>
      </c>
      <c r="D142" s="12" t="s">
        <v>500</v>
      </c>
      <c r="E142" s="13" t="s">
        <v>501</v>
      </c>
      <c r="F142" s="15">
        <f>IFERROR(__xludf.DUMMYFUNCTION("XLOOKUP($D142,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(AUTO)'!R6:R""))"),91.72)</f>
        <v>91.72</v>
      </c>
      <c r="G142" s="15">
        <f>IFERROR(__xludf.DUMMYFUNCTION("IFNA(XLOOKUP(""*""&amp;TRIM(REGEXREPLACE($D142, ""(?i)^(PT|CV)\.?\s+"", """"))&amp;""*"", 'DATA TARGET'!$C$2:$C998, 'DATA TARGET'!$D$2:$D998, ""Tidak Ditemukan"", 2), ""Tidak Ditemukan"")"),91.72)</f>
        <v>91.72</v>
      </c>
      <c r="H142" s="17">
        <f t="shared" si="1"/>
        <v>91.72</v>
      </c>
      <c r="I142" s="8"/>
    </row>
    <row r="143">
      <c r="A143" s="10" t="s">
        <v>286</v>
      </c>
      <c r="B143" s="10" t="s">
        <v>287</v>
      </c>
      <c r="C143" s="10" t="s">
        <v>503</v>
      </c>
      <c r="D143" s="12" t="s">
        <v>503</v>
      </c>
      <c r="E143" s="13" t="s">
        <v>504</v>
      </c>
      <c r="F143" s="15">
        <f>IFERROR(__xludf.DUMMYFUNCTION("XLOOKUP($D143,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(AUTO)'!R6:R""))"),54.37)</f>
        <v>54.37</v>
      </c>
      <c r="G143" s="15">
        <f>IFERROR(__xludf.DUMMYFUNCTION("IFNA(XLOOKUP(""*""&amp;TRIM(REGEXREPLACE($D143, ""(?i)^(PT|CV)\.?\s+"", """"))&amp;""*"", 'DATA TARGET'!$C$2:$C998, 'DATA TARGET'!$D$2:$D998, ""Tidak Ditemukan"", 2), ""Tidak Ditemukan"")"),47.19)</f>
        <v>47.19</v>
      </c>
      <c r="H143" s="17">
        <f t="shared" si="1"/>
        <v>54.37</v>
      </c>
      <c r="I143" s="8"/>
    </row>
    <row r="144">
      <c r="A144" s="10" t="s">
        <v>286</v>
      </c>
      <c r="B144" s="10" t="s">
        <v>287</v>
      </c>
      <c r="C144" s="10" t="s">
        <v>506</v>
      </c>
      <c r="D144" s="12" t="s">
        <v>506</v>
      </c>
      <c r="E144" s="13" t="s">
        <v>507</v>
      </c>
      <c r="F144" s="15">
        <f>IFERROR(__xludf.DUMMYFUNCTION("XLOOKUP($D144,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(AUTO)'!R6:R""))"),504.45)</f>
        <v>504.45</v>
      </c>
      <c r="G144" s="15">
        <f>IFERROR(__xludf.DUMMYFUNCTION("IFNA(XLOOKUP(""*""&amp;TRIM(REGEXREPLACE($D144, ""(?i)^(PT|CV)\.?\s+"", """"))&amp;""*"", 'DATA TARGET'!$C$2:$C998, 'DATA TARGET'!$D$2:$D998, ""Tidak Ditemukan"", 2), ""Tidak Ditemukan"")"),467.81)</f>
        <v>467.81</v>
      </c>
      <c r="H144" s="17">
        <f t="shared" si="1"/>
        <v>504.45</v>
      </c>
      <c r="I144" s="8"/>
    </row>
    <row r="145">
      <c r="A145" s="10" t="s">
        <v>286</v>
      </c>
      <c r="B145" s="10" t="s">
        <v>287</v>
      </c>
      <c r="C145" s="10" t="s">
        <v>509</v>
      </c>
      <c r="D145" s="12" t="s">
        <v>509</v>
      </c>
      <c r="E145" s="13" t="s">
        <v>510</v>
      </c>
      <c r="F145" s="15">
        <f>IFERROR(__xludf.DUMMYFUNCTION("XLOOKUP($D145,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(AUTO)'!R6:R""))"),180.0)</f>
        <v>180</v>
      </c>
      <c r="G145" s="15">
        <f>IFERROR(__xludf.DUMMYFUNCTION("IFNA(XLOOKUP(""*""&amp;TRIM(REGEXREPLACE($D145, ""(?i)^(PT|CV)\.?\s+"", """"))&amp;""*"", 'DATA TARGET'!$C$2:$C998, 'DATA TARGET'!$D$2:$D998, ""Tidak Ditemukan"", 2), ""Tidak Ditemukan"")"),180.0)</f>
        <v>180</v>
      </c>
      <c r="H145" s="17">
        <f t="shared" si="1"/>
        <v>180</v>
      </c>
      <c r="I145" s="8"/>
    </row>
    <row r="146">
      <c r="A146" s="10" t="s">
        <v>286</v>
      </c>
      <c r="B146" s="10" t="s">
        <v>287</v>
      </c>
      <c r="C146" s="10" t="s">
        <v>513</v>
      </c>
      <c r="D146" s="12" t="s">
        <v>513</v>
      </c>
      <c r="E146" s="13" t="s">
        <v>514</v>
      </c>
      <c r="F146" s="15">
        <f>IFERROR(__xludf.DUMMYFUNCTION("XLOOKUP($D146,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(AUTO)'!R6:R""))"),13491.17)</f>
        <v>13491.17</v>
      </c>
      <c r="G146" s="15">
        <f>IFERROR(__xludf.DUMMYFUNCTION("IFNA(XLOOKUP(""*""&amp;TRIM(REGEXREPLACE($D146, ""(?i)^(PT|CV)\.?\s+"", """"))&amp;""*"", 'DATA TARGET'!$C$2:$C998, 'DATA TARGET'!$D$2:$D998, ""Tidak Ditemukan"", 2), ""Tidak Ditemukan"")"),6747.0)</f>
        <v>6747</v>
      </c>
      <c r="H146" s="17">
        <f t="shared" si="1"/>
        <v>13491.17</v>
      </c>
      <c r="I146" s="8"/>
    </row>
    <row r="147">
      <c r="A147" s="10" t="s">
        <v>286</v>
      </c>
      <c r="B147" s="10" t="s">
        <v>287</v>
      </c>
      <c r="C147" s="10" t="s">
        <v>517</v>
      </c>
      <c r="D147" s="12" t="s">
        <v>517</v>
      </c>
      <c r="E147" s="13" t="s">
        <v>518</v>
      </c>
      <c r="F147" s="15">
        <f>IFERROR(__xludf.DUMMYFUNCTION("XLOOKUP($D147,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(AUTO)'!R6:R""))"),75.55)</f>
        <v>75.55</v>
      </c>
      <c r="G147" s="15">
        <f>IFERROR(__xludf.DUMMYFUNCTION("IFNA(XLOOKUP(""*""&amp;TRIM(REGEXREPLACE($D147, ""(?i)^(PT|CV)\.?\s+"", """"))&amp;""*"", 'DATA TARGET'!$C$2:$C998, 'DATA TARGET'!$D$2:$D998, ""Tidak Ditemukan"", 2), ""Tidak Ditemukan"")"),83.0)</f>
        <v>83</v>
      </c>
      <c r="H147" s="17">
        <f t="shared" si="1"/>
        <v>75.55</v>
      </c>
      <c r="I147" s="8"/>
    </row>
    <row r="148">
      <c r="A148" s="10" t="s">
        <v>286</v>
      </c>
      <c r="B148" s="10" t="s">
        <v>287</v>
      </c>
      <c r="C148" s="10" t="s">
        <v>520</v>
      </c>
      <c r="D148" s="12" t="s">
        <v>520</v>
      </c>
      <c r="E148" s="13" t="s">
        <v>521</v>
      </c>
      <c r="F148" s="15">
        <f>IFERROR(__xludf.DUMMYFUNCTION("XLOOKUP($D148,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(AUTO)'!R6:R""))"),1564.54)</f>
        <v>1564.54</v>
      </c>
      <c r="G148" s="15">
        <f>IFERROR(__xludf.DUMMYFUNCTION("IFNA(XLOOKUP(""*""&amp;TRIM(REGEXREPLACE($D148, ""(?i)^(PT|CV)\.?\s+"", """"))&amp;""*"", 'DATA TARGET'!$C$2:$C998, 'DATA TARGET'!$D$2:$D998, ""Tidak Ditemukan"", 2), ""Tidak Ditemukan"")"),1473.47)</f>
        <v>1473.47</v>
      </c>
      <c r="H148" s="17">
        <f t="shared" si="1"/>
        <v>1564.54</v>
      </c>
      <c r="I148" s="8"/>
    </row>
    <row r="149">
      <c r="A149" s="10" t="s">
        <v>286</v>
      </c>
      <c r="B149" s="10" t="s">
        <v>287</v>
      </c>
      <c r="C149" s="10" t="s">
        <v>523</v>
      </c>
      <c r="D149" s="12" t="s">
        <v>523</v>
      </c>
      <c r="E149" s="13" t="s">
        <v>524</v>
      </c>
      <c r="F149" s="15">
        <f>IFERROR(__xludf.DUMMYFUNCTION("XLOOKUP($D149,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(AUTO)'!R6:R""))"),420.0)</f>
        <v>420</v>
      </c>
      <c r="G149" s="15">
        <f>IFERROR(__xludf.DUMMYFUNCTION("IFNA(XLOOKUP(""*""&amp;TRIM(REGEXREPLACE($D149, ""(?i)^(PT|CV)\.?\s+"", """"))&amp;""*"", 'DATA TARGET'!$C$2:$C998, 'DATA TARGET'!$D$2:$D998, ""Tidak Ditemukan"", 2), ""Tidak Ditemukan"")"),50.74)</f>
        <v>50.74</v>
      </c>
      <c r="H149" s="17">
        <f t="shared" si="1"/>
        <v>420</v>
      </c>
      <c r="I149" s="8"/>
    </row>
    <row r="150">
      <c r="A150" s="10" t="s">
        <v>286</v>
      </c>
      <c r="B150" s="10" t="s">
        <v>287</v>
      </c>
      <c r="C150" s="10" t="s">
        <v>527</v>
      </c>
      <c r="D150" s="12" t="s">
        <v>527</v>
      </c>
      <c r="E150" s="13" t="s">
        <v>528</v>
      </c>
      <c r="F150" s="15">
        <f>IFERROR(__xludf.DUMMYFUNCTION("XLOOKUP($D150,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(AUTO)'!R6:R""))"),602.31)</f>
        <v>602.31</v>
      </c>
      <c r="G150" s="15" t="str">
        <f>IFERROR(__xludf.DUMMYFUNCTION("IFNA(XLOOKUP(""*""&amp;TRIM(REGEXREPLACE($D150, ""(?i)^(PT|CV)\.?\s+"", """"))&amp;""*"", 'DATA TARGET'!$C$2:$C998, 'DATA TARGET'!$D$2:$D998, ""Tidak Ditemukan"", 2), ""Tidak Ditemukan"")"),"Tidak Ditemukan")</f>
        <v>Tidak Ditemukan</v>
      </c>
      <c r="H150" s="17">
        <f t="shared" si="1"/>
        <v>602.31</v>
      </c>
      <c r="I150" s="8"/>
    </row>
    <row r="151">
      <c r="A151" s="10" t="s">
        <v>286</v>
      </c>
      <c r="B151" s="10" t="s">
        <v>287</v>
      </c>
      <c r="C151" s="10" t="s">
        <v>529</v>
      </c>
      <c r="D151" s="12" t="s">
        <v>529</v>
      </c>
      <c r="E151" s="13" t="s">
        <v>531</v>
      </c>
      <c r="F151" s="15">
        <f>IFERROR(__xludf.DUMMYFUNCTION("XLOOKUP($D151,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(AUTO)'!R6:R""))"),736.06)</f>
        <v>736.06</v>
      </c>
      <c r="G151" s="15">
        <f>IFERROR(__xludf.DUMMYFUNCTION("IFNA(XLOOKUP(""*""&amp;TRIM(REGEXREPLACE($D151, ""(?i)^(PT|CV)\.?\s+"", """"))&amp;""*"", 'DATA TARGET'!$C$2:$C998, 'DATA TARGET'!$D$2:$D998, ""Tidak Ditemukan"", 2), ""Tidak Ditemukan"")"),736.06)</f>
        <v>736.06</v>
      </c>
      <c r="H151" s="17">
        <f t="shared" si="1"/>
        <v>736.06</v>
      </c>
      <c r="I151" s="8"/>
    </row>
    <row r="152">
      <c r="A152" s="10" t="s">
        <v>286</v>
      </c>
      <c r="B152" s="10" t="s">
        <v>287</v>
      </c>
      <c r="C152" s="10" t="s">
        <v>532</v>
      </c>
      <c r="D152" s="12" t="s">
        <v>532</v>
      </c>
      <c r="E152" s="13" t="s">
        <v>533</v>
      </c>
      <c r="F152" s="15">
        <f>IFERROR(__xludf.DUMMYFUNCTION("XLOOKUP($D152,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(AUTO)'!R6:R""))"),1988.0)</f>
        <v>1988</v>
      </c>
      <c r="G152" s="15">
        <f>IFERROR(__xludf.DUMMYFUNCTION("IFNA(XLOOKUP(""*""&amp;TRIM(REGEXREPLACE($D152, ""(?i)^(PT|CV)\.?\s+"", """"))&amp;""*"", 'DATA TARGET'!$C$2:$C998, 'DATA TARGET'!$D$2:$D998, ""Tidak Ditemukan"", 2), ""Tidak Ditemukan"")"),1988.0)</f>
        <v>1988</v>
      </c>
      <c r="H152" s="17">
        <f t="shared" si="1"/>
        <v>1988</v>
      </c>
      <c r="I152" s="8"/>
    </row>
    <row r="153">
      <c r="A153" s="10" t="s">
        <v>286</v>
      </c>
      <c r="B153" s="10" t="s">
        <v>287</v>
      </c>
      <c r="C153" s="10" t="s">
        <v>535</v>
      </c>
      <c r="D153" s="12" t="s">
        <v>535</v>
      </c>
      <c r="E153" s="13" t="s">
        <v>537</v>
      </c>
      <c r="F153" s="15">
        <f>IFERROR(__xludf.DUMMYFUNCTION("XLOOKUP($D153,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(AUTO)'!R6:R""))"),107.34)</f>
        <v>107.34</v>
      </c>
      <c r="G153" s="15">
        <f>IFERROR(__xludf.DUMMYFUNCTION("IFNA(XLOOKUP(""*""&amp;TRIM(REGEXREPLACE($D153, ""(?i)^(PT|CV)\.?\s+"", """"))&amp;""*"", 'DATA TARGET'!$C$2:$C998, 'DATA TARGET'!$D$2:$D998, ""Tidak Ditemukan"", 2), ""Tidak Ditemukan"")"),73.0)</f>
        <v>73</v>
      </c>
      <c r="H153" s="17">
        <f t="shared" si="1"/>
        <v>107.34</v>
      </c>
      <c r="I153" s="8"/>
    </row>
    <row r="154">
      <c r="A154" s="10" t="s">
        <v>286</v>
      </c>
      <c r="B154" s="10" t="s">
        <v>287</v>
      </c>
      <c r="C154" s="10" t="s">
        <v>538</v>
      </c>
      <c r="D154" s="12" t="s">
        <v>538</v>
      </c>
      <c r="E154" s="13" t="s">
        <v>539</v>
      </c>
      <c r="F154" s="15" t="str">
        <f>IFERROR(__xludf.DUMMYFUNCTION("XLOOKUP($D154,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54" s="15">
        <f>IFERROR(__xludf.DUMMYFUNCTION("IFNA(XLOOKUP(""*""&amp;TRIM(REGEXREPLACE($D154, ""(?i)^(PT|CV)\.?\s+"", """"))&amp;""*"", 'DATA TARGET'!$C$2:$C998, 'DATA TARGET'!$D$2:$D998, ""Tidak Ditemukan"", 2), ""Tidak Ditemukan"")"),0.0)</f>
        <v>0</v>
      </c>
      <c r="H154" s="17">
        <f t="shared" si="1"/>
        <v>0</v>
      </c>
      <c r="I154" s="8"/>
    </row>
    <row r="155">
      <c r="A155" s="10" t="s">
        <v>286</v>
      </c>
      <c r="B155" s="10" t="s">
        <v>287</v>
      </c>
      <c r="C155" s="10" t="s">
        <v>541</v>
      </c>
      <c r="D155" s="12" t="s">
        <v>541</v>
      </c>
      <c r="E155" s="13" t="s">
        <v>542</v>
      </c>
      <c r="F155" s="15" t="str">
        <f>IFERROR(__xludf.DUMMYFUNCTION("XLOOKUP($D155,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55" s="15">
        <f>IFERROR(__xludf.DUMMYFUNCTION("IFNA(XLOOKUP(""*""&amp;TRIM(REGEXREPLACE($D155, ""(?i)^(PT|CV)\.?\s+"", """"))&amp;""*"", 'DATA TARGET'!$C$2:$C998, 'DATA TARGET'!$D$2:$D998, ""Tidak Ditemukan"", 2), ""Tidak Ditemukan"")"),0.0)</f>
        <v>0</v>
      </c>
      <c r="H155" s="17">
        <f t="shared" si="1"/>
        <v>0</v>
      </c>
      <c r="I155" s="8"/>
    </row>
    <row r="156">
      <c r="A156" s="10" t="s">
        <v>286</v>
      </c>
      <c r="B156" s="10" t="s">
        <v>287</v>
      </c>
      <c r="C156" s="10" t="s">
        <v>544</v>
      </c>
      <c r="D156" s="12" t="s">
        <v>544</v>
      </c>
      <c r="E156" s="13" t="s">
        <v>545</v>
      </c>
      <c r="F156" s="15">
        <f>IFERROR(__xludf.DUMMYFUNCTION("XLOOKUP($D156,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(AUTO)'!R6:R""))"),46.44)</f>
        <v>46.44</v>
      </c>
      <c r="G156" s="15">
        <f>IFERROR(__xludf.DUMMYFUNCTION("IFNA(XLOOKUP(""*""&amp;TRIM(REGEXREPLACE($D156, ""(?i)^(PT|CV)\.?\s+"", """"))&amp;""*"", 'DATA TARGET'!$C$2:$C998, 'DATA TARGET'!$D$2:$D998, ""Tidak Ditemukan"", 2), ""Tidak Ditemukan"")"),46.44)</f>
        <v>46.44</v>
      </c>
      <c r="H156" s="17">
        <f t="shared" si="1"/>
        <v>46.44</v>
      </c>
      <c r="I156" s="8"/>
    </row>
    <row r="157">
      <c r="A157" s="10" t="s">
        <v>286</v>
      </c>
      <c r="B157" s="10" t="s">
        <v>287</v>
      </c>
      <c r="C157" s="10" t="s">
        <v>547</v>
      </c>
      <c r="D157" s="12" t="s">
        <v>547</v>
      </c>
      <c r="E157" s="13" t="s">
        <v>548</v>
      </c>
      <c r="F157" s="15">
        <f>IFERROR(__xludf.DUMMYFUNCTION("XLOOKUP($D157,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(AUTO)'!R6:R""))"),1008.4)</f>
        <v>1008.4</v>
      </c>
      <c r="G157" s="15">
        <f>IFERROR(__xludf.DUMMYFUNCTION("IFNA(XLOOKUP(""*""&amp;TRIM(REGEXREPLACE($D157, ""(?i)^(PT|CV)\.?\s+"", """"))&amp;""*"", 'DATA TARGET'!$C$2:$C998, 'DATA TARGET'!$D$2:$D998, ""Tidak Ditemukan"", 2), ""Tidak Ditemukan"")"),806.56)</f>
        <v>806.56</v>
      </c>
      <c r="H157" s="17">
        <f t="shared" si="1"/>
        <v>1008.4</v>
      </c>
      <c r="I157" s="8"/>
    </row>
    <row r="158">
      <c r="A158" s="10" t="s">
        <v>286</v>
      </c>
      <c r="B158" s="10" t="s">
        <v>287</v>
      </c>
      <c r="C158" s="10" t="s">
        <v>550</v>
      </c>
      <c r="D158" s="12" t="s">
        <v>550</v>
      </c>
      <c r="E158" s="13" t="s">
        <v>552</v>
      </c>
      <c r="F158" s="15">
        <f>IFERROR(__xludf.DUMMYFUNCTION("XLOOKUP($D158,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(AUTO)'!R6:R""))"),166.98)</f>
        <v>166.98</v>
      </c>
      <c r="G158" s="15">
        <f>IFERROR(__xludf.DUMMYFUNCTION("IFNA(XLOOKUP(""*""&amp;TRIM(REGEXREPLACE($D158, ""(?i)^(PT|CV)\.?\s+"", """"))&amp;""*"", 'DATA TARGET'!$C$2:$C998, 'DATA TARGET'!$D$2:$D998, ""Tidak Ditemukan"", 2), ""Tidak Ditemukan"")"),165.79)</f>
        <v>165.79</v>
      </c>
      <c r="H158" s="17">
        <f t="shared" si="1"/>
        <v>166.98</v>
      </c>
      <c r="I158" s="8"/>
    </row>
    <row r="159">
      <c r="A159" s="10" t="s">
        <v>286</v>
      </c>
      <c r="B159" s="10" t="s">
        <v>287</v>
      </c>
      <c r="C159" s="10" t="s">
        <v>556</v>
      </c>
      <c r="D159" s="12" t="s">
        <v>556</v>
      </c>
      <c r="E159" s="13" t="s">
        <v>557</v>
      </c>
      <c r="F159" s="15" t="str">
        <f>IFERROR(__xludf.DUMMYFUNCTION("XLOOKUP($D159,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59" s="15">
        <f>IFERROR(__xludf.DUMMYFUNCTION("IFNA(XLOOKUP(""*""&amp;TRIM(REGEXREPLACE($D159, ""(?i)^(PT|CV)\.?\s+"", """"))&amp;""*"", 'DATA TARGET'!$C$2:$C998, 'DATA TARGET'!$D$2:$D998, ""Tidak Ditemukan"", 2), ""Tidak Ditemukan"")"),0.0)</f>
        <v>0</v>
      </c>
      <c r="H159" s="17">
        <f t="shared" si="1"/>
        <v>0</v>
      </c>
      <c r="I159" s="8"/>
    </row>
    <row r="160">
      <c r="A160" s="10" t="s">
        <v>286</v>
      </c>
      <c r="B160" s="10" t="s">
        <v>287</v>
      </c>
      <c r="C160" s="10" t="s">
        <v>559</v>
      </c>
      <c r="D160" s="12" t="s">
        <v>559</v>
      </c>
      <c r="E160" s="13" t="s">
        <v>560</v>
      </c>
      <c r="F160" s="15">
        <f>IFERROR(__xludf.DUMMYFUNCTION("XLOOKUP($D160,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(AUTO)'!R6:R""))"),30.3)</f>
        <v>30.3</v>
      </c>
      <c r="G160" s="15">
        <f>IFERROR(__xludf.DUMMYFUNCTION("IFNA(XLOOKUP(""*""&amp;TRIM(REGEXREPLACE($D160, ""(?i)^(PT|CV)\.?\s+"", """"))&amp;""*"", 'DATA TARGET'!$C$2:$C998, 'DATA TARGET'!$D$2:$D998, ""Tidak Ditemukan"", 2), ""Tidak Ditemukan"")"),30.3)</f>
        <v>30.3</v>
      </c>
      <c r="H160" s="17">
        <f t="shared" si="1"/>
        <v>30.3</v>
      </c>
      <c r="I160" s="8"/>
    </row>
    <row r="161">
      <c r="A161" s="10" t="s">
        <v>286</v>
      </c>
      <c r="B161" s="10" t="s">
        <v>287</v>
      </c>
      <c r="C161" s="10" t="s">
        <v>562</v>
      </c>
      <c r="D161" s="12" t="s">
        <v>562</v>
      </c>
      <c r="E161" s="13" t="s">
        <v>563</v>
      </c>
      <c r="F161" s="15">
        <f>IFERROR(__xludf.DUMMYFUNCTION("XLOOKUP($D161,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(AUTO)'!R6:R""))"),4.21)</f>
        <v>4.21</v>
      </c>
      <c r="G161" s="15">
        <f>IFERROR(__xludf.DUMMYFUNCTION("IFNA(XLOOKUP(""*""&amp;TRIM(REGEXREPLACE($D161, ""(?i)^(PT|CV)\.?\s+"", """"))&amp;""*"", 'DATA TARGET'!$C$2:$C998, 'DATA TARGET'!$D$2:$D998, ""Tidak Ditemukan"", 2), ""Tidak Ditemukan"")"),4.21)</f>
        <v>4.21</v>
      </c>
      <c r="H161" s="17">
        <f t="shared" si="1"/>
        <v>4.21</v>
      </c>
      <c r="I161" s="8"/>
    </row>
    <row r="162">
      <c r="A162" s="10" t="s">
        <v>286</v>
      </c>
      <c r="B162" s="10" t="s">
        <v>287</v>
      </c>
      <c r="C162" s="10" t="s">
        <v>565</v>
      </c>
      <c r="D162" s="12" t="s">
        <v>565</v>
      </c>
      <c r="E162" s="13" t="s">
        <v>566</v>
      </c>
      <c r="F162" s="15">
        <f>IFERROR(__xludf.DUMMYFUNCTION("XLOOKUP($D162,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(AUTO)'!R6:R""))"),150.0)</f>
        <v>150</v>
      </c>
      <c r="G162" s="15">
        <f>IFERROR(__xludf.DUMMYFUNCTION("IFNA(XLOOKUP(""*""&amp;TRIM(REGEXREPLACE($D162, ""(?i)^(PT|CV)\.?\s+"", """"))&amp;""*"", 'DATA TARGET'!$C$2:$C998, 'DATA TARGET'!$D$2:$D998, ""Tidak Ditemukan"", 2), ""Tidak Ditemukan"")"),150.0)</f>
        <v>150</v>
      </c>
      <c r="H162" s="17">
        <f t="shared" si="1"/>
        <v>150</v>
      </c>
      <c r="I162" s="8"/>
    </row>
    <row r="163">
      <c r="A163" s="10" t="s">
        <v>286</v>
      </c>
      <c r="B163" s="10" t="s">
        <v>287</v>
      </c>
      <c r="C163" s="10" t="s">
        <v>568</v>
      </c>
      <c r="D163" s="12" t="s">
        <v>568</v>
      </c>
      <c r="E163" s="13" t="s">
        <v>569</v>
      </c>
      <c r="F163" s="15">
        <f>IFERROR(__xludf.DUMMYFUNCTION("XLOOKUP($D163,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(AUTO)'!R6:R""))"),148.53)</f>
        <v>148.53</v>
      </c>
      <c r="G163" s="15">
        <f>IFERROR(__xludf.DUMMYFUNCTION("IFNA(XLOOKUP(""*""&amp;TRIM(REGEXREPLACE($D163, ""(?i)^(PT|CV)\.?\s+"", """"))&amp;""*"", 'DATA TARGET'!$C$2:$C998, 'DATA TARGET'!$D$2:$D998, ""Tidak Ditemukan"", 2), ""Tidak Ditemukan"")"),118.68)</f>
        <v>118.68</v>
      </c>
      <c r="H163" s="17">
        <f t="shared" si="1"/>
        <v>148.53</v>
      </c>
      <c r="I163" s="8"/>
    </row>
    <row r="164">
      <c r="A164" s="10" t="s">
        <v>286</v>
      </c>
      <c r="B164" s="10" t="s">
        <v>287</v>
      </c>
      <c r="C164" s="10" t="s">
        <v>571</v>
      </c>
      <c r="D164" s="12" t="s">
        <v>571</v>
      </c>
      <c r="E164" s="13" t="s">
        <v>572</v>
      </c>
      <c r="F164" s="15">
        <f>IFERROR(__xludf.DUMMYFUNCTION("XLOOKUP($D164,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(AUTO)'!R6:R""))"),104.65)</f>
        <v>104.65</v>
      </c>
      <c r="G164" s="15">
        <f>IFERROR(__xludf.DUMMYFUNCTION("IFNA(XLOOKUP(""*""&amp;TRIM(REGEXREPLACE($D164, ""(?i)^(PT|CV)\.?\s+"", """"))&amp;""*"", 'DATA TARGET'!$C$2:$C998, 'DATA TARGET'!$D$2:$D998, ""Tidak Ditemukan"", 2), ""Tidak Ditemukan"")"),104.65)</f>
        <v>104.65</v>
      </c>
      <c r="H164" s="17">
        <f t="shared" si="1"/>
        <v>104.65</v>
      </c>
      <c r="I164" s="8"/>
    </row>
    <row r="165">
      <c r="A165" s="10" t="s">
        <v>286</v>
      </c>
      <c r="B165" s="10" t="s">
        <v>287</v>
      </c>
      <c r="C165" s="10" t="s">
        <v>574</v>
      </c>
      <c r="D165" s="12" t="s">
        <v>574</v>
      </c>
      <c r="E165" s="13" t="s">
        <v>577</v>
      </c>
      <c r="F165" s="15">
        <f>IFERROR(__xludf.DUMMYFUNCTION("XLOOKUP($D165,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(AUTO)'!R6:R""))"),734.0)</f>
        <v>734</v>
      </c>
      <c r="G165" s="15">
        <f>IFERROR(__xludf.DUMMYFUNCTION("IFNA(XLOOKUP(""*""&amp;TRIM(REGEXREPLACE($D165, ""(?i)^(PT|CV)\.?\s+"", """"))&amp;""*"", 'DATA TARGET'!$C$2:$C998, 'DATA TARGET'!$D$2:$D998, ""Tidak Ditemukan"", 2), ""Tidak Ditemukan"")"),732.69)</f>
        <v>732.69</v>
      </c>
      <c r="H165" s="17">
        <f t="shared" si="1"/>
        <v>734</v>
      </c>
      <c r="I165" s="8"/>
    </row>
    <row r="166">
      <c r="A166" s="10" t="s">
        <v>286</v>
      </c>
      <c r="B166" s="10" t="s">
        <v>287</v>
      </c>
      <c r="C166" s="10" t="s">
        <v>578</v>
      </c>
      <c r="D166" s="12" t="s">
        <v>578</v>
      </c>
      <c r="E166" s="13" t="s">
        <v>580</v>
      </c>
      <c r="F166" s="15">
        <f>IFERROR(__xludf.DUMMYFUNCTION("XLOOKUP($D166,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(AUTO)'!R6:R""))"),1898.21)</f>
        <v>1898.21</v>
      </c>
      <c r="G166" s="15">
        <f>IFERROR(__xludf.DUMMYFUNCTION("IFNA(XLOOKUP(""*""&amp;TRIM(REGEXREPLACE($D166, ""(?i)^(PT|CV)\.?\s+"", """"))&amp;""*"", 'DATA TARGET'!$C$2:$C998, 'DATA TARGET'!$D$2:$D998, ""Tidak Ditemukan"", 2), ""Tidak Ditemukan"")"),1498.21)</f>
        <v>1498.21</v>
      </c>
      <c r="H166" s="17">
        <f t="shared" si="1"/>
        <v>1898.21</v>
      </c>
      <c r="I166" s="8"/>
    </row>
    <row r="167">
      <c r="A167" s="10" t="s">
        <v>286</v>
      </c>
      <c r="B167" s="10" t="s">
        <v>287</v>
      </c>
      <c r="C167" s="10" t="s">
        <v>582</v>
      </c>
      <c r="D167" s="12" t="s">
        <v>582</v>
      </c>
      <c r="E167" s="13" t="s">
        <v>584</v>
      </c>
      <c r="F167" s="15">
        <f>IFERROR(__xludf.DUMMYFUNCTION("XLOOKUP($D167,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(AUTO)'!R6:R""))"),1627.55)</f>
        <v>1627.55</v>
      </c>
      <c r="G167" s="15">
        <f>IFERROR(__xludf.DUMMYFUNCTION("IFNA(XLOOKUP(""*""&amp;TRIM(REGEXREPLACE($D167, ""(?i)^(PT|CV)\.?\s+"", """"))&amp;""*"", 'DATA TARGET'!$C$2:$C998, 'DATA TARGET'!$D$2:$D998, ""Tidak Ditemukan"", 2), ""Tidak Ditemukan"")"),0.0)</f>
        <v>0</v>
      </c>
      <c r="H167" s="17">
        <f t="shared" si="1"/>
        <v>1627.55</v>
      </c>
      <c r="I167" s="8"/>
    </row>
    <row r="168">
      <c r="A168" s="10" t="s">
        <v>286</v>
      </c>
      <c r="B168" s="10" t="s">
        <v>287</v>
      </c>
      <c r="C168" s="10" t="s">
        <v>585</v>
      </c>
      <c r="D168" s="12" t="s">
        <v>585</v>
      </c>
      <c r="E168" s="13" t="s">
        <v>586</v>
      </c>
      <c r="F168" s="15">
        <f>IFERROR(__xludf.DUMMYFUNCTION("XLOOKUP($D168,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(AUTO)'!R6:R""))"),57.09)</f>
        <v>57.09</v>
      </c>
      <c r="G168" s="15">
        <f>IFERROR(__xludf.DUMMYFUNCTION("IFNA(XLOOKUP(""*""&amp;TRIM(REGEXREPLACE($D168, ""(?i)^(PT|CV)\.?\s+"", """"))&amp;""*"", 'DATA TARGET'!$C$2:$C998, 'DATA TARGET'!$D$2:$D998, ""Tidak Ditemukan"", 2), ""Tidak Ditemukan"")"),57.09)</f>
        <v>57.09</v>
      </c>
      <c r="H168" s="17">
        <f t="shared" si="1"/>
        <v>57.09</v>
      </c>
      <c r="I168" s="8"/>
    </row>
    <row r="169">
      <c r="A169" s="10" t="s">
        <v>286</v>
      </c>
      <c r="B169" s="10" t="s">
        <v>287</v>
      </c>
      <c r="C169" s="10" t="s">
        <v>588</v>
      </c>
      <c r="D169" s="12" t="s">
        <v>588</v>
      </c>
      <c r="E169" s="13" t="s">
        <v>589</v>
      </c>
      <c r="F169" s="15">
        <f>IFERROR(__xludf.DUMMYFUNCTION("XLOOKUP($D169,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(AUTO)'!R6:R""))"),25.0)</f>
        <v>25</v>
      </c>
      <c r="G169" s="15">
        <f>IFERROR(__xludf.DUMMYFUNCTION("IFNA(XLOOKUP(""*""&amp;TRIM(REGEXREPLACE($D169, ""(?i)^(PT|CV)\.?\s+"", """"))&amp;""*"", 'DATA TARGET'!$C$2:$C998, 'DATA TARGET'!$D$2:$D998, ""Tidak Ditemukan"", 2), ""Tidak Ditemukan"")"),24.0)</f>
        <v>24</v>
      </c>
      <c r="H169" s="17">
        <f t="shared" si="1"/>
        <v>25</v>
      </c>
      <c r="I169" s="8"/>
    </row>
    <row r="170">
      <c r="A170" s="10" t="s">
        <v>286</v>
      </c>
      <c r="B170" s="10" t="s">
        <v>287</v>
      </c>
      <c r="C170" s="10" t="s">
        <v>591</v>
      </c>
      <c r="D170" s="12" t="s">
        <v>591</v>
      </c>
      <c r="E170" s="13" t="s">
        <v>592</v>
      </c>
      <c r="F170" s="15">
        <f>IFERROR(__xludf.DUMMYFUNCTION("XLOOKUP($D170,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(AUTO)'!R6:R""))"),196.1)</f>
        <v>196.1</v>
      </c>
      <c r="G170" s="15">
        <f>IFERROR(__xludf.DUMMYFUNCTION("IFNA(XLOOKUP(""*""&amp;TRIM(REGEXREPLACE($D170, ""(?i)^(PT|CV)\.?\s+"", """"))&amp;""*"", 'DATA TARGET'!$C$2:$C998, 'DATA TARGET'!$D$2:$D998, ""Tidak Ditemukan"", 2), ""Tidak Ditemukan"")"),53.0)</f>
        <v>53</v>
      </c>
      <c r="H170" s="17">
        <f t="shared" si="1"/>
        <v>196.1</v>
      </c>
      <c r="I170" s="8"/>
    </row>
    <row r="171">
      <c r="A171" s="10" t="s">
        <v>286</v>
      </c>
      <c r="B171" s="10" t="s">
        <v>287</v>
      </c>
      <c r="C171" s="10" t="s">
        <v>593</v>
      </c>
      <c r="D171" s="12" t="s">
        <v>593</v>
      </c>
      <c r="E171" s="13" t="s">
        <v>595</v>
      </c>
      <c r="F171" s="15">
        <f>IFERROR(__xludf.DUMMYFUNCTION("XLOOKUP($D171,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(AUTO)'!R6:R""))"),182.0)</f>
        <v>182</v>
      </c>
      <c r="G171" s="15">
        <f>IFERROR(__xludf.DUMMYFUNCTION("IFNA(XLOOKUP(""*""&amp;TRIM(REGEXREPLACE($D171, ""(?i)^(PT|CV)\.?\s+"", """"))&amp;""*"", 'DATA TARGET'!$C$2:$C998, 'DATA TARGET'!$D$2:$D998, ""Tidak Ditemukan"", 2), ""Tidak Ditemukan"")"),175.0)</f>
        <v>175</v>
      </c>
      <c r="H171" s="17">
        <f t="shared" si="1"/>
        <v>182</v>
      </c>
      <c r="I171" s="8"/>
    </row>
    <row r="172">
      <c r="A172" s="10" t="s">
        <v>286</v>
      </c>
      <c r="B172" s="10" t="s">
        <v>287</v>
      </c>
      <c r="C172" s="10" t="s">
        <v>596</v>
      </c>
      <c r="D172" s="12" t="s">
        <v>596</v>
      </c>
      <c r="E172" s="13" t="s">
        <v>597</v>
      </c>
      <c r="F172" s="15" t="str">
        <f>IFERROR(__xludf.DUMMYFUNCTION("XLOOKUP($D172,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72" s="15">
        <f>IFERROR(__xludf.DUMMYFUNCTION("IFNA(XLOOKUP(""*""&amp;TRIM(REGEXREPLACE($D172, ""(?i)^(PT|CV)\.?\s+"", """"))&amp;""*"", 'DATA TARGET'!$C$2:$C998, 'DATA TARGET'!$D$2:$D998, ""Tidak Ditemukan"", 2), ""Tidak Ditemukan"")"),765.6)</f>
        <v>765.6</v>
      </c>
      <c r="H172" s="17">
        <f t="shared" si="1"/>
        <v>765.6</v>
      </c>
      <c r="I172" s="8"/>
    </row>
    <row r="173">
      <c r="A173" s="10" t="s">
        <v>286</v>
      </c>
      <c r="B173" s="10" t="s">
        <v>287</v>
      </c>
      <c r="C173" s="10" t="s">
        <v>599</v>
      </c>
      <c r="D173" s="12" t="s">
        <v>599</v>
      </c>
      <c r="E173" s="13" t="s">
        <v>600</v>
      </c>
      <c r="F173" s="15">
        <f>IFERROR(__xludf.DUMMYFUNCTION("XLOOKUP($D173,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(AUTO)'!R6:R""))"),1326.5)</f>
        <v>1326.5</v>
      </c>
      <c r="G173" s="15">
        <f>IFERROR(__xludf.DUMMYFUNCTION("IFNA(XLOOKUP(""*""&amp;TRIM(REGEXREPLACE($D173, ""(?i)^(PT|CV)\.?\s+"", """"))&amp;""*"", 'DATA TARGET'!$C$2:$C998, 'DATA TARGET'!$D$2:$D998, ""Tidak Ditemukan"", 2), ""Tidak Ditemukan"")"),220.85)</f>
        <v>220.85</v>
      </c>
      <c r="H173" s="17">
        <f t="shared" si="1"/>
        <v>1326.5</v>
      </c>
      <c r="I173" s="8"/>
    </row>
    <row r="174">
      <c r="A174" s="10" t="s">
        <v>286</v>
      </c>
      <c r="B174" s="10" t="s">
        <v>287</v>
      </c>
      <c r="C174" s="10" t="s">
        <v>603</v>
      </c>
      <c r="D174" s="12" t="s">
        <v>603</v>
      </c>
      <c r="E174" s="13" t="s">
        <v>604</v>
      </c>
      <c r="F174" s="15">
        <f>IFERROR(__xludf.DUMMYFUNCTION("XLOOKUP($D174,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(AUTO)'!R6:R""))"),126.48)</f>
        <v>126.48</v>
      </c>
      <c r="G174" s="15">
        <f>IFERROR(__xludf.DUMMYFUNCTION("IFNA(XLOOKUP(""*""&amp;TRIM(REGEXREPLACE($D174, ""(?i)^(PT|CV)\.?\s+"", """"))&amp;""*"", 'DATA TARGET'!$C$2:$C998, 'DATA TARGET'!$D$2:$D998, ""Tidak Ditemukan"", 2), ""Tidak Ditemukan"")"),94.0)</f>
        <v>94</v>
      </c>
      <c r="H174" s="17">
        <f t="shared" si="1"/>
        <v>126.48</v>
      </c>
      <c r="I174" s="8"/>
    </row>
    <row r="175">
      <c r="A175" s="10" t="s">
        <v>286</v>
      </c>
      <c r="B175" s="10" t="s">
        <v>287</v>
      </c>
      <c r="C175" s="10" t="s">
        <v>605</v>
      </c>
      <c r="D175" s="12" t="s">
        <v>605</v>
      </c>
      <c r="E175" s="13" t="s">
        <v>607</v>
      </c>
      <c r="F175" s="15">
        <f>IFERROR(__xludf.DUMMYFUNCTION("XLOOKUP($D175,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(AUTO)'!R6:R""))"),69.92)</f>
        <v>69.92</v>
      </c>
      <c r="G175" s="15">
        <f>IFERROR(__xludf.DUMMYFUNCTION("IFNA(XLOOKUP(""*""&amp;TRIM(REGEXREPLACE($D175, ""(?i)^(PT|CV)\.?\s+"", """"))&amp;""*"", 'DATA TARGET'!$C$2:$C998, 'DATA TARGET'!$D$2:$D998, ""Tidak Ditemukan"", 2), ""Tidak Ditemukan"")"),65.0)</f>
        <v>65</v>
      </c>
      <c r="H175" s="17">
        <f t="shared" si="1"/>
        <v>69.92</v>
      </c>
      <c r="I175" s="8"/>
    </row>
    <row r="176">
      <c r="A176" s="10" t="s">
        <v>286</v>
      </c>
      <c r="B176" s="10" t="s">
        <v>287</v>
      </c>
      <c r="C176" s="10" t="s">
        <v>608</v>
      </c>
      <c r="D176" s="12" t="s">
        <v>608</v>
      </c>
      <c r="E176" s="13" t="s">
        <v>610</v>
      </c>
      <c r="F176" s="15">
        <f>IFERROR(__xludf.DUMMYFUNCTION("XLOOKUP($D176,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(AUTO)'!R6:R""))"),59.0)</f>
        <v>59</v>
      </c>
      <c r="G176" s="15">
        <f>IFERROR(__xludf.DUMMYFUNCTION("IFNA(XLOOKUP(""*""&amp;TRIM(REGEXREPLACE($D176, ""(?i)^(PT|CV)\.?\s+"", """"))&amp;""*"", 'DATA TARGET'!$C$2:$C998, 'DATA TARGET'!$D$2:$D998, ""Tidak Ditemukan"", 2), ""Tidak Ditemukan"")"),59.0)</f>
        <v>59</v>
      </c>
      <c r="H176" s="17">
        <f t="shared" si="1"/>
        <v>59</v>
      </c>
      <c r="I176" s="8"/>
    </row>
    <row r="177">
      <c r="A177" s="10" t="s">
        <v>286</v>
      </c>
      <c r="B177" s="10" t="s">
        <v>287</v>
      </c>
      <c r="C177" s="10" t="s">
        <v>613</v>
      </c>
      <c r="D177" s="12" t="s">
        <v>613</v>
      </c>
      <c r="E177" s="13" t="s">
        <v>614</v>
      </c>
      <c r="F177" s="15" t="str">
        <f>IFERROR(__xludf.DUMMYFUNCTION("XLOOKUP($D177,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77" s="15">
        <f>IFERROR(__xludf.DUMMYFUNCTION("IFNA(XLOOKUP(""*""&amp;TRIM(REGEXREPLACE($D177, ""(?i)^(PT|CV)\.?\s+"", """"))&amp;""*"", 'DATA TARGET'!$C$2:$C998, 'DATA TARGET'!$D$2:$D998, ""Tidak Ditemukan"", 2), ""Tidak Ditemukan"")"),395.12)</f>
        <v>395.12</v>
      </c>
      <c r="H177" s="17">
        <f t="shared" si="1"/>
        <v>395.12</v>
      </c>
      <c r="I177" s="8"/>
    </row>
    <row r="178">
      <c r="A178" s="10" t="s">
        <v>286</v>
      </c>
      <c r="B178" s="10" t="s">
        <v>287</v>
      </c>
      <c r="C178" s="10" t="s">
        <v>616</v>
      </c>
      <c r="D178" s="12" t="s">
        <v>616</v>
      </c>
      <c r="E178" s="13" t="s">
        <v>617</v>
      </c>
      <c r="F178" s="15" t="str">
        <f>IFERROR(__xludf.DUMMYFUNCTION("XLOOKUP($D178,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78" s="15">
        <f>IFERROR(__xludf.DUMMYFUNCTION("IFNA(XLOOKUP(""*""&amp;TRIM(REGEXREPLACE($D178, ""(?i)^(PT|CV)\.?\s+"", """"))&amp;""*"", 'DATA TARGET'!$C$2:$C998, 'DATA TARGET'!$D$2:$D998, ""Tidak Ditemukan"", 2), ""Tidak Ditemukan"")"),313.64)</f>
        <v>313.64</v>
      </c>
      <c r="H178" s="17">
        <f t="shared" si="1"/>
        <v>313.64</v>
      </c>
      <c r="I178" s="8"/>
    </row>
    <row r="179">
      <c r="A179" s="10" t="s">
        <v>286</v>
      </c>
      <c r="B179" s="10" t="s">
        <v>287</v>
      </c>
      <c r="C179" s="10" t="s">
        <v>618</v>
      </c>
      <c r="D179" s="12" t="s">
        <v>618</v>
      </c>
      <c r="E179" s="13" t="s">
        <v>620</v>
      </c>
      <c r="F179" s="15" t="str">
        <f>IFERROR(__xludf.DUMMYFUNCTION("XLOOKUP($D179,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179" s="15">
        <f>IFERROR(__xludf.DUMMYFUNCTION("IFNA(XLOOKUP(""*""&amp;TRIM(REGEXREPLACE($D179, ""(?i)^(PT|CV)\.?\s+"", """"))&amp;""*"", 'DATA TARGET'!$C$2:$C998, 'DATA TARGET'!$D$2:$D998, ""Tidak Ditemukan"", 2), ""Tidak Ditemukan"")"),0.63)</f>
        <v>0.63</v>
      </c>
      <c r="H179" s="17">
        <f t="shared" si="1"/>
        <v>0.63</v>
      </c>
      <c r="I179" s="8"/>
    </row>
    <row r="180">
      <c r="A180" s="10" t="s">
        <v>286</v>
      </c>
      <c r="B180" s="10" t="s">
        <v>287</v>
      </c>
      <c r="C180" s="10" t="s">
        <v>621</v>
      </c>
      <c r="D180" s="12" t="s">
        <v>621</v>
      </c>
      <c r="E180" s="13" t="s">
        <v>622</v>
      </c>
      <c r="F180" s="15">
        <f>IFERROR(__xludf.DUMMYFUNCTION("XLOOKUP($D180,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(AUTO)'!R6:R""))"),495.55)</f>
        <v>495.55</v>
      </c>
      <c r="G180" s="15">
        <f>IFERROR(__xludf.DUMMYFUNCTION("IFNA(XLOOKUP(""*""&amp;TRIM(REGEXREPLACE($D180, ""(?i)^(PT|CV)\.?\s+"", """"))&amp;""*"", 'DATA TARGET'!$C$2:$C998, 'DATA TARGET'!$D$2:$D998, ""Tidak Ditemukan"", 2), ""Tidak Ditemukan"")"),495.55)</f>
        <v>495.55</v>
      </c>
      <c r="H180" s="17">
        <f t="shared" si="1"/>
        <v>495.55</v>
      </c>
      <c r="I180" s="8"/>
    </row>
    <row r="181">
      <c r="A181" s="10" t="s">
        <v>286</v>
      </c>
      <c r="B181" s="10" t="s">
        <v>287</v>
      </c>
      <c r="C181" s="10" t="s">
        <v>625</v>
      </c>
      <c r="D181" s="12" t="s">
        <v>625</v>
      </c>
      <c r="E181" s="13" t="s">
        <v>626</v>
      </c>
      <c r="F181" s="15">
        <f>IFERROR(__xludf.DUMMYFUNCTION("XLOOKUP($D181,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(AUTO)'!R6:R""))"),16.8)</f>
        <v>16.8</v>
      </c>
      <c r="G181" s="15">
        <f>IFERROR(__xludf.DUMMYFUNCTION("IFNA(XLOOKUP(""*""&amp;TRIM(REGEXREPLACE($D181, ""(?i)^(PT|CV)\.?\s+"", """"))&amp;""*"", 'DATA TARGET'!$C$2:$C998, 'DATA TARGET'!$D$2:$D998, ""Tidak Ditemukan"", 2), ""Tidak Ditemukan"")"),16.8)</f>
        <v>16.8</v>
      </c>
      <c r="H181" s="17">
        <f t="shared" si="1"/>
        <v>16.8</v>
      </c>
      <c r="I181" s="8"/>
    </row>
    <row r="182">
      <c r="A182" s="10" t="s">
        <v>286</v>
      </c>
      <c r="B182" s="10" t="s">
        <v>287</v>
      </c>
      <c r="C182" s="10" t="s">
        <v>628</v>
      </c>
      <c r="D182" s="12" t="s">
        <v>628</v>
      </c>
      <c r="E182" s="13" t="s">
        <v>629</v>
      </c>
      <c r="F182" s="15">
        <f>IFERROR(__xludf.DUMMYFUNCTION("XLOOKUP($D182,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(AUTO)'!R6:R""))"),250.0)</f>
        <v>250</v>
      </c>
      <c r="G182" s="15">
        <f>IFERROR(__xludf.DUMMYFUNCTION("IFNA(XLOOKUP(""*""&amp;TRIM(REGEXREPLACE($D182, ""(?i)^(PT|CV)\.?\s+"", """"))&amp;""*"", 'DATA TARGET'!$C$2:$C998, 'DATA TARGET'!$D$2:$D998, ""Tidak Ditemukan"", 2), ""Tidak Ditemukan"")"),250.0)</f>
        <v>250</v>
      </c>
      <c r="H182" s="17">
        <f t="shared" si="1"/>
        <v>250</v>
      </c>
      <c r="I182" s="8"/>
    </row>
    <row r="183">
      <c r="A183" s="10" t="s">
        <v>286</v>
      </c>
      <c r="B183" s="10" t="s">
        <v>287</v>
      </c>
      <c r="C183" s="10" t="s">
        <v>631</v>
      </c>
      <c r="D183" s="12" t="s">
        <v>631</v>
      </c>
      <c r="E183" s="13" t="s">
        <v>633</v>
      </c>
      <c r="F183" s="15">
        <f>IFERROR(__xludf.DUMMYFUNCTION("XLOOKUP($D183,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(AUTO)'!R6:R""))"),574.0)</f>
        <v>574</v>
      </c>
      <c r="G183" s="15">
        <f>IFERROR(__xludf.DUMMYFUNCTION("IFNA(XLOOKUP(""*""&amp;TRIM(REGEXREPLACE($D183, ""(?i)^(PT|CV)\.?\s+"", """"))&amp;""*"", 'DATA TARGET'!$C$2:$C998, 'DATA TARGET'!$D$2:$D998, ""Tidak Ditemukan"", 2), ""Tidak Ditemukan"")"),551.04)</f>
        <v>551.04</v>
      </c>
      <c r="H183" s="17">
        <f t="shared" si="1"/>
        <v>574</v>
      </c>
      <c r="I183" s="8"/>
    </row>
    <row r="184">
      <c r="A184" s="10" t="s">
        <v>286</v>
      </c>
      <c r="B184" s="10" t="s">
        <v>287</v>
      </c>
      <c r="C184" s="10" t="s">
        <v>635</v>
      </c>
      <c r="D184" s="12" t="s">
        <v>635</v>
      </c>
      <c r="E184" s="13" t="s">
        <v>636</v>
      </c>
      <c r="F184" s="15">
        <f>IFERROR(__xludf.DUMMYFUNCTION("XLOOKUP($D184,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(AUTO)'!R6:R""))"),107.0)</f>
        <v>107</v>
      </c>
      <c r="G184" s="15" t="str">
        <f>IFERROR(__xludf.DUMMYFUNCTION("IFNA(XLOOKUP(""*""&amp;TRIM(REGEXREPLACE($D184, ""(?i)^(PT|CV)\.?\s+"", """"))&amp;""*"", 'DATA TARGET'!$C$2:$C998, 'DATA TARGET'!$D$2:$D998, ""Tidak Ditemukan"", 2), ""Tidak Ditemukan"")"),"Tidak Ditemukan")</f>
        <v>Tidak Ditemukan</v>
      </c>
      <c r="H184" s="17">
        <f t="shared" si="1"/>
        <v>107</v>
      </c>
      <c r="I184" s="8"/>
    </row>
    <row r="185">
      <c r="A185" s="10" t="s">
        <v>286</v>
      </c>
      <c r="B185" s="10" t="s">
        <v>287</v>
      </c>
      <c r="C185" s="10" t="s">
        <v>637</v>
      </c>
      <c r="D185" s="12" t="s">
        <v>637</v>
      </c>
      <c r="E185" s="13" t="s">
        <v>639</v>
      </c>
      <c r="F185" s="15">
        <f>IFERROR(__xludf.DUMMYFUNCTION("XLOOKUP($D185,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(AUTO)'!R6:R""))"),31.6)</f>
        <v>31.6</v>
      </c>
      <c r="G185" s="15">
        <f>IFERROR(__xludf.DUMMYFUNCTION("IFNA(XLOOKUP(""*""&amp;TRIM(REGEXREPLACE($D185, ""(?i)^(PT|CV)\.?\s+"", """"))&amp;""*"", 'DATA TARGET'!$C$2:$C998, 'DATA TARGET'!$D$2:$D998, ""Tidak Ditemukan"", 2), ""Tidak Ditemukan"")"),20.0)</f>
        <v>20</v>
      </c>
      <c r="H185" s="17">
        <f t="shared" si="1"/>
        <v>31.6</v>
      </c>
      <c r="I185" s="8"/>
    </row>
    <row r="186">
      <c r="A186" s="10" t="s">
        <v>286</v>
      </c>
      <c r="B186" s="10" t="s">
        <v>641</v>
      </c>
      <c r="C186" s="10" t="s">
        <v>642</v>
      </c>
      <c r="D186" s="12" t="s">
        <v>642</v>
      </c>
      <c r="E186" s="13" t="s">
        <v>643</v>
      </c>
      <c r="F186" s="15">
        <f>IFERROR(__xludf.DUMMYFUNCTION("XLOOKUP($D186,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(AUTO)'!R6:R""))"),398.99)</f>
        <v>398.99</v>
      </c>
      <c r="G186" s="15" t="str">
        <f>IFERROR(__xludf.DUMMYFUNCTION("IFNA(XLOOKUP(""*""&amp;TRIM(REGEXREPLACE($D186, ""(?i)^(PT|CV)\.?\s+"", """"))&amp;""*"", 'DATA TARGET'!$C$2:$C998, 'DATA TARGET'!$D$2:$D998, ""Tidak Ditemukan"", 2), ""Tidak Ditemukan"")"),"Tidak Ditemukan")</f>
        <v>Tidak Ditemukan</v>
      </c>
      <c r="H186" s="17">
        <f t="shared" si="1"/>
        <v>398.99</v>
      </c>
      <c r="I186" s="8"/>
    </row>
    <row r="187">
      <c r="A187" s="10" t="s">
        <v>286</v>
      </c>
      <c r="B187" s="10" t="s">
        <v>641</v>
      </c>
      <c r="C187" s="10" t="s">
        <v>495</v>
      </c>
      <c r="D187" s="12" t="s">
        <v>495</v>
      </c>
      <c r="E187" s="13" t="s">
        <v>645</v>
      </c>
      <c r="F187" s="15">
        <f>IFERROR(__xludf.DUMMYFUNCTION("XLOOKUP($D187,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187" s="15">
        <f>IFERROR(__xludf.DUMMYFUNCTION("IFNA(XLOOKUP(""*""&amp;TRIM(REGEXREPLACE($D187, ""(?i)^(PT|CV)\.?\s+"", """"))&amp;""*"", 'DATA TARGET'!$C$2:$C998, 'DATA TARGET'!$D$2:$D998, ""Tidak Ditemukan"", 2), ""Tidak Ditemukan"")"),398.99)</f>
        <v>398.99</v>
      </c>
      <c r="H187" s="17">
        <f t="shared" si="1"/>
        <v>398.99</v>
      </c>
      <c r="I187" s="8"/>
    </row>
    <row r="188">
      <c r="A188" s="10" t="s">
        <v>286</v>
      </c>
      <c r="B188" s="10" t="s">
        <v>641</v>
      </c>
      <c r="C188" s="10" t="s">
        <v>647</v>
      </c>
      <c r="D188" s="12" t="s">
        <v>647</v>
      </c>
      <c r="E188" s="13" t="s">
        <v>648</v>
      </c>
      <c r="F188" s="15">
        <f>IFERROR(__xludf.DUMMYFUNCTION("XLOOKUP($D188,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(AUTO)'!R6:R""))"),27.84)</f>
        <v>27.84</v>
      </c>
      <c r="G188" s="15">
        <f>IFERROR(__xludf.DUMMYFUNCTION("IFNA(XLOOKUP(""*""&amp;TRIM(REGEXREPLACE($D188, ""(?i)^(PT|CV)\.?\s+"", """"))&amp;""*"", 'DATA TARGET'!$C$2:$C998, 'DATA TARGET'!$D$2:$D998, ""Tidak Ditemukan"", 2), ""Tidak Ditemukan"")"),0.0)</f>
        <v>0</v>
      </c>
      <c r="H188" s="17">
        <f t="shared" si="1"/>
        <v>27.84</v>
      </c>
      <c r="I188" s="8"/>
    </row>
    <row r="189">
      <c r="A189" s="10" t="s">
        <v>286</v>
      </c>
      <c r="B189" s="10" t="s">
        <v>641</v>
      </c>
      <c r="C189" s="10" t="s">
        <v>650</v>
      </c>
      <c r="D189" s="12" t="s">
        <v>650</v>
      </c>
      <c r="E189" s="13" t="s">
        <v>651</v>
      </c>
      <c r="F189" s="15">
        <f>IFERROR(__xludf.DUMMYFUNCTION("XLOOKUP($D189,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(AUTO)'!R6:R""))"),67.01)</f>
        <v>67.01</v>
      </c>
      <c r="G189" s="15">
        <f>IFERROR(__xludf.DUMMYFUNCTION("IFNA(XLOOKUP(""*""&amp;TRIM(REGEXREPLACE($D189, ""(?i)^(PT|CV)\.?\s+"", """"))&amp;""*"", 'DATA TARGET'!$C$2:$C998, 'DATA TARGET'!$D$2:$D998, ""Tidak Ditemukan"", 2), ""Tidak Ditemukan"")"),27.84)</f>
        <v>27.84</v>
      </c>
      <c r="H189" s="17">
        <f t="shared" si="1"/>
        <v>67.01</v>
      </c>
      <c r="I189" s="8"/>
    </row>
    <row r="190">
      <c r="A190" s="10" t="s">
        <v>286</v>
      </c>
      <c r="B190" s="10" t="s">
        <v>641</v>
      </c>
      <c r="C190" s="10" t="s">
        <v>653</v>
      </c>
      <c r="D190" s="12" t="s">
        <v>653</v>
      </c>
      <c r="E190" s="13" t="s">
        <v>655</v>
      </c>
      <c r="F190" s="15">
        <f>IFERROR(__xludf.DUMMYFUNCTION("XLOOKUP($D190,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(AUTO)'!R6:R""))"),48.44)</f>
        <v>48.44</v>
      </c>
      <c r="G190" s="15">
        <f>IFERROR(__xludf.DUMMYFUNCTION("IFNA(XLOOKUP(""*""&amp;TRIM(REGEXREPLACE($D190, ""(?i)^(PT|CV)\.?\s+"", """"))&amp;""*"", 'DATA TARGET'!$C$2:$C998, 'DATA TARGET'!$D$2:$D998, ""Tidak Ditemukan"", 2), ""Tidak Ditemukan"")"),67.01)</f>
        <v>67.01</v>
      </c>
      <c r="H190" s="17">
        <f t="shared" si="1"/>
        <v>48.44</v>
      </c>
      <c r="I190" s="8"/>
    </row>
    <row r="191">
      <c r="A191" s="10" t="s">
        <v>286</v>
      </c>
      <c r="B191" s="10" t="s">
        <v>641</v>
      </c>
      <c r="C191" s="10" t="s">
        <v>658</v>
      </c>
      <c r="D191" s="12" t="s">
        <v>658</v>
      </c>
      <c r="E191" s="13" t="s">
        <v>659</v>
      </c>
      <c r="F191" s="15">
        <f>IFERROR(__xludf.DUMMYFUNCTION("XLOOKUP($D191,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(AUTO)'!R6:R""))"),153.9)</f>
        <v>153.9</v>
      </c>
      <c r="G191" s="15" t="str">
        <f>IFERROR(__xludf.DUMMYFUNCTION("IFNA(XLOOKUP(""*""&amp;TRIM(REGEXREPLACE($D191, ""(?i)^(PT|CV)\.?\s+"", """"))&amp;""*"", 'DATA TARGET'!$C$2:$C998, 'DATA TARGET'!$D$2:$D998, ""Tidak Ditemukan"", 2), ""Tidak Ditemukan"")"),"Tidak Ditemukan")</f>
        <v>Tidak Ditemukan</v>
      </c>
      <c r="H191" s="17">
        <f t="shared" si="1"/>
        <v>153.9</v>
      </c>
      <c r="I191" s="8"/>
    </row>
    <row r="192">
      <c r="A192" s="10" t="s">
        <v>286</v>
      </c>
      <c r="B192" s="10" t="s">
        <v>641</v>
      </c>
      <c r="C192" s="10" t="s">
        <v>661</v>
      </c>
      <c r="D192" s="12" t="s">
        <v>661</v>
      </c>
      <c r="E192" s="13" t="s">
        <v>662</v>
      </c>
      <c r="F192" s="15">
        <f>IFERROR(__xludf.DUMMYFUNCTION("XLOOKUP($D192,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(AUTO)'!R6:R""))"),61.2)</f>
        <v>61.2</v>
      </c>
      <c r="G192" s="15">
        <f>IFERROR(__xludf.DUMMYFUNCTION("IFNA(XLOOKUP(""*""&amp;TRIM(REGEXREPLACE($D192, ""(?i)^(PT|CV)\.?\s+"", """"))&amp;""*"", 'DATA TARGET'!$C$2:$C998, 'DATA TARGET'!$D$2:$D998, ""Tidak Ditemukan"", 2), ""Tidak Ditemukan"")"),143.22)</f>
        <v>143.22</v>
      </c>
      <c r="H192" s="17">
        <f t="shared" si="1"/>
        <v>61.2</v>
      </c>
      <c r="I192" s="8"/>
    </row>
    <row r="193">
      <c r="A193" s="10" t="s">
        <v>286</v>
      </c>
      <c r="B193" s="10" t="s">
        <v>641</v>
      </c>
      <c r="C193" s="10" t="s">
        <v>665</v>
      </c>
      <c r="D193" s="12" t="s">
        <v>665</v>
      </c>
      <c r="E193" s="13" t="s">
        <v>666</v>
      </c>
      <c r="F193" s="15">
        <f>IFERROR(__xludf.DUMMYFUNCTION("XLOOKUP($D193,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(AUTO)'!R6:R""))"),162.07999999999998)</f>
        <v>162.08</v>
      </c>
      <c r="G193" s="15">
        <f>IFERROR(__xludf.DUMMYFUNCTION("IFNA(XLOOKUP(""*""&amp;TRIM(REGEXREPLACE($D193, ""(?i)^(PT|CV)\.?\s+"", """"))&amp;""*"", 'DATA TARGET'!$C$2:$C998, 'DATA TARGET'!$D$2:$D998, ""Tidak Ditemukan"", 2), ""Tidak Ditemukan"")"),66.6)</f>
        <v>66.6</v>
      </c>
      <c r="H193" s="17">
        <f t="shared" si="1"/>
        <v>162.08</v>
      </c>
      <c r="I193" s="8"/>
    </row>
    <row r="194">
      <c r="A194" s="10" t="s">
        <v>286</v>
      </c>
      <c r="B194" s="10" t="s">
        <v>641</v>
      </c>
      <c r="C194" s="10" t="s">
        <v>670</v>
      </c>
      <c r="D194" s="12" t="s">
        <v>670</v>
      </c>
      <c r="E194" s="13" t="s">
        <v>671</v>
      </c>
      <c r="F194" s="15">
        <f>IFERROR(__xludf.DUMMYFUNCTION("XLOOKUP($D194,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(AUTO)'!R6:R""))"),53.25)</f>
        <v>53.25</v>
      </c>
      <c r="G194" s="15">
        <f>IFERROR(__xludf.DUMMYFUNCTION("IFNA(XLOOKUP(""*""&amp;TRIM(REGEXREPLACE($D194, ""(?i)^(PT|CV)\.?\s+"", """"))&amp;""*"", 'DATA TARGET'!$C$2:$C998, 'DATA TARGET'!$D$2:$D998, ""Tidak Ditemukan"", 2), ""Tidak Ditemukan"")"),162.09)</f>
        <v>162.09</v>
      </c>
      <c r="H194" s="17">
        <f t="shared" si="1"/>
        <v>53.25</v>
      </c>
      <c r="I194" s="8"/>
    </row>
    <row r="195">
      <c r="A195" s="10" t="s">
        <v>286</v>
      </c>
      <c r="B195" s="10" t="s">
        <v>641</v>
      </c>
      <c r="C195" s="10" t="s">
        <v>674</v>
      </c>
      <c r="D195" s="12" t="s">
        <v>674</v>
      </c>
      <c r="E195" s="13" t="s">
        <v>675</v>
      </c>
      <c r="F195" s="15">
        <f>IFERROR(__xludf.DUMMYFUNCTION("XLOOKUP($D195,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195" s="15">
        <f>IFERROR(__xludf.DUMMYFUNCTION("IFNA(XLOOKUP(""*""&amp;TRIM(REGEXREPLACE($D195, ""(?i)^(PT|CV)\.?\s+"", """"))&amp;""*"", 'DATA TARGET'!$C$2:$C998, 'DATA TARGET'!$D$2:$D998, ""Tidak Ditemukan"", 2), ""Tidak Ditemukan"")"),54.0)</f>
        <v>54</v>
      </c>
      <c r="H195" s="17">
        <f t="shared" si="1"/>
        <v>54</v>
      </c>
      <c r="I195" s="8"/>
    </row>
    <row r="196">
      <c r="A196" s="10" t="s">
        <v>286</v>
      </c>
      <c r="B196" s="10" t="s">
        <v>641</v>
      </c>
      <c r="C196" s="10" t="s">
        <v>678</v>
      </c>
      <c r="D196" s="12" t="s">
        <v>678</v>
      </c>
      <c r="E196" s="13" t="s">
        <v>679</v>
      </c>
      <c r="F196" s="15">
        <f>IFERROR(__xludf.DUMMYFUNCTION("XLOOKUP($D196,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196" s="15">
        <f>IFERROR(__xludf.DUMMYFUNCTION("IFNA(XLOOKUP(""*""&amp;TRIM(REGEXREPLACE($D196, ""(?i)^(PT|CV)\.?\s+"", """"))&amp;""*"", 'DATA TARGET'!$C$2:$C998, 'DATA TARGET'!$D$2:$D998, ""Tidak Ditemukan"", 2), ""Tidak Ditemukan"")"),0.0)</f>
        <v>0</v>
      </c>
      <c r="H196" s="17">
        <f t="shared" si="1"/>
        <v>0</v>
      </c>
      <c r="I196" s="8"/>
    </row>
    <row r="197">
      <c r="A197" s="10" t="s">
        <v>286</v>
      </c>
      <c r="B197" s="10" t="s">
        <v>641</v>
      </c>
      <c r="C197" s="10" t="s">
        <v>682</v>
      </c>
      <c r="D197" s="12" t="s">
        <v>682</v>
      </c>
      <c r="E197" s="13" t="s">
        <v>683</v>
      </c>
      <c r="F197" s="15">
        <f>IFERROR(__xludf.DUMMYFUNCTION("XLOOKUP($D197,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(AUTO)'!R6:R""))"),33.39)</f>
        <v>33.39</v>
      </c>
      <c r="G197" s="15">
        <f>IFERROR(__xludf.DUMMYFUNCTION("IFNA(XLOOKUP(""*""&amp;TRIM(REGEXREPLACE($D197, ""(?i)^(PT|CV)\.?\s+"", """"))&amp;""*"", 'DATA TARGET'!$C$2:$C998, 'DATA TARGET'!$D$2:$D998, ""Tidak Ditemukan"", 2), ""Tidak Ditemukan"")"),0.0)</f>
        <v>0</v>
      </c>
      <c r="H197" s="17">
        <f t="shared" si="1"/>
        <v>33.39</v>
      </c>
      <c r="I197" s="8"/>
    </row>
    <row r="198">
      <c r="A198" s="10" t="s">
        <v>286</v>
      </c>
      <c r="B198" s="10" t="s">
        <v>641</v>
      </c>
      <c r="C198" s="10" t="s">
        <v>687</v>
      </c>
      <c r="D198" s="12" t="s">
        <v>687</v>
      </c>
      <c r="E198" s="13" t="s">
        <v>688</v>
      </c>
      <c r="F198" s="15">
        <f>IFERROR(__xludf.DUMMYFUNCTION("XLOOKUP($D198,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198" s="15">
        <f>IFERROR(__xludf.DUMMYFUNCTION("IFNA(XLOOKUP(""*""&amp;TRIM(REGEXREPLACE($D198, ""(?i)^(PT|CV)\.?\s+"", """"))&amp;""*"", 'DATA TARGET'!$C$2:$C998, 'DATA TARGET'!$D$2:$D998, ""Tidak Ditemukan"", 2), ""Tidak Ditemukan"")"),33.39)</f>
        <v>33.39</v>
      </c>
      <c r="H198" s="17">
        <f t="shared" si="1"/>
        <v>33.39</v>
      </c>
      <c r="I198" s="8"/>
    </row>
    <row r="199">
      <c r="A199" s="10" t="s">
        <v>286</v>
      </c>
      <c r="B199" s="10" t="s">
        <v>641</v>
      </c>
      <c r="C199" s="10" t="s">
        <v>691</v>
      </c>
      <c r="D199" s="12" t="s">
        <v>691</v>
      </c>
      <c r="E199" s="13" t="s">
        <v>692</v>
      </c>
      <c r="F199" s="15">
        <f>IFERROR(__xludf.DUMMYFUNCTION("XLOOKUP($D199,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199" s="15">
        <f>IFERROR(__xludf.DUMMYFUNCTION("IFNA(XLOOKUP(""*""&amp;TRIM(REGEXREPLACE($D199, ""(?i)^(PT|CV)\.?\s+"", """"))&amp;""*"", 'DATA TARGET'!$C$2:$C998, 'DATA TARGET'!$D$2:$D998, ""Tidak Ditemukan"", 2), ""Tidak Ditemukan"")"),0.0)</f>
        <v>0</v>
      </c>
      <c r="H199" s="17">
        <f t="shared" si="1"/>
        <v>0</v>
      </c>
      <c r="I199" s="8"/>
    </row>
    <row r="200">
      <c r="A200" s="10" t="s">
        <v>286</v>
      </c>
      <c r="B200" s="10" t="s">
        <v>641</v>
      </c>
      <c r="C200" s="10" t="s">
        <v>694</v>
      </c>
      <c r="D200" s="12" t="s">
        <v>694</v>
      </c>
      <c r="E200" s="13" t="s">
        <v>696</v>
      </c>
      <c r="F200" s="15">
        <f>IFERROR(__xludf.DUMMYFUNCTION("XLOOKUP($D200,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(AUTO)'!R6:R""))"),1583.69)</f>
        <v>1583.69</v>
      </c>
      <c r="G200" s="15">
        <f>IFERROR(__xludf.DUMMYFUNCTION("IFNA(XLOOKUP(""*""&amp;TRIM(REGEXREPLACE($D200, ""(?i)^(PT|CV)\.?\s+"", """"))&amp;""*"", 'DATA TARGET'!$C$2:$C998, 'DATA TARGET'!$D$2:$D998, ""Tidak Ditemukan"", 2), ""Tidak Ditemukan"")"),0.0)</f>
        <v>0</v>
      </c>
      <c r="H200" s="17">
        <f t="shared" si="1"/>
        <v>1583.69</v>
      </c>
      <c r="I200" s="8"/>
    </row>
    <row r="201">
      <c r="A201" s="10" t="s">
        <v>286</v>
      </c>
      <c r="B201" s="10" t="s">
        <v>641</v>
      </c>
      <c r="C201" s="10" t="s">
        <v>698</v>
      </c>
      <c r="D201" s="12" t="s">
        <v>698</v>
      </c>
      <c r="E201" s="13" t="s">
        <v>700</v>
      </c>
      <c r="F201" s="15">
        <f>IFERROR(__xludf.DUMMYFUNCTION("XLOOKUP($D201,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(AUTO)'!R6:R""))"),386.49)</f>
        <v>386.49</v>
      </c>
      <c r="G201" s="15">
        <f>IFERROR(__xludf.DUMMYFUNCTION("IFNA(XLOOKUP(""*""&amp;TRIM(REGEXREPLACE($D201, ""(?i)^(PT|CV)\.?\s+"", """"))&amp;""*"", 'DATA TARGET'!$C$2:$C998, 'DATA TARGET'!$D$2:$D998, ""Tidak Ditemukan"", 2), ""Tidak Ditemukan"")"),328.49)</f>
        <v>328.49</v>
      </c>
      <c r="H201" s="17">
        <f t="shared" si="1"/>
        <v>386.49</v>
      </c>
      <c r="I201" s="8"/>
    </row>
    <row r="202">
      <c r="A202" s="10" t="s">
        <v>286</v>
      </c>
      <c r="B202" s="10" t="s">
        <v>641</v>
      </c>
      <c r="C202" s="10" t="s">
        <v>702</v>
      </c>
      <c r="D202" s="12" t="s">
        <v>702</v>
      </c>
      <c r="E202" s="13" t="s">
        <v>704</v>
      </c>
      <c r="F202" s="15">
        <f>IFERROR(__xludf.DUMMYFUNCTION("XLOOKUP($D202,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(AUTO)'!R6:R""))"),83.0)</f>
        <v>83</v>
      </c>
      <c r="G202" s="15">
        <f>IFERROR(__xludf.DUMMYFUNCTION("IFNA(XLOOKUP(""*""&amp;TRIM(REGEXREPLACE($D202, ""(?i)^(PT|CV)\.?\s+"", """"))&amp;""*"", 'DATA TARGET'!$C$2:$C998, 'DATA TARGET'!$D$2:$D998, ""Tidak Ditemukan"", 2), ""Tidak Ditemukan"")"),83.0)</f>
        <v>83</v>
      </c>
      <c r="H202" s="17">
        <f t="shared" si="1"/>
        <v>83</v>
      </c>
      <c r="I202" s="8"/>
    </row>
    <row r="203">
      <c r="A203" s="10" t="s">
        <v>286</v>
      </c>
      <c r="B203" s="10" t="s">
        <v>641</v>
      </c>
      <c r="C203" s="10" t="s">
        <v>706</v>
      </c>
      <c r="D203" s="12" t="s">
        <v>706</v>
      </c>
      <c r="E203" s="13" t="s">
        <v>707</v>
      </c>
      <c r="F203" s="15">
        <f>IFERROR(__xludf.DUMMYFUNCTION("XLOOKUP($D203,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(AUTO)'!R6:R""))"),44.5)</f>
        <v>44.5</v>
      </c>
      <c r="G203" s="15">
        <f>IFERROR(__xludf.DUMMYFUNCTION("IFNA(XLOOKUP(""*""&amp;TRIM(REGEXREPLACE($D203, ""(?i)^(PT|CV)\.?\s+"", """"))&amp;""*"", 'DATA TARGET'!$C$2:$C998, 'DATA TARGET'!$D$2:$D998, ""Tidak Ditemukan"", 2), ""Tidak Ditemukan"")"),44.5)</f>
        <v>44.5</v>
      </c>
      <c r="H203" s="17">
        <f t="shared" si="1"/>
        <v>44.5</v>
      </c>
      <c r="I203" s="8"/>
    </row>
    <row r="204">
      <c r="A204" s="10" t="s">
        <v>286</v>
      </c>
      <c r="B204" s="10" t="s">
        <v>641</v>
      </c>
      <c r="C204" s="10" t="s">
        <v>709</v>
      </c>
      <c r="D204" s="12" t="s">
        <v>709</v>
      </c>
      <c r="E204" s="13" t="s">
        <v>710</v>
      </c>
      <c r="F204" s="15">
        <f>IFERROR(__xludf.DUMMYFUNCTION("XLOOKUP($D204,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04" s="15">
        <f>IFERROR(__xludf.DUMMYFUNCTION("IFNA(XLOOKUP(""*""&amp;TRIM(REGEXREPLACE($D204, ""(?i)^(PT|CV)\.?\s+"", """"))&amp;""*"", 'DATA TARGET'!$C$2:$C998, 'DATA TARGET'!$D$2:$D998, ""Tidak Ditemukan"", 2), ""Tidak Ditemukan"")"),0.0)</f>
        <v>0</v>
      </c>
      <c r="H204" s="17">
        <f t="shared" si="1"/>
        <v>0</v>
      </c>
      <c r="I204" s="8"/>
    </row>
    <row r="205">
      <c r="A205" s="10" t="s">
        <v>286</v>
      </c>
      <c r="B205" s="10" t="s">
        <v>641</v>
      </c>
      <c r="C205" s="10" t="s">
        <v>712</v>
      </c>
      <c r="D205" s="12" t="s">
        <v>712</v>
      </c>
      <c r="E205" s="13" t="s">
        <v>713</v>
      </c>
      <c r="F205" s="15">
        <f>IFERROR(__xludf.DUMMYFUNCTION("XLOOKUP($D205,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05" s="15">
        <f>IFERROR(__xludf.DUMMYFUNCTION("IFNA(XLOOKUP(""*""&amp;TRIM(REGEXREPLACE($D205, ""(?i)^(PT|CV)\.?\s+"", """"))&amp;""*"", 'DATA TARGET'!$C$2:$C998, 'DATA TARGET'!$D$2:$D998, ""Tidak Ditemukan"", 2), ""Tidak Ditemukan"")"),0.0)</f>
        <v>0</v>
      </c>
      <c r="H205" s="17">
        <f t="shared" si="1"/>
        <v>0</v>
      </c>
      <c r="I205" s="8"/>
    </row>
    <row r="206">
      <c r="A206" s="10" t="s">
        <v>286</v>
      </c>
      <c r="B206" s="10" t="s">
        <v>641</v>
      </c>
      <c r="C206" s="10" t="s">
        <v>715</v>
      </c>
      <c r="D206" s="12" t="s">
        <v>715</v>
      </c>
      <c r="E206" s="13" t="s">
        <v>716</v>
      </c>
      <c r="F206" s="15">
        <f>IFERROR(__xludf.DUMMYFUNCTION("XLOOKUP($D206,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(AUTO)'!R6:R""))"),89.51)</f>
        <v>89.51</v>
      </c>
      <c r="G206" s="15">
        <f>IFERROR(__xludf.DUMMYFUNCTION("IFNA(XLOOKUP(""*""&amp;TRIM(REGEXREPLACE($D206, ""(?i)^(PT|CV)\.?\s+"", """"))&amp;""*"", 'DATA TARGET'!$C$2:$C998, 'DATA TARGET'!$D$2:$D998, ""Tidak Ditemukan"", 2), ""Tidak Ditemukan"")"),89.51)</f>
        <v>89.51</v>
      </c>
      <c r="H206" s="17">
        <f t="shared" si="1"/>
        <v>89.51</v>
      </c>
      <c r="I206" s="8"/>
    </row>
    <row r="207">
      <c r="A207" s="10" t="s">
        <v>286</v>
      </c>
      <c r="B207" s="10" t="s">
        <v>641</v>
      </c>
      <c r="C207" s="10" t="s">
        <v>718</v>
      </c>
      <c r="D207" s="12" t="s">
        <v>719</v>
      </c>
      <c r="E207" s="13" t="s">
        <v>720</v>
      </c>
      <c r="F207" s="15">
        <f>IFERROR(__xludf.DUMMYFUNCTION("XLOOKUP($D207,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(AUTO)'!R6:R""))"),632.2)</f>
        <v>632.2</v>
      </c>
      <c r="G207" s="15" t="str">
        <f>IFERROR(__xludf.DUMMYFUNCTION("IFNA(XLOOKUP(""*""&amp;TRIM(REGEXREPLACE($D207, ""(?i)^(PT|CV)\.?\s+"", """"))&amp;""*"", 'DATA TARGET'!$C$2:$C998, 'DATA TARGET'!$D$2:$D998, ""Tidak Ditemukan"", 2), ""Tidak Ditemukan"")"),"Tidak Ditemukan")</f>
        <v>Tidak Ditemukan</v>
      </c>
      <c r="H207" s="17">
        <f t="shared" si="1"/>
        <v>632.2</v>
      </c>
      <c r="I207" s="8"/>
    </row>
    <row r="208">
      <c r="A208" s="10" t="s">
        <v>286</v>
      </c>
      <c r="B208" s="10" t="s">
        <v>641</v>
      </c>
      <c r="C208" s="10" t="s">
        <v>723</v>
      </c>
      <c r="D208" s="12" t="s">
        <v>723</v>
      </c>
      <c r="E208" s="13" t="s">
        <v>724</v>
      </c>
      <c r="F208" s="15">
        <f>IFERROR(__xludf.DUMMYFUNCTION("XLOOKUP($D208,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(AUTO)'!R6:R""))"),251.88)</f>
        <v>251.88</v>
      </c>
      <c r="G208" s="15">
        <f>IFERROR(__xludf.DUMMYFUNCTION("IFNA(XLOOKUP(""*""&amp;TRIM(REGEXREPLACE($D208, ""(?i)^(PT|CV)\.?\s+"", """"))&amp;""*"", 'DATA TARGET'!$C$2:$C998, 'DATA TARGET'!$D$2:$D998, ""Tidak Ditemukan"", 2), ""Tidak Ditemukan"")"),304.2)</f>
        <v>304.2</v>
      </c>
      <c r="H208" s="17">
        <f t="shared" si="1"/>
        <v>251.88</v>
      </c>
      <c r="I208" s="8"/>
    </row>
    <row r="209">
      <c r="A209" s="10" t="s">
        <v>286</v>
      </c>
      <c r="B209" s="10" t="s">
        <v>641</v>
      </c>
      <c r="C209" s="10" t="s">
        <v>726</v>
      </c>
      <c r="D209" s="12" t="s">
        <v>726</v>
      </c>
      <c r="E209" s="13" t="s">
        <v>727</v>
      </c>
      <c r="F209" s="15">
        <f>IFERROR(__xludf.DUMMYFUNCTION("XLOOKUP($D209,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09" s="15">
        <f>IFERROR(__xludf.DUMMYFUNCTION("IFNA(XLOOKUP(""*""&amp;TRIM(REGEXREPLACE($D209, ""(?i)^(PT|CV)\.?\s+"", """"))&amp;""*"", 'DATA TARGET'!$C$2:$C998, 'DATA TARGET'!$D$2:$D998, ""Tidak Ditemukan"", 2), ""Tidak Ditemukan"")"),0.0)</f>
        <v>0</v>
      </c>
      <c r="H209" s="17">
        <f t="shared" si="1"/>
        <v>0</v>
      </c>
      <c r="I209" s="8"/>
    </row>
    <row r="210">
      <c r="A210" s="10" t="s">
        <v>286</v>
      </c>
      <c r="B210" s="10" t="s">
        <v>641</v>
      </c>
      <c r="C210" s="10" t="s">
        <v>729</v>
      </c>
      <c r="D210" s="12" t="s">
        <v>729</v>
      </c>
      <c r="E210" s="13" t="s">
        <v>730</v>
      </c>
      <c r="F210" s="15">
        <f>IFERROR(__xludf.DUMMYFUNCTION("XLOOKUP($D210,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10" s="15">
        <f>IFERROR(__xludf.DUMMYFUNCTION("IFNA(XLOOKUP(""*""&amp;TRIM(REGEXREPLACE($D210, ""(?i)^(PT|CV)\.?\s+"", """"))&amp;""*"", 'DATA TARGET'!$C$2:$C998, 'DATA TARGET'!$D$2:$D998, ""Tidak Ditemukan"", 2), ""Tidak Ditemukan"")"),0.0)</f>
        <v>0</v>
      </c>
      <c r="H210" s="17">
        <f t="shared" si="1"/>
        <v>0</v>
      </c>
      <c r="I210" s="8"/>
    </row>
    <row r="211">
      <c r="A211" s="10" t="s">
        <v>286</v>
      </c>
      <c r="B211" s="10" t="s">
        <v>641</v>
      </c>
      <c r="C211" s="10" t="s">
        <v>732</v>
      </c>
      <c r="D211" s="12" t="s">
        <v>732</v>
      </c>
      <c r="E211" s="13" t="s">
        <v>733</v>
      </c>
      <c r="F211" s="15">
        <f>IFERROR(__xludf.DUMMYFUNCTION("XLOOKUP($D211,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11" s="15">
        <f>IFERROR(__xludf.DUMMYFUNCTION("IFNA(XLOOKUP(""*""&amp;TRIM(REGEXREPLACE($D211, ""(?i)^(PT|CV)\.?\s+"", """"))&amp;""*"", 'DATA TARGET'!$C$2:$C998, 'DATA TARGET'!$D$2:$D998, ""Tidak Ditemukan"", 2), ""Tidak Ditemukan"")"),0.0)</f>
        <v>0</v>
      </c>
      <c r="H211" s="17">
        <f t="shared" si="1"/>
        <v>0</v>
      </c>
      <c r="I211" s="8"/>
    </row>
    <row r="212">
      <c r="A212" s="10" t="s">
        <v>286</v>
      </c>
      <c r="B212" s="10" t="s">
        <v>641</v>
      </c>
      <c r="C212" s="10" t="s">
        <v>718</v>
      </c>
      <c r="D212" s="12" t="s">
        <v>735</v>
      </c>
      <c r="E212" s="13" t="s">
        <v>736</v>
      </c>
      <c r="F212" s="15">
        <f>IFERROR(__xludf.DUMMYFUNCTION("XLOOKUP($D212,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(AUTO)'!R6:R""))"),32.38)</f>
        <v>32.38</v>
      </c>
      <c r="G212" s="15" t="str">
        <f>IFERROR(__xludf.DUMMYFUNCTION("IFNA(XLOOKUP(""*""&amp;TRIM(REGEXREPLACE($D212, ""(?i)^(PT|CV)\.?\s+"", """"))&amp;""*"", 'DATA TARGET'!$C$2:$C998, 'DATA TARGET'!$D$2:$D998, ""Tidak Ditemukan"", 2), ""Tidak Ditemukan"")"),"Tidak Ditemukan")</f>
        <v>Tidak Ditemukan</v>
      </c>
      <c r="H212" s="17">
        <f t="shared" si="1"/>
        <v>32.38</v>
      </c>
      <c r="I212" s="8"/>
    </row>
    <row r="213">
      <c r="A213" s="10" t="s">
        <v>738</v>
      </c>
      <c r="B213" s="10" t="s">
        <v>739</v>
      </c>
      <c r="C213" s="10" t="s">
        <v>741</v>
      </c>
      <c r="D213" s="12" t="s">
        <v>742</v>
      </c>
      <c r="E213" s="13" t="s">
        <v>743</v>
      </c>
      <c r="F213" s="15">
        <f>IFERROR(__xludf.DUMMYFUNCTION("XLOOKUP($D213,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(AUTO)'!R6:R""))"),1084.39)</f>
        <v>1084.39</v>
      </c>
      <c r="G213" s="15">
        <f>IFERROR(__xludf.DUMMYFUNCTION("IFNA(XLOOKUP(""*""&amp;TRIM(REGEXREPLACE($D213, ""(?i)^(PT|CV)\.?\s+"", """"))&amp;""*"", 'DATA TARGET'!$C$2:$C998, 'DATA TARGET'!$D$2:$D998, ""Tidak Ditemukan"", 2), ""Tidak Ditemukan"")"),786.0)</f>
        <v>786</v>
      </c>
      <c r="H213" s="17">
        <f t="shared" si="1"/>
        <v>1084.39</v>
      </c>
      <c r="I213" s="8"/>
    </row>
    <row r="214">
      <c r="A214" s="10" t="s">
        <v>738</v>
      </c>
      <c r="B214" s="10" t="s">
        <v>739</v>
      </c>
      <c r="C214" s="10" t="s">
        <v>745</v>
      </c>
      <c r="D214" s="12" t="s">
        <v>746</v>
      </c>
      <c r="E214" s="13" t="s">
        <v>747</v>
      </c>
      <c r="F214" s="15">
        <f>IFERROR(__xludf.DUMMYFUNCTION("XLOOKUP($D214,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(AUTO)'!R6:R""))"),3227.79)</f>
        <v>3227.79</v>
      </c>
      <c r="G214" s="15">
        <f>IFERROR(__xludf.DUMMYFUNCTION("IFNA(XLOOKUP(""*""&amp;TRIM(REGEXREPLACE($D214, ""(?i)^(PT|CV)\.?\s+"", """"))&amp;""*"", 'DATA TARGET'!$C$2:$C998, 'DATA TARGET'!$D$2:$D998, ""Tidak Ditemukan"", 2), ""Tidak Ditemukan"")"),6836.95)</f>
        <v>6836.95</v>
      </c>
      <c r="H214" s="17">
        <f t="shared" si="1"/>
        <v>3227.79</v>
      </c>
      <c r="I214" s="8"/>
    </row>
    <row r="215">
      <c r="A215" s="10" t="s">
        <v>738</v>
      </c>
      <c r="B215" s="10" t="s">
        <v>739</v>
      </c>
      <c r="C215" s="10" t="s">
        <v>750</v>
      </c>
      <c r="D215" s="12" t="s">
        <v>751</v>
      </c>
      <c r="E215" s="13" t="s">
        <v>752</v>
      </c>
      <c r="F215" s="15">
        <f>IFERROR(__xludf.DUMMYFUNCTION("XLOOKUP($D215,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(AUTO)'!R6:R""))"),5436.81)</f>
        <v>5436.81</v>
      </c>
      <c r="G215" s="15">
        <f>IFERROR(__xludf.DUMMYFUNCTION("IFNA(XLOOKUP(""*""&amp;TRIM(REGEXREPLACE($D215, ""(?i)^(PT|CV)\.?\s+"", """"))&amp;""*"", 'DATA TARGET'!$C$2:$C998, 'DATA TARGET'!$D$2:$D998, ""Tidak Ditemukan"", 2), ""Tidak Ditemukan"")"),7533.16)</f>
        <v>7533.16</v>
      </c>
      <c r="H215" s="17">
        <f t="shared" si="1"/>
        <v>5436.81</v>
      </c>
      <c r="I215" s="8"/>
    </row>
    <row r="216">
      <c r="A216" s="10" t="s">
        <v>738</v>
      </c>
      <c r="B216" s="10" t="s">
        <v>739</v>
      </c>
      <c r="C216" s="10" t="s">
        <v>755</v>
      </c>
      <c r="D216" s="12" t="s">
        <v>756</v>
      </c>
      <c r="E216" s="13" t="s">
        <v>757</v>
      </c>
      <c r="F216" s="15">
        <f>IFERROR(__xludf.DUMMYFUNCTION("XLOOKUP($D216,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(AUTO)'!R6:R""))"),110.51)</f>
        <v>110.51</v>
      </c>
      <c r="G216" s="15">
        <f>IFERROR(__xludf.DUMMYFUNCTION("IFNA(XLOOKUP(""*""&amp;TRIM(REGEXREPLACE($D216, ""(?i)^(PT|CV)\.?\s+"", """"))&amp;""*"", 'DATA TARGET'!$C$2:$C998, 'DATA TARGET'!$D$2:$D998, ""Tidak Ditemukan"", 2), ""Tidak Ditemukan"")"),1386.07)</f>
        <v>1386.07</v>
      </c>
      <c r="H216" s="17">
        <f t="shared" si="1"/>
        <v>110.51</v>
      </c>
      <c r="I216" s="8"/>
    </row>
    <row r="217">
      <c r="A217" s="10" t="s">
        <v>738</v>
      </c>
      <c r="B217" s="10" t="s">
        <v>739</v>
      </c>
      <c r="C217" s="10" t="s">
        <v>759</v>
      </c>
      <c r="D217" s="12" t="s">
        <v>760</v>
      </c>
      <c r="E217" s="13" t="s">
        <v>762</v>
      </c>
      <c r="F217" s="15">
        <f>IFERROR(__xludf.DUMMYFUNCTION("XLOOKUP($D217,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(AUTO)'!R6:R""))"),6631.12)</f>
        <v>6631.12</v>
      </c>
      <c r="G217" s="15">
        <f>IFERROR(__xludf.DUMMYFUNCTION("IFNA(XLOOKUP(""*""&amp;TRIM(REGEXREPLACE($D217, ""(?i)^(PT|CV)\.?\s+"", """"))&amp;""*"", 'DATA TARGET'!$C$2:$C998, 'DATA TARGET'!$D$2:$D998, ""Tidak Ditemukan"", 2), ""Tidak Ditemukan"")"),8639.31)</f>
        <v>8639.31</v>
      </c>
      <c r="H217" s="17">
        <f t="shared" si="1"/>
        <v>6631.12</v>
      </c>
      <c r="I217" s="8"/>
    </row>
    <row r="218">
      <c r="A218" s="10" t="s">
        <v>738</v>
      </c>
      <c r="B218" s="10" t="s">
        <v>739</v>
      </c>
      <c r="C218" s="10" t="s">
        <v>764</v>
      </c>
      <c r="D218" s="12" t="s">
        <v>765</v>
      </c>
      <c r="E218" s="13" t="s">
        <v>766</v>
      </c>
      <c r="F218" s="15">
        <f>IFERROR(__xludf.DUMMYFUNCTION("XLOOKUP($D218,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(AUTO)'!R6:R""))"),9578.49)</f>
        <v>9578.49</v>
      </c>
      <c r="G218" s="15">
        <f>IFERROR(__xludf.DUMMYFUNCTION("IFNA(XLOOKUP(""*""&amp;TRIM(REGEXREPLACE($D218, ""(?i)^(PT|CV)\.?\s+"", """"))&amp;""*"", 'DATA TARGET'!$C$2:$C998, 'DATA TARGET'!$D$2:$D998, ""Tidak Ditemukan"", 2), ""Tidak Ditemukan"")"),12152.49)</f>
        <v>12152.49</v>
      </c>
      <c r="H218" s="17">
        <f t="shared" si="1"/>
        <v>9578.49</v>
      </c>
      <c r="I218" s="8"/>
    </row>
    <row r="219">
      <c r="A219" s="10" t="s">
        <v>768</v>
      </c>
      <c r="B219" s="10" t="s">
        <v>769</v>
      </c>
      <c r="C219" s="10" t="s">
        <v>770</v>
      </c>
      <c r="D219" s="12" t="s">
        <v>770</v>
      </c>
      <c r="E219" s="19" t="s">
        <v>771</v>
      </c>
      <c r="F219" s="15">
        <f>IFERROR(__xludf.DUMMYFUNCTION("XLOOKUP($D219,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(AUTO)'!R6:R""))"),34.78)</f>
        <v>34.78</v>
      </c>
      <c r="G219" s="15">
        <f>IFERROR(__xludf.DUMMYFUNCTION("IFNA(XLOOKUP(""*""&amp;TRIM(REGEXREPLACE($D219, ""(?i)^(PT|CV)\.?\s+"", """"))&amp;""*"", 'DATA TARGET'!$C$2:$C998, 'DATA TARGET'!$D$2:$D998, ""Tidak Ditemukan"", 2), ""Tidak Ditemukan"")"),34.78)</f>
        <v>34.78</v>
      </c>
      <c r="H219" s="17">
        <f t="shared" si="1"/>
        <v>34.78</v>
      </c>
      <c r="I219" s="8"/>
    </row>
    <row r="220">
      <c r="A220" s="10" t="s">
        <v>768</v>
      </c>
      <c r="B220" s="10" t="s">
        <v>769</v>
      </c>
      <c r="C220" s="10" t="s">
        <v>774</v>
      </c>
      <c r="D220" s="12" t="s">
        <v>774</v>
      </c>
      <c r="E220" s="19" t="s">
        <v>775</v>
      </c>
      <c r="F220" s="15">
        <f>IFERROR(__xludf.DUMMYFUNCTION("XLOOKUP($D220,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(AUTO)'!R6:R""))"),41.5)</f>
        <v>41.5</v>
      </c>
      <c r="G220" s="15">
        <f>IFERROR(__xludf.DUMMYFUNCTION("IFNA(XLOOKUP(""*""&amp;TRIM(REGEXREPLACE($D220, ""(?i)^(PT|CV)\.?\s+"", """"))&amp;""*"", 'DATA TARGET'!$C$2:$C998, 'DATA TARGET'!$D$2:$D998, ""Tidak Ditemukan"", 2), ""Tidak Ditemukan"")"),41.5)</f>
        <v>41.5</v>
      </c>
      <c r="H220" s="17">
        <f t="shared" si="1"/>
        <v>41.5</v>
      </c>
      <c r="I220" s="8"/>
    </row>
    <row r="221">
      <c r="A221" s="10" t="s">
        <v>768</v>
      </c>
      <c r="B221" s="10" t="s">
        <v>769</v>
      </c>
      <c r="C221" s="10" t="s">
        <v>777</v>
      </c>
      <c r="D221" s="12" t="s">
        <v>777</v>
      </c>
      <c r="E221" s="13" t="s">
        <v>778</v>
      </c>
      <c r="F221" s="15">
        <f>IFERROR(__xludf.DUMMYFUNCTION("XLOOKUP($D221,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21" s="15">
        <f>IFERROR(__xludf.DUMMYFUNCTION("IFNA(XLOOKUP(""*""&amp;TRIM(REGEXREPLACE($D221, ""(?i)^(PT|CV)\.?\s+"", """"))&amp;""*"", 'DATA TARGET'!$C$2:$C998, 'DATA TARGET'!$D$2:$D998, ""Tidak Ditemukan"", 2), ""Tidak Ditemukan"")"),0.0)</f>
        <v>0</v>
      </c>
      <c r="H221" s="17">
        <f t="shared" si="1"/>
        <v>0</v>
      </c>
      <c r="I221" s="8"/>
    </row>
    <row r="222">
      <c r="A222" s="10" t="s">
        <v>768</v>
      </c>
      <c r="B222" s="10" t="s">
        <v>769</v>
      </c>
      <c r="C222" s="10" t="s">
        <v>780</v>
      </c>
      <c r="D222" s="12" t="s">
        <v>780</v>
      </c>
      <c r="E222" s="13" t="s">
        <v>781</v>
      </c>
      <c r="F222" s="15">
        <f>IFERROR(__xludf.DUMMYFUNCTION("XLOOKUP($D222,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22" s="15" t="str">
        <f>IFERROR(__xludf.DUMMYFUNCTION("IFNA(XLOOKUP(""*""&amp;TRIM(REGEXREPLACE($D222, ""(?i)^(PT|CV)\.?\s+"", """"))&amp;""*"", 'DATA TARGET'!$C$2:$C998, 'DATA TARGET'!$D$2:$D998, ""Tidak Ditemukan"", 2), ""Tidak Ditemukan"")"),"Tidak Ditemukan")</f>
        <v>Tidak Ditemukan</v>
      </c>
      <c r="H222" s="17" t="str">
        <f t="shared" si="1"/>
        <v>Tidak Ditemukan</v>
      </c>
      <c r="I222" s="8"/>
    </row>
    <row r="223">
      <c r="A223" s="10" t="s">
        <v>768</v>
      </c>
      <c r="B223" s="10" t="s">
        <v>769</v>
      </c>
      <c r="C223" s="10" t="s">
        <v>782</v>
      </c>
      <c r="D223" s="12" t="s">
        <v>782</v>
      </c>
      <c r="E223" s="19" t="s">
        <v>783</v>
      </c>
      <c r="F223" s="15">
        <f>IFERROR(__xludf.DUMMYFUNCTION("XLOOKUP($D223,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(AUTO)'!R6:R""))"),26.5)</f>
        <v>26.5</v>
      </c>
      <c r="G223" s="15">
        <f>IFERROR(__xludf.DUMMYFUNCTION("IFNA(XLOOKUP(""*""&amp;TRIM(REGEXREPLACE($D223, ""(?i)^(PT|CV)\.?\s+"", """"))&amp;""*"", 'DATA TARGET'!$C$2:$C998, 'DATA TARGET'!$D$2:$D998, ""Tidak Ditemukan"", 2), ""Tidak Ditemukan"")"),26.5)</f>
        <v>26.5</v>
      </c>
      <c r="H223" s="17">
        <f t="shared" si="1"/>
        <v>26.5</v>
      </c>
      <c r="I223" s="8"/>
    </row>
    <row r="224">
      <c r="A224" s="10" t="s">
        <v>768</v>
      </c>
      <c r="B224" s="10" t="s">
        <v>769</v>
      </c>
      <c r="C224" s="10" t="s">
        <v>785</v>
      </c>
      <c r="D224" s="12" t="s">
        <v>785</v>
      </c>
      <c r="E224" s="13" t="s">
        <v>786</v>
      </c>
      <c r="F224" s="15">
        <f>IFERROR(__xludf.DUMMYFUNCTION("XLOOKUP($D224,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(AUTO)'!R6:R""))"),76.77)</f>
        <v>76.77</v>
      </c>
      <c r="G224" s="15">
        <f>IFERROR(__xludf.DUMMYFUNCTION("IFNA(XLOOKUP(""*""&amp;TRIM(REGEXREPLACE($D224, ""(?i)^(PT|CV)\.?\s+"", """"))&amp;""*"", 'DATA TARGET'!$C$2:$C998, 'DATA TARGET'!$D$2:$D998, ""Tidak Ditemukan"", 2), ""Tidak Ditemukan"")"),76.77)</f>
        <v>76.77</v>
      </c>
      <c r="H224" s="17">
        <f t="shared" si="1"/>
        <v>76.77</v>
      </c>
      <c r="I224" s="8"/>
    </row>
    <row r="225">
      <c r="A225" s="10" t="s">
        <v>768</v>
      </c>
      <c r="B225" s="10" t="s">
        <v>769</v>
      </c>
      <c r="C225" s="10" t="s">
        <v>788</v>
      </c>
      <c r="D225" s="12" t="s">
        <v>788</v>
      </c>
      <c r="E225" s="13" t="s">
        <v>790</v>
      </c>
      <c r="F225" s="15">
        <f>IFERROR(__xludf.DUMMYFUNCTION("XLOOKUP($D225,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(AUTO)'!R6:R""))"),22.0)</f>
        <v>22</v>
      </c>
      <c r="G225" s="15">
        <f>IFERROR(__xludf.DUMMYFUNCTION("IFNA(XLOOKUP(""*""&amp;TRIM(REGEXREPLACE($D225, ""(?i)^(PT|CV)\.?\s+"", """"))&amp;""*"", 'DATA TARGET'!$C$2:$C998, 'DATA TARGET'!$D$2:$D998, ""Tidak Ditemukan"", 2), ""Tidak Ditemukan"")"),22.0)</f>
        <v>22</v>
      </c>
      <c r="H225" s="17">
        <f t="shared" si="1"/>
        <v>22</v>
      </c>
      <c r="I225" s="8"/>
    </row>
    <row r="226">
      <c r="A226" s="10" t="s">
        <v>768</v>
      </c>
      <c r="B226" s="10" t="s">
        <v>769</v>
      </c>
      <c r="C226" s="10" t="s">
        <v>791</v>
      </c>
      <c r="D226" s="12" t="s">
        <v>791</v>
      </c>
      <c r="E226" s="13" t="s">
        <v>793</v>
      </c>
      <c r="F226" s="15">
        <f>IFERROR(__xludf.DUMMYFUNCTION("XLOOKUP($D226,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26" s="15">
        <f>IFERROR(__xludf.DUMMYFUNCTION("IFNA(XLOOKUP(""*""&amp;TRIM(REGEXREPLACE($D226, ""(?i)^(PT|CV)\.?\s+"", """"))&amp;""*"", 'DATA TARGET'!$C$2:$C998, 'DATA TARGET'!$D$2:$D998, ""Tidak Ditemukan"", 2), ""Tidak Ditemukan"")"),29.0)</f>
        <v>29</v>
      </c>
      <c r="H226" s="17">
        <f t="shared" si="1"/>
        <v>29</v>
      </c>
      <c r="I226" s="8"/>
    </row>
    <row r="227">
      <c r="A227" s="10" t="s">
        <v>768</v>
      </c>
      <c r="B227" s="10" t="s">
        <v>769</v>
      </c>
      <c r="C227" s="10" t="s">
        <v>795</v>
      </c>
      <c r="D227" s="12" t="s">
        <v>795</v>
      </c>
      <c r="E227" s="19" t="s">
        <v>796</v>
      </c>
      <c r="F227" s="15">
        <f>IFERROR(__xludf.DUMMYFUNCTION("XLOOKUP($D227,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(AUTO)'!R6:R""))"),236.92)</f>
        <v>236.92</v>
      </c>
      <c r="G227" s="15">
        <f>IFERROR(__xludf.DUMMYFUNCTION("IFNA(XLOOKUP(""*""&amp;TRIM(REGEXREPLACE($D227, ""(?i)^(PT|CV)\.?\s+"", """"))&amp;""*"", 'DATA TARGET'!$C$2:$C998, 'DATA TARGET'!$D$2:$D998, ""Tidak Ditemukan"", 2), ""Tidak Ditemukan"")"),207.92)</f>
        <v>207.92</v>
      </c>
      <c r="H227" s="17">
        <f t="shared" si="1"/>
        <v>236.92</v>
      </c>
      <c r="I227" s="8"/>
    </row>
    <row r="228">
      <c r="A228" s="10" t="s">
        <v>768</v>
      </c>
      <c r="B228" s="10" t="s">
        <v>769</v>
      </c>
      <c r="C228" s="10" t="s">
        <v>798</v>
      </c>
      <c r="D228" s="12" t="s">
        <v>798</v>
      </c>
      <c r="E228" s="19" t="s">
        <v>799</v>
      </c>
      <c r="F228" s="15">
        <f>IFERROR(__xludf.DUMMYFUNCTION("XLOOKUP($D228,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(AUTO)'!R6:R""))"),86.0)</f>
        <v>86</v>
      </c>
      <c r="G228" s="15">
        <f>IFERROR(__xludf.DUMMYFUNCTION("IFNA(XLOOKUP(""*""&amp;TRIM(REGEXREPLACE($D228, ""(?i)^(PT|CV)\.?\s+"", """"))&amp;""*"", 'DATA TARGET'!$C$2:$C998, 'DATA TARGET'!$D$2:$D998, ""Tidak Ditemukan"", 2), ""Tidak Ditemukan"")"),86.0)</f>
        <v>86</v>
      </c>
      <c r="H228" s="17">
        <f t="shared" si="1"/>
        <v>86</v>
      </c>
      <c r="I228" s="8"/>
    </row>
    <row r="229">
      <c r="A229" s="10" t="s">
        <v>768</v>
      </c>
      <c r="B229" s="10" t="s">
        <v>769</v>
      </c>
      <c r="C229" s="10" t="s">
        <v>800</v>
      </c>
      <c r="D229" s="12" t="s">
        <v>800</v>
      </c>
      <c r="E229" s="19" t="s">
        <v>801</v>
      </c>
      <c r="F229" s="15">
        <f>IFERROR(__xludf.DUMMYFUNCTION("XLOOKUP($D229,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29" s="15">
        <f>IFERROR(__xludf.DUMMYFUNCTION("IFNA(XLOOKUP(""*""&amp;TRIM(REGEXREPLACE($D229, ""(?i)^(PT|CV)\.?\s+"", """"))&amp;""*"", 'DATA TARGET'!$C$2:$C998, 'DATA TARGET'!$D$2:$D998, ""Tidak Ditemukan"", 2), ""Tidak Ditemukan"")"),0.0)</f>
        <v>0</v>
      </c>
      <c r="H229" s="17">
        <f t="shared" si="1"/>
        <v>0</v>
      </c>
      <c r="I229" s="8"/>
    </row>
    <row r="230">
      <c r="A230" s="10" t="s">
        <v>768</v>
      </c>
      <c r="B230" s="10" t="s">
        <v>803</v>
      </c>
      <c r="C230" s="10" t="s">
        <v>804</v>
      </c>
      <c r="D230" s="12" t="s">
        <v>804</v>
      </c>
      <c r="E230" s="13" t="s">
        <v>805</v>
      </c>
      <c r="F230" s="15">
        <f>IFERROR(__xludf.DUMMYFUNCTION("XLOOKUP($D230,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0" s="15">
        <f>IFERROR(__xludf.DUMMYFUNCTION("IFNA(XLOOKUP(""*""&amp;TRIM(REGEXREPLACE($D230, ""(?i)^(PT|CV)\.?\s+"", """"))&amp;""*"", 'DATA TARGET'!$C$2:$C998, 'DATA TARGET'!$D$2:$D998, ""Tidak Ditemukan"", 2), ""Tidak Ditemukan"")"),0.0)</f>
        <v>0</v>
      </c>
      <c r="H230" s="17">
        <f t="shared" si="1"/>
        <v>0</v>
      </c>
      <c r="I230" s="8"/>
    </row>
    <row r="231">
      <c r="A231" s="10" t="s">
        <v>768</v>
      </c>
      <c r="B231" s="10" t="s">
        <v>803</v>
      </c>
      <c r="C231" s="10" t="s">
        <v>807</v>
      </c>
      <c r="D231" s="12" t="s">
        <v>807</v>
      </c>
      <c r="E231" s="13" t="s">
        <v>808</v>
      </c>
      <c r="F231" s="15">
        <f>IFERROR(__xludf.DUMMYFUNCTION("XLOOKUP($D231,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1" s="15">
        <f>IFERROR(__xludf.DUMMYFUNCTION("IFNA(XLOOKUP(""*""&amp;TRIM(REGEXREPLACE($D231, ""(?i)^(PT|CV)\.?\s+"", """"))&amp;""*"", 'DATA TARGET'!$C$2:$C998, 'DATA TARGET'!$D$2:$D998, ""Tidak Ditemukan"", 2), ""Tidak Ditemukan"")"),0.0)</f>
        <v>0</v>
      </c>
      <c r="H231" s="17">
        <f t="shared" si="1"/>
        <v>0</v>
      </c>
      <c r="I231" s="8"/>
    </row>
    <row r="232">
      <c r="A232" s="10" t="s">
        <v>768</v>
      </c>
      <c r="B232" s="10" t="s">
        <v>803</v>
      </c>
      <c r="C232" s="10" t="s">
        <v>809</v>
      </c>
      <c r="D232" s="12" t="s">
        <v>809</v>
      </c>
      <c r="E232" s="13" t="s">
        <v>811</v>
      </c>
      <c r="F232" s="15">
        <f>IFERROR(__xludf.DUMMYFUNCTION("XLOOKUP($D232,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2" s="15">
        <f>IFERROR(__xludf.DUMMYFUNCTION("IFNA(XLOOKUP(""*""&amp;TRIM(REGEXREPLACE($D232, ""(?i)^(PT|CV)\.?\s+"", """"))&amp;""*"", 'DATA TARGET'!$C$2:$C998, 'DATA TARGET'!$D$2:$D998, ""Tidak Ditemukan"", 2), ""Tidak Ditemukan"")"),0.0)</f>
        <v>0</v>
      </c>
      <c r="H232" s="17">
        <f t="shared" si="1"/>
        <v>0</v>
      </c>
      <c r="I232" s="8"/>
    </row>
    <row r="233">
      <c r="A233" s="10" t="s">
        <v>768</v>
      </c>
      <c r="B233" s="10" t="s">
        <v>803</v>
      </c>
      <c r="C233" s="10" t="s">
        <v>812</v>
      </c>
      <c r="D233" s="12" t="s">
        <v>812</v>
      </c>
      <c r="E233" s="13" t="s">
        <v>813</v>
      </c>
      <c r="F233" s="15">
        <f>IFERROR(__xludf.DUMMYFUNCTION("XLOOKUP($D233,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3" s="15">
        <f>IFERROR(__xludf.DUMMYFUNCTION("IFNA(XLOOKUP(""*""&amp;TRIM(REGEXREPLACE($D233, ""(?i)^(PT|CV)\.?\s+"", """"))&amp;""*"", 'DATA TARGET'!$C$2:$C998, 'DATA TARGET'!$D$2:$D998, ""Tidak Ditemukan"", 2), ""Tidak Ditemukan"")"),0.0)</f>
        <v>0</v>
      </c>
      <c r="H233" s="17">
        <f t="shared" si="1"/>
        <v>0</v>
      </c>
      <c r="I233" s="8"/>
    </row>
    <row r="234">
      <c r="A234" s="10" t="s">
        <v>768</v>
      </c>
      <c r="B234" s="10" t="s">
        <v>803</v>
      </c>
      <c r="C234" s="10" t="s">
        <v>815</v>
      </c>
      <c r="D234" s="12" t="s">
        <v>815</v>
      </c>
      <c r="E234" s="13" t="s">
        <v>817</v>
      </c>
      <c r="F234" s="15">
        <f>IFERROR(__xludf.DUMMYFUNCTION("XLOOKUP($D234,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4" s="15">
        <f>IFERROR(__xludf.DUMMYFUNCTION("IFNA(XLOOKUP(""*""&amp;TRIM(REGEXREPLACE($D234, ""(?i)^(PT|CV)\.?\s+"", """"))&amp;""*"", 'DATA TARGET'!$C$2:$C998, 'DATA TARGET'!$D$2:$D998, ""Tidak Ditemukan"", 2), ""Tidak Ditemukan"")"),0.0)</f>
        <v>0</v>
      </c>
      <c r="H234" s="17">
        <f t="shared" si="1"/>
        <v>0</v>
      </c>
      <c r="I234" s="8"/>
    </row>
    <row r="235">
      <c r="A235" s="10" t="s">
        <v>768</v>
      </c>
      <c r="B235" s="10" t="s">
        <v>803</v>
      </c>
      <c r="C235" s="10" t="s">
        <v>820</v>
      </c>
      <c r="D235" s="12" t="s">
        <v>820</v>
      </c>
      <c r="E235" s="13" t="s">
        <v>821</v>
      </c>
      <c r="F235" s="15">
        <f>IFERROR(__xludf.DUMMYFUNCTION("XLOOKUP($D235,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(AUTO)'!R6:R""))"),188.94)</f>
        <v>188.94</v>
      </c>
      <c r="G235" s="15">
        <f>IFERROR(__xludf.DUMMYFUNCTION("IFNA(XLOOKUP(""*""&amp;TRIM(REGEXREPLACE($D235, ""(?i)^(PT|CV)\.?\s+"", """"))&amp;""*"", 'DATA TARGET'!$C$2:$C998, 'DATA TARGET'!$D$2:$D998, ""Tidak Ditemukan"", 2), ""Tidak Ditemukan"")"),188.94)</f>
        <v>188.94</v>
      </c>
      <c r="H235" s="17">
        <f t="shared" si="1"/>
        <v>188.94</v>
      </c>
      <c r="I235" s="8"/>
    </row>
    <row r="236">
      <c r="A236" s="10" t="s">
        <v>768</v>
      </c>
      <c r="B236" s="10" t="s">
        <v>803</v>
      </c>
      <c r="C236" s="10" t="s">
        <v>824</v>
      </c>
      <c r="D236" s="12" t="s">
        <v>824</v>
      </c>
      <c r="E236" s="13" t="s">
        <v>825</v>
      </c>
      <c r="F236" s="15">
        <f>IFERROR(__xludf.DUMMYFUNCTION("XLOOKUP($D236,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(AUTO)'!R6:R""))"),376.65)</f>
        <v>376.65</v>
      </c>
      <c r="G236" s="15">
        <f>IFERROR(__xludf.DUMMYFUNCTION("IFNA(XLOOKUP(""*""&amp;TRIM(REGEXREPLACE($D236, ""(?i)^(PT|CV)\.?\s+"", """"))&amp;""*"", 'DATA TARGET'!$C$2:$C998, 'DATA TARGET'!$D$2:$D998, ""Tidak Ditemukan"", 2), ""Tidak Ditemukan"")"),376.65)</f>
        <v>376.65</v>
      </c>
      <c r="H236" s="17">
        <f t="shared" si="1"/>
        <v>376.65</v>
      </c>
      <c r="I236" s="8"/>
    </row>
    <row r="237">
      <c r="A237" s="10" t="s">
        <v>768</v>
      </c>
      <c r="B237" s="10" t="s">
        <v>803</v>
      </c>
      <c r="C237" s="10" t="s">
        <v>827</v>
      </c>
      <c r="D237" s="12" t="s">
        <v>827</v>
      </c>
      <c r="E237" s="13" t="s">
        <v>828</v>
      </c>
      <c r="F237" s="15">
        <f>IFERROR(__xludf.DUMMYFUNCTION("XLOOKUP($D237,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(AUTO)'!R6:R""))"),12.86)</f>
        <v>12.86</v>
      </c>
      <c r="G237" s="15">
        <f>IFERROR(__xludf.DUMMYFUNCTION("IFNA(XLOOKUP(""*""&amp;TRIM(REGEXREPLACE($D237, ""(?i)^(PT|CV)\.?\s+"", """"))&amp;""*"", 'DATA TARGET'!$C$2:$C998, 'DATA TARGET'!$D$2:$D998, ""Tidak Ditemukan"", 2), ""Tidak Ditemukan"")"),0.0)</f>
        <v>0</v>
      </c>
      <c r="H237" s="17">
        <f t="shared" si="1"/>
        <v>12.86</v>
      </c>
      <c r="I237" s="8"/>
    </row>
    <row r="238">
      <c r="A238" s="10" t="s">
        <v>768</v>
      </c>
      <c r="B238" s="10" t="s">
        <v>803</v>
      </c>
      <c r="C238" s="10" t="s">
        <v>830</v>
      </c>
      <c r="D238" s="12" t="s">
        <v>830</v>
      </c>
      <c r="E238" s="13" t="s">
        <v>831</v>
      </c>
      <c r="F238" s="15">
        <f>IFERROR(__xludf.DUMMYFUNCTION("XLOOKUP($D238,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8" s="15">
        <f>IFERROR(__xludf.DUMMYFUNCTION("IFNA(XLOOKUP(""*""&amp;TRIM(REGEXREPLACE($D238, ""(?i)^(PT|CV)\.?\s+"", """"))&amp;""*"", 'DATA TARGET'!$C$2:$C998, 'DATA TARGET'!$D$2:$D998, ""Tidak Ditemukan"", 2), ""Tidak Ditemukan"")"),0.0)</f>
        <v>0</v>
      </c>
      <c r="H238" s="17">
        <f t="shared" si="1"/>
        <v>0</v>
      </c>
      <c r="I238" s="8"/>
    </row>
    <row r="239">
      <c r="A239" s="10" t="s">
        <v>768</v>
      </c>
      <c r="B239" s="10" t="s">
        <v>803</v>
      </c>
      <c r="C239" s="10" t="s">
        <v>832</v>
      </c>
      <c r="D239" s="12" t="s">
        <v>832</v>
      </c>
      <c r="E239" s="13" t="s">
        <v>834</v>
      </c>
      <c r="F239" s="15">
        <f>IFERROR(__xludf.DUMMYFUNCTION("XLOOKUP($D239,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39" s="15">
        <f>IFERROR(__xludf.DUMMYFUNCTION("IFNA(XLOOKUP(""*""&amp;TRIM(REGEXREPLACE($D239, ""(?i)^(PT|CV)\.?\s+"", """"))&amp;""*"", 'DATA TARGET'!$C$2:$C998, 'DATA TARGET'!$D$2:$D998, ""Tidak Ditemukan"", 2), ""Tidak Ditemukan"")"),0.0)</f>
        <v>0</v>
      </c>
      <c r="H239" s="17">
        <f t="shared" si="1"/>
        <v>0</v>
      </c>
      <c r="I239" s="8"/>
    </row>
    <row r="240">
      <c r="A240" s="10" t="s">
        <v>768</v>
      </c>
      <c r="B240" s="10" t="s">
        <v>803</v>
      </c>
      <c r="C240" s="10" t="s">
        <v>835</v>
      </c>
      <c r="D240" s="12" t="s">
        <v>835</v>
      </c>
      <c r="E240" s="13" t="s">
        <v>836</v>
      </c>
      <c r="F240" s="15">
        <f>IFERROR(__xludf.DUMMYFUNCTION("XLOOKUP($D240,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40" s="15">
        <f>IFERROR(__xludf.DUMMYFUNCTION("IFNA(XLOOKUP(""*""&amp;TRIM(REGEXREPLACE($D240, ""(?i)^(PT|CV)\.?\s+"", """"))&amp;""*"", 'DATA TARGET'!$C$2:$C998, 'DATA TARGET'!$D$2:$D998, ""Tidak Ditemukan"", 2), ""Tidak Ditemukan"")"),0.0)</f>
        <v>0</v>
      </c>
      <c r="H240" s="17">
        <f t="shared" si="1"/>
        <v>0</v>
      </c>
      <c r="I240" s="8"/>
    </row>
    <row r="241">
      <c r="A241" s="10" t="s">
        <v>768</v>
      </c>
      <c r="B241" s="10" t="s">
        <v>803</v>
      </c>
      <c r="C241" s="10" t="s">
        <v>838</v>
      </c>
      <c r="D241" s="12" t="s">
        <v>838</v>
      </c>
      <c r="E241" s="13" t="s">
        <v>839</v>
      </c>
      <c r="F241" s="15">
        <f>IFERROR(__xludf.DUMMYFUNCTION("XLOOKUP($D241,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41" s="15">
        <f>IFERROR(__xludf.DUMMYFUNCTION("IFNA(XLOOKUP(""*""&amp;TRIM(REGEXREPLACE($D241, ""(?i)^(PT|CV)\.?\s+"", """"))&amp;""*"", 'DATA TARGET'!$C$2:$C998, 'DATA TARGET'!$D$2:$D998, ""Tidak Ditemukan"", 2), ""Tidak Ditemukan"")"),0.0)</f>
        <v>0</v>
      </c>
      <c r="H241" s="17">
        <f t="shared" si="1"/>
        <v>0</v>
      </c>
      <c r="I241" s="8"/>
    </row>
    <row r="242">
      <c r="A242" s="10" t="s">
        <v>768</v>
      </c>
      <c r="B242" s="10" t="s">
        <v>803</v>
      </c>
      <c r="C242" s="10" t="s">
        <v>841</v>
      </c>
      <c r="D242" s="12" t="s">
        <v>841</v>
      </c>
      <c r="E242" s="13" t="s">
        <v>843</v>
      </c>
      <c r="F242" s="15">
        <f>IFERROR(__xludf.DUMMYFUNCTION("XLOOKUP($D242,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42" s="15">
        <f>IFERROR(__xludf.DUMMYFUNCTION("IFNA(XLOOKUP(""*""&amp;TRIM(REGEXREPLACE($D242, ""(?i)^(PT|CV)\.?\s+"", """"))&amp;""*"", 'DATA TARGET'!$C$2:$C998, 'DATA TARGET'!$D$2:$D998, ""Tidak Ditemukan"", 2), ""Tidak Ditemukan"")"),0.0)</f>
        <v>0</v>
      </c>
      <c r="H242" s="17">
        <f t="shared" si="1"/>
        <v>0</v>
      </c>
      <c r="I242" s="8"/>
    </row>
    <row r="243">
      <c r="A243" s="10" t="s">
        <v>768</v>
      </c>
      <c r="B243" s="10" t="s">
        <v>803</v>
      </c>
      <c r="C243" s="10" t="s">
        <v>845</v>
      </c>
      <c r="D243" s="12" t="s">
        <v>845</v>
      </c>
      <c r="E243" s="13" t="s">
        <v>846</v>
      </c>
      <c r="F243" s="15">
        <f>IFERROR(__xludf.DUMMYFUNCTION("XLOOKUP($D243,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43" s="15" t="str">
        <f>IFERROR(__xludf.DUMMYFUNCTION("IFNA(XLOOKUP(""*""&amp;TRIM(REGEXREPLACE($D243, ""(?i)^(PT|CV)\.?\s+"", """"))&amp;""*"", 'DATA TARGET'!$C$2:$C998, 'DATA TARGET'!$D$2:$D998, ""Tidak Ditemukan"", 2), ""Tidak Ditemukan"")"),"Tidak Ditemukan")</f>
        <v>Tidak Ditemukan</v>
      </c>
      <c r="H243" s="17" t="str">
        <f t="shared" si="1"/>
        <v>Tidak Ditemukan</v>
      </c>
      <c r="I243" s="8"/>
    </row>
    <row r="244">
      <c r="A244" s="10" t="s">
        <v>768</v>
      </c>
      <c r="B244" s="10" t="s">
        <v>803</v>
      </c>
      <c r="C244" s="10" t="s">
        <v>848</v>
      </c>
      <c r="D244" s="12" t="s">
        <v>848</v>
      </c>
      <c r="E244" s="13" t="s">
        <v>849</v>
      </c>
      <c r="F244" s="15">
        <f>IFERROR(__xludf.DUMMYFUNCTION("XLOOKUP($D244,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(AUTO)'!R6:R""))"),91.21)</f>
        <v>91.21</v>
      </c>
      <c r="G244" s="15">
        <f>IFERROR(__xludf.DUMMYFUNCTION("IFNA(XLOOKUP(""*""&amp;TRIM(REGEXREPLACE($D244, ""(?i)^(PT|CV)\.?\s+"", """"))&amp;""*"", 'DATA TARGET'!$C$2:$C998, 'DATA TARGET'!$D$2:$D998, ""Tidak Ditemukan"", 2), ""Tidak Ditemukan"")"),0.0)</f>
        <v>0</v>
      </c>
      <c r="H244" s="17">
        <f t="shared" si="1"/>
        <v>91.21</v>
      </c>
      <c r="I244" s="8"/>
    </row>
    <row r="245">
      <c r="A245" s="10" t="s">
        <v>768</v>
      </c>
      <c r="B245" s="10" t="s">
        <v>803</v>
      </c>
      <c r="C245" s="10" t="s">
        <v>851</v>
      </c>
      <c r="D245" s="12" t="s">
        <v>852</v>
      </c>
      <c r="E245" s="13" t="s">
        <v>853</v>
      </c>
      <c r="F245" s="15">
        <f>IFERROR(__xludf.DUMMYFUNCTION("XLOOKUP($D245,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45" s="15" t="str">
        <f>IFERROR(__xludf.DUMMYFUNCTION("IFNA(XLOOKUP(""*""&amp;TRIM(REGEXREPLACE($D245, ""(?i)^(PT|CV)\.?\s+"", """"))&amp;""*"", 'DATA TARGET'!$C$2:$C998, 'DATA TARGET'!$D$2:$D998, ""Tidak Ditemukan"", 2), ""Tidak Ditemukan"")"),"Tidak Ditemukan")</f>
        <v>Tidak Ditemukan</v>
      </c>
      <c r="H245" s="17" t="str">
        <f t="shared" si="1"/>
        <v>Tidak Ditemukan</v>
      </c>
      <c r="I245" s="8"/>
    </row>
    <row r="246">
      <c r="A246" s="10" t="s">
        <v>768</v>
      </c>
      <c r="B246" s="10" t="s">
        <v>855</v>
      </c>
      <c r="C246" s="10" t="s">
        <v>856</v>
      </c>
      <c r="D246" s="12" t="s">
        <v>857</v>
      </c>
      <c r="E246" s="13" t="s">
        <v>859</v>
      </c>
      <c r="F246" s="15">
        <f>IFERROR(__xludf.DUMMYFUNCTION("XLOOKUP($D246,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(AUTO)'!R6:R""))"),1183.33)</f>
        <v>1183.33</v>
      </c>
      <c r="G246" s="15">
        <f>IFERROR(__xludf.DUMMYFUNCTION("IFNA(XLOOKUP(""*""&amp;TRIM(REGEXREPLACE($D246, ""(?i)^(PT|CV)\.?\s+"", """"))&amp;""*"", 'DATA TARGET'!$C$2:$C998, 'DATA TARGET'!$D$2:$D998, ""Tidak Ditemukan"", 2), ""Tidak Ditemukan"")"),1254.67)</f>
        <v>1254.67</v>
      </c>
      <c r="H246" s="17">
        <f t="shared" si="1"/>
        <v>1183.33</v>
      </c>
      <c r="I246" s="8"/>
    </row>
    <row r="247">
      <c r="A247" s="10" t="s">
        <v>768</v>
      </c>
      <c r="B247" s="10" t="s">
        <v>855</v>
      </c>
      <c r="C247" s="10" t="s">
        <v>861</v>
      </c>
      <c r="D247" s="12" t="s">
        <v>861</v>
      </c>
      <c r="E247" s="13" t="s">
        <v>862</v>
      </c>
      <c r="F247" s="15" t="str">
        <f>IFERROR(__xludf.DUMMYFUNCTION("XLOOKUP($D247,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247" s="15">
        <f>IFERROR(__xludf.DUMMYFUNCTION("IFNA(XLOOKUP(""*""&amp;TRIM(REGEXREPLACE($D247, ""(?i)^(PT|CV)\.?\s+"", """"))&amp;""*"", 'DATA TARGET'!$C$2:$C998, 'DATA TARGET'!$D$2:$D998, ""Tidak Ditemukan"", 2), ""Tidak Ditemukan"")"),0.0)</f>
        <v>0</v>
      </c>
      <c r="H247" s="17">
        <f t="shared" si="1"/>
        <v>0</v>
      </c>
      <c r="I247" s="8"/>
    </row>
    <row r="248">
      <c r="A248" s="10" t="s">
        <v>768</v>
      </c>
      <c r="B248" s="10" t="s">
        <v>855</v>
      </c>
      <c r="C248" s="10" t="s">
        <v>865</v>
      </c>
      <c r="D248" s="12" t="s">
        <v>865</v>
      </c>
      <c r="E248" s="13" t="s">
        <v>866</v>
      </c>
      <c r="F248" s="15">
        <f>IFERROR(__xludf.DUMMYFUNCTION("XLOOKUP($D248,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(AUTO)'!R6:R""))"),106.17)</f>
        <v>106.17</v>
      </c>
      <c r="G248" s="15">
        <f>IFERROR(__xludf.DUMMYFUNCTION("IFNA(XLOOKUP(""*""&amp;TRIM(REGEXREPLACE($D248, ""(?i)^(PT|CV)\.?\s+"", """"))&amp;""*"", 'DATA TARGET'!$C$2:$C998, 'DATA TARGET'!$D$2:$D998, ""Tidak Ditemukan"", 2), ""Tidak Ditemukan"")"),112.26)</f>
        <v>112.26</v>
      </c>
      <c r="H248" s="17">
        <f t="shared" si="1"/>
        <v>106.17</v>
      </c>
      <c r="I248" s="8"/>
    </row>
    <row r="249">
      <c r="A249" s="10" t="s">
        <v>768</v>
      </c>
      <c r="B249" s="10" t="s">
        <v>855</v>
      </c>
      <c r="C249" s="10" t="s">
        <v>868</v>
      </c>
      <c r="D249" s="12" t="s">
        <v>868</v>
      </c>
      <c r="E249" s="13" t="s">
        <v>869</v>
      </c>
      <c r="F249" s="15">
        <f>IFERROR(__xludf.DUMMYFUNCTION("XLOOKUP($D249,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(AUTO)'!R6:R""))"),566.8)</f>
        <v>566.8</v>
      </c>
      <c r="G249" s="15">
        <f>IFERROR(__xludf.DUMMYFUNCTION("IFNA(XLOOKUP(""*""&amp;TRIM(REGEXREPLACE($D249, ""(?i)^(PT|CV)\.?\s+"", """"))&amp;""*"", 'DATA TARGET'!$C$2:$C998, 'DATA TARGET'!$D$2:$D998, ""Tidak Ditemukan"", 2), ""Tidak Ditemukan"")"),566.8)</f>
        <v>566.8</v>
      </c>
      <c r="H249" s="17">
        <f t="shared" si="1"/>
        <v>566.8</v>
      </c>
      <c r="I249" s="8"/>
    </row>
    <row r="250">
      <c r="A250" s="10" t="s">
        <v>768</v>
      </c>
      <c r="B250" s="10" t="s">
        <v>855</v>
      </c>
      <c r="C250" s="10" t="s">
        <v>871</v>
      </c>
      <c r="D250" s="12" t="s">
        <v>872</v>
      </c>
      <c r="E250" s="13" t="s">
        <v>873</v>
      </c>
      <c r="F250" s="15">
        <f>IFERROR(__xludf.DUMMYFUNCTION("XLOOKUP($D250,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(AUTO)'!R6:R""))"),807.92)</f>
        <v>807.92</v>
      </c>
      <c r="G250" s="15">
        <f>IFERROR(__xludf.DUMMYFUNCTION("IFNA(XLOOKUP(""*""&amp;TRIM(REGEXREPLACE($D250, ""(?i)^(PT|CV)\.?\s+"", """"))&amp;""*"", 'DATA TARGET'!$C$2:$C998, 'DATA TARGET'!$D$2:$D998, ""Tidak Ditemukan"", 2), ""Tidak Ditemukan"")"),807.92)</f>
        <v>807.92</v>
      </c>
      <c r="H250" s="17">
        <f t="shared" si="1"/>
        <v>807.92</v>
      </c>
      <c r="I250" s="8"/>
    </row>
    <row r="251">
      <c r="A251" s="10" t="s">
        <v>768</v>
      </c>
      <c r="B251" s="10" t="s">
        <v>875</v>
      </c>
      <c r="C251" s="10" t="s">
        <v>877</v>
      </c>
      <c r="D251" s="12" t="s">
        <v>877</v>
      </c>
      <c r="E251" s="13" t="s">
        <v>878</v>
      </c>
      <c r="F251" s="15">
        <f>IFERROR(__xludf.DUMMYFUNCTION("XLOOKUP($D251,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1" s="15">
        <f>IFERROR(__xludf.DUMMYFUNCTION("IFNA(XLOOKUP(""*""&amp;TRIM(REGEXREPLACE($D251, ""(?i)^(PT|CV)\.?\s+"", """"))&amp;""*"", 'DATA TARGET'!$C$2:$C998, 'DATA TARGET'!$D$2:$D998, ""Tidak Ditemukan"", 2), ""Tidak Ditemukan"")"),0.0)</f>
        <v>0</v>
      </c>
      <c r="H251" s="17">
        <f t="shared" si="1"/>
        <v>0</v>
      </c>
      <c r="I251" s="8"/>
    </row>
    <row r="252">
      <c r="A252" s="10" t="s">
        <v>768</v>
      </c>
      <c r="B252" s="10" t="s">
        <v>875</v>
      </c>
      <c r="C252" s="10" t="s">
        <v>880</v>
      </c>
      <c r="D252" s="12" t="s">
        <v>880</v>
      </c>
      <c r="E252" s="13" t="s">
        <v>881</v>
      </c>
      <c r="F252" s="15">
        <f>IFERROR(__xludf.DUMMYFUNCTION("XLOOKUP($D252,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2" s="15">
        <f>IFERROR(__xludf.DUMMYFUNCTION("IFNA(XLOOKUP(""*""&amp;TRIM(REGEXREPLACE($D252, ""(?i)^(PT|CV)\.?\s+"", """"))&amp;""*"", 'DATA TARGET'!$C$2:$C998, 'DATA TARGET'!$D$2:$D998, ""Tidak Ditemukan"", 2), ""Tidak Ditemukan"")"),0.0)</f>
        <v>0</v>
      </c>
      <c r="H252" s="17">
        <f t="shared" si="1"/>
        <v>0</v>
      </c>
      <c r="I252" s="8"/>
    </row>
    <row r="253">
      <c r="A253" s="10" t="s">
        <v>768</v>
      </c>
      <c r="B253" s="10" t="s">
        <v>875</v>
      </c>
      <c r="C253" s="10" t="s">
        <v>883</v>
      </c>
      <c r="D253" s="12" t="s">
        <v>883</v>
      </c>
      <c r="E253" s="13" t="s">
        <v>885</v>
      </c>
      <c r="F253" s="15">
        <f>IFERROR(__xludf.DUMMYFUNCTION("XLOOKUP($D253,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3" s="15">
        <f>IFERROR(__xludf.DUMMYFUNCTION("IFNA(XLOOKUP(""*""&amp;TRIM(REGEXREPLACE($D253, ""(?i)^(PT|CV)\.?\s+"", """"))&amp;""*"", 'DATA TARGET'!$C$2:$C998, 'DATA TARGET'!$D$2:$D998, ""Tidak Ditemukan"", 2), ""Tidak Ditemukan"")"),86.49)</f>
        <v>86.49</v>
      </c>
      <c r="H253" s="17">
        <f t="shared" si="1"/>
        <v>86.49</v>
      </c>
      <c r="I253" s="8"/>
    </row>
    <row r="254">
      <c r="A254" s="10" t="s">
        <v>768</v>
      </c>
      <c r="B254" s="10" t="s">
        <v>875</v>
      </c>
      <c r="C254" s="10" t="s">
        <v>886</v>
      </c>
      <c r="D254" s="12" t="s">
        <v>886</v>
      </c>
      <c r="E254" s="13" t="s">
        <v>887</v>
      </c>
      <c r="F254" s="15">
        <f>IFERROR(__xludf.DUMMYFUNCTION("XLOOKUP($D254,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4" s="15">
        <f>IFERROR(__xludf.DUMMYFUNCTION("IFNA(XLOOKUP(""*""&amp;TRIM(REGEXREPLACE($D254, ""(?i)^(PT|CV)\.?\s+"", """"))&amp;""*"", 'DATA TARGET'!$C$2:$C998, 'DATA TARGET'!$D$2:$D998, ""Tidak Ditemukan"", 2), ""Tidak Ditemukan"")"),0.0)</f>
        <v>0</v>
      </c>
      <c r="H254" s="17">
        <f t="shared" si="1"/>
        <v>0</v>
      </c>
      <c r="I254" s="8"/>
    </row>
    <row r="255">
      <c r="A255" s="10" t="s">
        <v>768</v>
      </c>
      <c r="B255" s="10" t="s">
        <v>875</v>
      </c>
      <c r="C255" s="10" t="s">
        <v>889</v>
      </c>
      <c r="D255" s="12" t="s">
        <v>889</v>
      </c>
      <c r="E255" s="13" t="s">
        <v>891</v>
      </c>
      <c r="F255" s="15">
        <f>IFERROR(__xludf.DUMMYFUNCTION("XLOOKUP($D255,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5" s="15">
        <f>IFERROR(__xludf.DUMMYFUNCTION("IFNA(XLOOKUP(""*""&amp;TRIM(REGEXREPLACE($D255, ""(?i)^(PT|CV)\.?\s+"", """"))&amp;""*"", 'DATA TARGET'!$C$2:$C998, 'DATA TARGET'!$D$2:$D998, ""Tidak Ditemukan"", 2), ""Tidak Ditemukan"")"),62.13)</f>
        <v>62.13</v>
      </c>
      <c r="H255" s="17">
        <f t="shared" si="1"/>
        <v>62.13</v>
      </c>
      <c r="I255" s="8"/>
    </row>
    <row r="256">
      <c r="A256" s="10" t="s">
        <v>768</v>
      </c>
      <c r="B256" s="10" t="s">
        <v>875</v>
      </c>
      <c r="C256" s="10" t="s">
        <v>893</v>
      </c>
      <c r="D256" s="12" t="s">
        <v>893</v>
      </c>
      <c r="E256" s="13" t="s">
        <v>895</v>
      </c>
      <c r="F256" s="15">
        <f>IFERROR(__xludf.DUMMYFUNCTION("XLOOKUP($D256,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(AUTO)'!R6:R""))"),3901.41)</f>
        <v>3901.41</v>
      </c>
      <c r="G256" s="15" t="str">
        <f>IFERROR(__xludf.DUMMYFUNCTION("IFNA(XLOOKUP(""*""&amp;TRIM(REGEXREPLACE($D256, ""(?i)^(PT|CV)\.?\s+"", """"))&amp;""*"", 'DATA TARGET'!$C$2:$C998, 'DATA TARGET'!$D$2:$D998, ""Tidak Ditemukan"", 2), ""Tidak Ditemukan"")"),"Tidak Ditemukan")</f>
        <v>Tidak Ditemukan</v>
      </c>
      <c r="H256" s="17">
        <f t="shared" si="1"/>
        <v>3901.41</v>
      </c>
      <c r="I256" s="8"/>
    </row>
    <row r="257">
      <c r="A257" s="10" t="s">
        <v>768</v>
      </c>
      <c r="B257" s="10" t="s">
        <v>875</v>
      </c>
      <c r="C257" s="10" t="s">
        <v>897</v>
      </c>
      <c r="D257" s="12" t="s">
        <v>897</v>
      </c>
      <c r="E257" s="13" t="s">
        <v>898</v>
      </c>
      <c r="F257" s="15">
        <f>IFERROR(__xludf.DUMMYFUNCTION("XLOOKUP($D257,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7" s="15" t="str">
        <f>IFERROR(__xludf.DUMMYFUNCTION("IFNA(XLOOKUP(""*""&amp;TRIM(REGEXREPLACE($D257, ""(?i)^(PT|CV)\.?\s+"", """"))&amp;""*"", 'DATA TARGET'!$C$2:$C998, 'DATA TARGET'!$D$2:$D998, ""Tidak Ditemukan"", 2), ""Tidak Ditemukan"")"),"Tidak Ditemukan")</f>
        <v>Tidak Ditemukan</v>
      </c>
      <c r="H257" s="17" t="str">
        <f t="shared" si="1"/>
        <v>Tidak Ditemukan</v>
      </c>
      <c r="I257" s="8"/>
    </row>
    <row r="258">
      <c r="A258" s="10" t="s">
        <v>768</v>
      </c>
      <c r="B258" s="10" t="s">
        <v>875</v>
      </c>
      <c r="C258" s="10" t="s">
        <v>900</v>
      </c>
      <c r="D258" s="12" t="s">
        <v>900</v>
      </c>
      <c r="E258" s="13" t="s">
        <v>901</v>
      </c>
      <c r="F258" s="15">
        <f>IFERROR(__xludf.DUMMYFUNCTION("XLOOKUP($D258,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8" s="15">
        <f>IFERROR(__xludf.DUMMYFUNCTION("IFNA(XLOOKUP(""*""&amp;TRIM(REGEXREPLACE($D258, ""(?i)^(PT|CV)\.?\s+"", """"))&amp;""*"", 'DATA TARGET'!$C$2:$C998, 'DATA TARGET'!$D$2:$D998, ""Tidak Ditemukan"", 2), ""Tidak Ditemukan"")"),0.0)</f>
        <v>0</v>
      </c>
      <c r="H258" s="17">
        <f t="shared" si="1"/>
        <v>0</v>
      </c>
      <c r="I258" s="8"/>
    </row>
    <row r="259">
      <c r="A259" s="10" t="s">
        <v>768</v>
      </c>
      <c r="B259" s="10" t="s">
        <v>875</v>
      </c>
      <c r="C259" s="10" t="s">
        <v>905</v>
      </c>
      <c r="D259" s="12" t="s">
        <v>906</v>
      </c>
      <c r="E259" s="13" t="s">
        <v>907</v>
      </c>
      <c r="F259" s="15">
        <f>IFERROR(__xludf.DUMMYFUNCTION("XLOOKUP($D259,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59" s="15" t="str">
        <f>IFERROR(__xludf.DUMMYFUNCTION("IFNA(XLOOKUP(""*""&amp;TRIM(REGEXREPLACE($D259, ""(?i)^(PT|CV)\.?\s+"", """"))&amp;""*"", 'DATA TARGET'!$C$2:$C998, 'DATA TARGET'!$D$2:$D998, ""Tidak Ditemukan"", 2), ""Tidak Ditemukan"")"),"Tidak Ditemukan")</f>
        <v>Tidak Ditemukan</v>
      </c>
      <c r="H259" s="17" t="str">
        <f t="shared" si="1"/>
        <v>Tidak Ditemukan</v>
      </c>
      <c r="I259" s="8"/>
    </row>
    <row r="260">
      <c r="A260" s="10" t="s">
        <v>768</v>
      </c>
      <c r="B260" s="10" t="s">
        <v>875</v>
      </c>
      <c r="C260" s="10" t="s">
        <v>909</v>
      </c>
      <c r="D260" s="12" t="s">
        <v>909</v>
      </c>
      <c r="E260" s="13" t="s">
        <v>910</v>
      </c>
      <c r="F260" s="15">
        <f>IFERROR(__xludf.DUMMYFUNCTION("XLOOKUP($D260,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0" s="15">
        <f>IFERROR(__xludf.DUMMYFUNCTION("IFNA(XLOOKUP(""*""&amp;TRIM(REGEXREPLACE($D260, ""(?i)^(PT|CV)\.?\s+"", """"))&amp;""*"", 'DATA TARGET'!$C$2:$C998, 'DATA TARGET'!$D$2:$D998, ""Tidak Ditemukan"", 2), ""Tidak Ditemukan"")"),4.89)</f>
        <v>4.89</v>
      </c>
      <c r="H260" s="17">
        <f t="shared" si="1"/>
        <v>4.89</v>
      </c>
      <c r="I260" s="8"/>
    </row>
    <row r="261">
      <c r="A261" s="10" t="s">
        <v>768</v>
      </c>
      <c r="B261" s="10" t="s">
        <v>875</v>
      </c>
      <c r="C261" s="10" t="s">
        <v>913</v>
      </c>
      <c r="D261" s="12" t="s">
        <v>913</v>
      </c>
      <c r="E261" s="13" t="s">
        <v>915</v>
      </c>
      <c r="F261" s="15">
        <f>IFERROR(__xludf.DUMMYFUNCTION("XLOOKUP($D261,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1" s="15">
        <f>IFERROR(__xludf.DUMMYFUNCTION("IFNA(XLOOKUP(""*""&amp;TRIM(REGEXREPLACE($D261, ""(?i)^(PT|CV)\.?\s+"", """"))&amp;""*"", 'DATA TARGET'!$C$2:$C998, 'DATA TARGET'!$D$2:$D998, ""Tidak Ditemukan"", 2), ""Tidak Ditemukan"")"),326.0)</f>
        <v>326</v>
      </c>
      <c r="H261" s="17">
        <f t="shared" si="1"/>
        <v>326</v>
      </c>
      <c r="I261" s="8"/>
    </row>
    <row r="262">
      <c r="A262" s="10" t="s">
        <v>768</v>
      </c>
      <c r="B262" s="10" t="s">
        <v>875</v>
      </c>
      <c r="C262" s="10" t="s">
        <v>917</v>
      </c>
      <c r="D262" s="12" t="s">
        <v>917</v>
      </c>
      <c r="E262" s="13" t="s">
        <v>919</v>
      </c>
      <c r="F262" s="15">
        <f>IFERROR(__xludf.DUMMYFUNCTION("XLOOKUP($D262,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2" s="15">
        <f>IFERROR(__xludf.DUMMYFUNCTION("IFNA(XLOOKUP(""*""&amp;TRIM(REGEXREPLACE($D262, ""(?i)^(PT|CV)\.?\s+"", """"))&amp;""*"", 'DATA TARGET'!$C$2:$C998, 'DATA TARGET'!$D$2:$D998, ""Tidak Ditemukan"", 2), ""Tidak Ditemukan"")"),34.29)</f>
        <v>34.29</v>
      </c>
      <c r="H262" s="17">
        <f t="shared" si="1"/>
        <v>34.29</v>
      </c>
      <c r="I262" s="8"/>
    </row>
    <row r="263">
      <c r="A263" s="10" t="s">
        <v>768</v>
      </c>
      <c r="B263" s="10" t="s">
        <v>875</v>
      </c>
      <c r="C263" s="10" t="s">
        <v>921</v>
      </c>
      <c r="D263" s="12" t="s">
        <v>921</v>
      </c>
      <c r="E263" s="13" t="s">
        <v>923</v>
      </c>
      <c r="F263" s="15">
        <f>IFERROR(__xludf.DUMMYFUNCTION("XLOOKUP($D263,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3" s="15">
        <f>IFERROR(__xludf.DUMMYFUNCTION("IFNA(XLOOKUP(""*""&amp;TRIM(REGEXREPLACE($D263, ""(?i)^(PT|CV)\.?\s+"", """"))&amp;""*"", 'DATA TARGET'!$C$2:$C998, 'DATA TARGET'!$D$2:$D998, ""Tidak Ditemukan"", 2), ""Tidak Ditemukan"")"),0.0)</f>
        <v>0</v>
      </c>
      <c r="H263" s="17">
        <f t="shared" si="1"/>
        <v>0</v>
      </c>
      <c r="I263" s="8"/>
    </row>
    <row r="264">
      <c r="A264" s="10" t="s">
        <v>768</v>
      </c>
      <c r="B264" s="10" t="s">
        <v>875</v>
      </c>
      <c r="C264" s="10" t="s">
        <v>925</v>
      </c>
      <c r="D264" s="12" t="s">
        <v>925</v>
      </c>
      <c r="E264" s="13" t="s">
        <v>926</v>
      </c>
      <c r="F264" s="15">
        <f>IFERROR(__xludf.DUMMYFUNCTION("XLOOKUP($D264,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4" s="15">
        <f>IFERROR(__xludf.DUMMYFUNCTION("IFNA(XLOOKUP(""*""&amp;TRIM(REGEXREPLACE($D264, ""(?i)^(PT|CV)\.?\s+"", """"))&amp;""*"", 'DATA TARGET'!$C$2:$C998, 'DATA TARGET'!$D$2:$D998, ""Tidak Ditemukan"", 2), ""Tidak Ditemukan"")"),0.0)</f>
        <v>0</v>
      </c>
      <c r="H264" s="17">
        <f t="shared" si="1"/>
        <v>0</v>
      </c>
      <c r="I264" s="8"/>
    </row>
    <row r="265">
      <c r="A265" s="10" t="s">
        <v>768</v>
      </c>
      <c r="B265" s="10" t="s">
        <v>875</v>
      </c>
      <c r="C265" s="10" t="s">
        <v>928</v>
      </c>
      <c r="D265" s="12" t="s">
        <v>928</v>
      </c>
      <c r="E265" s="13" t="s">
        <v>929</v>
      </c>
      <c r="F265" s="15">
        <f>IFERROR(__xludf.DUMMYFUNCTION("XLOOKUP($D265,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5" s="15">
        <f>IFERROR(__xludf.DUMMYFUNCTION("IFNA(XLOOKUP(""*""&amp;TRIM(REGEXREPLACE($D265, ""(?i)^(PT|CV)\.?\s+"", """"))&amp;""*"", 'DATA TARGET'!$C$2:$C998, 'DATA TARGET'!$D$2:$D998, ""Tidak Ditemukan"", 2), ""Tidak Ditemukan"")"),0.0)</f>
        <v>0</v>
      </c>
      <c r="H265" s="17">
        <f t="shared" si="1"/>
        <v>0</v>
      </c>
      <c r="I265" s="8"/>
    </row>
    <row r="266">
      <c r="A266" s="10" t="s">
        <v>768</v>
      </c>
      <c r="B266" s="10" t="s">
        <v>875</v>
      </c>
      <c r="C266" s="10" t="s">
        <v>931</v>
      </c>
      <c r="D266" s="12" t="s">
        <v>931</v>
      </c>
      <c r="E266" s="13" t="s">
        <v>933</v>
      </c>
      <c r="F266" s="15">
        <f>IFERROR(__xludf.DUMMYFUNCTION("XLOOKUP($D266,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6" s="15">
        <f>IFERROR(__xludf.DUMMYFUNCTION("IFNA(XLOOKUP(""*""&amp;TRIM(REGEXREPLACE($D266, ""(?i)^(PT|CV)\.?\s+"", """"))&amp;""*"", 'DATA TARGET'!$C$2:$C998, 'DATA TARGET'!$D$2:$D998, ""Tidak Ditemukan"", 2), ""Tidak Ditemukan"")"),20.63)</f>
        <v>20.63</v>
      </c>
      <c r="H266" s="17">
        <f t="shared" si="1"/>
        <v>20.63</v>
      </c>
      <c r="I266" s="8"/>
    </row>
    <row r="267">
      <c r="A267" s="10" t="s">
        <v>768</v>
      </c>
      <c r="B267" s="10" t="s">
        <v>875</v>
      </c>
      <c r="C267" s="10" t="s">
        <v>935</v>
      </c>
      <c r="D267" s="12" t="s">
        <v>935</v>
      </c>
      <c r="E267" s="13" t="s">
        <v>936</v>
      </c>
      <c r="F267" s="15">
        <f>IFERROR(__xludf.DUMMYFUNCTION("XLOOKUP($D267,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7" s="15">
        <f>IFERROR(__xludf.DUMMYFUNCTION("IFNA(XLOOKUP(""*""&amp;TRIM(REGEXREPLACE($D267, ""(?i)^(PT|CV)\.?\s+"", """"))&amp;""*"", 'DATA TARGET'!$C$2:$C998, 'DATA TARGET'!$D$2:$D998, ""Tidak Ditemukan"", 2), ""Tidak Ditemukan"")"),0.0)</f>
        <v>0</v>
      </c>
      <c r="H267" s="17">
        <f t="shared" si="1"/>
        <v>0</v>
      </c>
      <c r="I267" s="8"/>
    </row>
    <row r="268">
      <c r="A268" s="10" t="s">
        <v>768</v>
      </c>
      <c r="B268" s="10" t="s">
        <v>875</v>
      </c>
      <c r="C268" s="10" t="s">
        <v>939</v>
      </c>
      <c r="D268" s="12" t="s">
        <v>939</v>
      </c>
      <c r="E268" s="13" t="s">
        <v>940</v>
      </c>
      <c r="F268" s="15">
        <f>IFERROR(__xludf.DUMMYFUNCTION("XLOOKUP($D268,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8" s="15">
        <f>IFERROR(__xludf.DUMMYFUNCTION("IFNA(XLOOKUP(""*""&amp;TRIM(REGEXREPLACE($D268, ""(?i)^(PT|CV)\.?\s+"", """"))&amp;""*"", 'DATA TARGET'!$C$2:$C998, 'DATA TARGET'!$D$2:$D998, ""Tidak Ditemukan"", 2), ""Tidak Ditemukan"")"),0.0)</f>
        <v>0</v>
      </c>
      <c r="H268" s="17">
        <f t="shared" si="1"/>
        <v>0</v>
      </c>
      <c r="I268" s="8"/>
    </row>
    <row r="269">
      <c r="A269" s="10" t="s">
        <v>768</v>
      </c>
      <c r="B269" s="10" t="s">
        <v>875</v>
      </c>
      <c r="C269" s="10" t="s">
        <v>943</v>
      </c>
      <c r="D269" s="12" t="s">
        <v>943</v>
      </c>
      <c r="E269" s="13" t="s">
        <v>944</v>
      </c>
      <c r="F269" s="15">
        <f>IFERROR(__xludf.DUMMYFUNCTION("XLOOKUP($D269,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69" s="15">
        <f>IFERROR(__xludf.DUMMYFUNCTION("IFNA(XLOOKUP(""*""&amp;TRIM(REGEXREPLACE($D269, ""(?i)^(PT|CV)\.?\s+"", """"))&amp;""*"", 'DATA TARGET'!$C$2:$C998, 'DATA TARGET'!$D$2:$D998, ""Tidak Ditemukan"", 2), ""Tidak Ditemukan"")"),141.81)</f>
        <v>141.81</v>
      </c>
      <c r="H269" s="17">
        <f t="shared" si="1"/>
        <v>141.81</v>
      </c>
      <c r="I269" s="8"/>
    </row>
    <row r="270">
      <c r="A270" s="10" t="s">
        <v>768</v>
      </c>
      <c r="B270" s="10" t="s">
        <v>875</v>
      </c>
      <c r="C270" s="10" t="s">
        <v>945</v>
      </c>
      <c r="D270" s="12" t="s">
        <v>945</v>
      </c>
      <c r="E270" s="13" t="s">
        <v>946</v>
      </c>
      <c r="F270" s="15">
        <f>IFERROR(__xludf.DUMMYFUNCTION("XLOOKUP($D270,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0" s="15">
        <f>IFERROR(__xludf.DUMMYFUNCTION("IFNA(XLOOKUP(""*""&amp;TRIM(REGEXREPLACE($D270, ""(?i)^(PT|CV)\.?\s+"", """"))&amp;""*"", 'DATA TARGET'!$C$2:$C998, 'DATA TARGET'!$D$2:$D998, ""Tidak Ditemukan"", 2), ""Tidak Ditemukan"")"),0.0)</f>
        <v>0</v>
      </c>
      <c r="H270" s="17">
        <f t="shared" si="1"/>
        <v>0</v>
      </c>
      <c r="I270" s="8"/>
    </row>
    <row r="271">
      <c r="A271" s="10" t="s">
        <v>768</v>
      </c>
      <c r="B271" s="10" t="s">
        <v>875</v>
      </c>
      <c r="C271" s="10" t="s">
        <v>949</v>
      </c>
      <c r="D271" s="12" t="s">
        <v>949</v>
      </c>
      <c r="E271" s="13" t="s">
        <v>950</v>
      </c>
      <c r="F271" s="15">
        <f>IFERROR(__xludf.DUMMYFUNCTION("XLOOKUP($D271,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(AUTO)'!R6:R""))"),148.7)</f>
        <v>148.7</v>
      </c>
      <c r="G271" s="15">
        <f>IFERROR(__xludf.DUMMYFUNCTION("IFNA(XLOOKUP(""*""&amp;TRIM(REGEXREPLACE($D271, ""(?i)^(PT|CV)\.?\s+"", """"))&amp;""*"", 'DATA TARGET'!$C$2:$C998, 'DATA TARGET'!$D$2:$D998, ""Tidak Ditemukan"", 2), ""Tidak Ditemukan"")"),148.7)</f>
        <v>148.7</v>
      </c>
      <c r="H271" s="17">
        <f t="shared" si="1"/>
        <v>148.7</v>
      </c>
      <c r="I271" s="8"/>
    </row>
    <row r="272">
      <c r="A272" s="10" t="s">
        <v>768</v>
      </c>
      <c r="B272" s="10" t="s">
        <v>875</v>
      </c>
      <c r="C272" s="10" t="s">
        <v>953</v>
      </c>
      <c r="D272" s="12" t="s">
        <v>953</v>
      </c>
      <c r="E272" s="13" t="s">
        <v>954</v>
      </c>
      <c r="F272" s="15">
        <f>IFERROR(__xludf.DUMMYFUNCTION("XLOOKUP($D272,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2" s="15">
        <f>IFERROR(__xludf.DUMMYFUNCTION("IFNA(XLOOKUP(""*""&amp;TRIM(REGEXREPLACE($D272, ""(?i)^(PT|CV)\.?\s+"", """"))&amp;""*"", 'DATA TARGET'!$C$2:$C998, 'DATA TARGET'!$D$2:$D998, ""Tidak Ditemukan"", 2), ""Tidak Ditemukan"")"),16.04)</f>
        <v>16.04</v>
      </c>
      <c r="H272" s="17">
        <f t="shared" si="1"/>
        <v>16.04</v>
      </c>
      <c r="I272" s="8"/>
    </row>
    <row r="273">
      <c r="A273" s="10" t="s">
        <v>768</v>
      </c>
      <c r="B273" s="10" t="s">
        <v>875</v>
      </c>
      <c r="C273" s="10" t="s">
        <v>956</v>
      </c>
      <c r="D273" s="12" t="s">
        <v>956</v>
      </c>
      <c r="E273" s="13" t="s">
        <v>958</v>
      </c>
      <c r="F273" s="15">
        <f>IFERROR(__xludf.DUMMYFUNCTION("XLOOKUP($D273,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3" s="15">
        <f>IFERROR(__xludf.DUMMYFUNCTION("IFNA(XLOOKUP(""*""&amp;TRIM(REGEXREPLACE($D273, ""(?i)^(PT|CV)\.?\s+"", """"))&amp;""*"", 'DATA TARGET'!$C$2:$C998, 'DATA TARGET'!$D$2:$D998, ""Tidak Ditemukan"", 2), ""Tidak Ditemukan"")"),59.56)</f>
        <v>59.56</v>
      </c>
      <c r="H273" s="17">
        <f t="shared" si="1"/>
        <v>59.56</v>
      </c>
      <c r="I273" s="8"/>
    </row>
    <row r="274">
      <c r="A274" s="10" t="s">
        <v>768</v>
      </c>
      <c r="B274" s="10" t="s">
        <v>875</v>
      </c>
      <c r="C274" s="10" t="s">
        <v>960</v>
      </c>
      <c r="D274" s="12" t="s">
        <v>960</v>
      </c>
      <c r="E274" s="13" t="s">
        <v>961</v>
      </c>
      <c r="F274" s="15">
        <f>IFERROR(__xludf.DUMMYFUNCTION("XLOOKUP($D274,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4" s="15">
        <f>IFERROR(__xludf.DUMMYFUNCTION("IFNA(XLOOKUP(""*""&amp;TRIM(REGEXREPLACE($D274, ""(?i)^(PT|CV)\.?\s+"", """"))&amp;""*"", 'DATA TARGET'!$C$2:$C998, 'DATA TARGET'!$D$2:$D998, ""Tidak Ditemukan"", 2), ""Tidak Ditemukan"")"),0.0)</f>
        <v>0</v>
      </c>
      <c r="H274" s="17">
        <f t="shared" si="1"/>
        <v>0</v>
      </c>
      <c r="I274" s="8"/>
    </row>
    <row r="275">
      <c r="A275" s="10" t="s">
        <v>768</v>
      </c>
      <c r="B275" s="10" t="s">
        <v>875</v>
      </c>
      <c r="C275" s="10" t="s">
        <v>963</v>
      </c>
      <c r="D275" s="12" t="s">
        <v>963</v>
      </c>
      <c r="E275" s="13" t="s">
        <v>965</v>
      </c>
      <c r="F275" s="15">
        <f>IFERROR(__xludf.DUMMYFUNCTION("XLOOKUP($D275,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5" s="15">
        <f>IFERROR(__xludf.DUMMYFUNCTION("IFNA(XLOOKUP(""*""&amp;TRIM(REGEXREPLACE($D275, ""(?i)^(PT|CV)\.?\s+"", """"))&amp;""*"", 'DATA TARGET'!$C$2:$C998, 'DATA TARGET'!$D$2:$D998, ""Tidak Ditemukan"", 2), ""Tidak Ditemukan"")"),3.18)</f>
        <v>3.18</v>
      </c>
      <c r="H275" s="17">
        <f t="shared" si="1"/>
        <v>3.18</v>
      </c>
      <c r="I275" s="8"/>
    </row>
    <row r="276">
      <c r="A276" s="10" t="s">
        <v>768</v>
      </c>
      <c r="B276" s="10" t="s">
        <v>875</v>
      </c>
      <c r="C276" s="10" t="s">
        <v>967</v>
      </c>
      <c r="D276" s="12" t="s">
        <v>967</v>
      </c>
      <c r="E276" s="13" t="s">
        <v>968</v>
      </c>
      <c r="F276" s="15">
        <f>IFERROR(__xludf.DUMMYFUNCTION("XLOOKUP($D276,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6" s="15">
        <f>IFERROR(__xludf.DUMMYFUNCTION("IFNA(XLOOKUP(""*""&amp;TRIM(REGEXREPLACE($D276, ""(?i)^(PT|CV)\.?\s+"", """"))&amp;""*"", 'DATA TARGET'!$C$2:$C998, 'DATA TARGET'!$D$2:$D998, ""Tidak Ditemukan"", 2), ""Tidak Ditemukan"")"),194.45)</f>
        <v>194.45</v>
      </c>
      <c r="H276" s="17">
        <f t="shared" si="1"/>
        <v>194.45</v>
      </c>
      <c r="I276" s="8"/>
    </row>
    <row r="277">
      <c r="A277" s="10" t="s">
        <v>768</v>
      </c>
      <c r="B277" s="10" t="s">
        <v>875</v>
      </c>
      <c r="C277" s="10" t="s">
        <v>970</v>
      </c>
      <c r="D277" s="12" t="s">
        <v>970</v>
      </c>
      <c r="E277" s="13" t="s">
        <v>971</v>
      </c>
      <c r="F277" s="15">
        <f>IFERROR(__xludf.DUMMYFUNCTION("XLOOKUP($D277,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7" s="15">
        <f>IFERROR(__xludf.DUMMYFUNCTION("IFNA(XLOOKUP(""*""&amp;TRIM(REGEXREPLACE($D277, ""(?i)^(PT|CV)\.?\s+"", """"))&amp;""*"", 'DATA TARGET'!$C$2:$C998, 'DATA TARGET'!$D$2:$D998, ""Tidak Ditemukan"", 2), ""Tidak Ditemukan"")"),9.19)</f>
        <v>9.19</v>
      </c>
      <c r="H277" s="17">
        <f t="shared" si="1"/>
        <v>9.19</v>
      </c>
      <c r="I277" s="8"/>
    </row>
    <row r="278">
      <c r="A278" s="10" t="s">
        <v>768</v>
      </c>
      <c r="B278" s="10" t="s">
        <v>875</v>
      </c>
      <c r="C278" s="10" t="s">
        <v>974</v>
      </c>
      <c r="D278" s="12" t="s">
        <v>974</v>
      </c>
      <c r="E278" s="13" t="s">
        <v>976</v>
      </c>
      <c r="F278" s="15">
        <f>IFERROR(__xludf.DUMMYFUNCTION("XLOOKUP($D278,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8" s="15">
        <f>IFERROR(__xludf.DUMMYFUNCTION("IFNA(XLOOKUP(""*""&amp;TRIM(REGEXREPLACE($D278, ""(?i)^(PT|CV)\.?\s+"", """"))&amp;""*"", 'DATA TARGET'!$C$2:$C998, 'DATA TARGET'!$D$2:$D998, ""Tidak Ditemukan"", 2), ""Tidak Ditemukan"")"),12.03)</f>
        <v>12.03</v>
      </c>
      <c r="H278" s="17">
        <f t="shared" si="1"/>
        <v>12.03</v>
      </c>
      <c r="I278" s="8"/>
    </row>
    <row r="279">
      <c r="A279" s="10" t="s">
        <v>768</v>
      </c>
      <c r="B279" s="10" t="s">
        <v>875</v>
      </c>
      <c r="C279" s="10" t="s">
        <v>979</v>
      </c>
      <c r="D279" s="12" t="s">
        <v>979</v>
      </c>
      <c r="E279" s="13" t="s">
        <v>980</v>
      </c>
      <c r="F279" s="15">
        <f>IFERROR(__xludf.DUMMYFUNCTION("XLOOKUP($D279,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79" s="15">
        <f>IFERROR(__xludf.DUMMYFUNCTION("IFNA(XLOOKUP(""*""&amp;TRIM(REGEXREPLACE($D279, ""(?i)^(PT|CV)\.?\s+"", """"))&amp;""*"", 'DATA TARGET'!$C$2:$C998, 'DATA TARGET'!$D$2:$D998, ""Tidak Ditemukan"", 2), ""Tidak Ditemukan"")"),1180.94)</f>
        <v>1180.94</v>
      </c>
      <c r="H279" s="17">
        <f t="shared" si="1"/>
        <v>1180.94</v>
      </c>
      <c r="I279" s="8"/>
    </row>
    <row r="280">
      <c r="A280" s="10" t="s">
        <v>768</v>
      </c>
      <c r="B280" s="10" t="s">
        <v>875</v>
      </c>
      <c r="C280" s="10" t="s">
        <v>983</v>
      </c>
      <c r="D280" s="12" t="s">
        <v>906</v>
      </c>
      <c r="E280" s="13" t="s">
        <v>984</v>
      </c>
      <c r="F280" s="15">
        <f>IFERROR(__xludf.DUMMYFUNCTION("XLOOKUP($D280,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0" s="15" t="str">
        <f>IFERROR(__xludf.DUMMYFUNCTION("IFNA(XLOOKUP(""*""&amp;TRIM(REGEXREPLACE($D280, ""(?i)^(PT|CV)\.?\s+"", """"))&amp;""*"", 'DATA TARGET'!$C$2:$C998, 'DATA TARGET'!$D$2:$D998, ""Tidak Ditemukan"", 2), ""Tidak Ditemukan"")"),"Tidak Ditemukan")</f>
        <v>Tidak Ditemukan</v>
      </c>
      <c r="H280" s="17" t="str">
        <f t="shared" si="1"/>
        <v>Tidak Ditemukan</v>
      </c>
      <c r="I280" s="8"/>
    </row>
    <row r="281">
      <c r="A281" s="10" t="s">
        <v>768</v>
      </c>
      <c r="B281" s="10" t="s">
        <v>875</v>
      </c>
      <c r="C281" s="10" t="s">
        <v>986</v>
      </c>
      <c r="D281" s="12" t="s">
        <v>986</v>
      </c>
      <c r="E281" s="13" t="s">
        <v>987</v>
      </c>
      <c r="F281" s="15">
        <f>IFERROR(__xludf.DUMMYFUNCTION("XLOOKUP($D281,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1" s="15">
        <f>IFERROR(__xludf.DUMMYFUNCTION("IFNA(XLOOKUP(""*""&amp;TRIM(REGEXREPLACE($D281, ""(?i)^(PT|CV)\.?\s+"", """"))&amp;""*"", 'DATA TARGET'!$C$2:$C998, 'DATA TARGET'!$D$2:$D998, ""Tidak Ditemukan"", 2), ""Tidak Ditemukan"")"),326.59)</f>
        <v>326.59</v>
      </c>
      <c r="H281" s="17">
        <f t="shared" si="1"/>
        <v>326.59</v>
      </c>
      <c r="I281" s="8"/>
    </row>
    <row r="282">
      <c r="A282" s="10" t="s">
        <v>768</v>
      </c>
      <c r="B282" s="10" t="s">
        <v>875</v>
      </c>
      <c r="C282" s="10" t="s">
        <v>990</v>
      </c>
      <c r="D282" s="12" t="s">
        <v>990</v>
      </c>
      <c r="E282" s="13" t="s">
        <v>991</v>
      </c>
      <c r="F282" s="15">
        <f>IFERROR(__xludf.DUMMYFUNCTION("XLOOKUP($D282,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2" s="15">
        <f>IFERROR(__xludf.DUMMYFUNCTION("IFNA(XLOOKUP(""*""&amp;TRIM(REGEXREPLACE($D282, ""(?i)^(PT|CV)\.?\s+"", """"))&amp;""*"", 'DATA TARGET'!$C$2:$C998, 'DATA TARGET'!$D$2:$D998, ""Tidak Ditemukan"", 2), ""Tidak Ditemukan"")"),160.0)</f>
        <v>160</v>
      </c>
      <c r="H282" s="17">
        <f t="shared" si="1"/>
        <v>160</v>
      </c>
      <c r="I282" s="8"/>
    </row>
    <row r="283">
      <c r="A283" s="10" t="s">
        <v>768</v>
      </c>
      <c r="B283" s="10" t="s">
        <v>875</v>
      </c>
      <c r="C283" s="10" t="s">
        <v>993</v>
      </c>
      <c r="D283" s="12" t="s">
        <v>993</v>
      </c>
      <c r="E283" s="13" t="s">
        <v>994</v>
      </c>
      <c r="F283" s="15">
        <f>IFERROR(__xludf.DUMMYFUNCTION("XLOOKUP($D283,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3" s="15">
        <f>IFERROR(__xludf.DUMMYFUNCTION("IFNA(XLOOKUP(""*""&amp;TRIM(REGEXREPLACE($D283, ""(?i)^(PT|CV)\.?\s+"", """"))&amp;""*"", 'DATA TARGET'!$C$2:$C998, 'DATA TARGET'!$D$2:$D998, ""Tidak Ditemukan"", 2), ""Tidak Ditemukan"")"),0.0)</f>
        <v>0</v>
      </c>
      <c r="H283" s="17">
        <f t="shared" si="1"/>
        <v>0</v>
      </c>
      <c r="I283" s="8"/>
    </row>
    <row r="284">
      <c r="A284" s="10" t="s">
        <v>768</v>
      </c>
      <c r="B284" s="10" t="s">
        <v>875</v>
      </c>
      <c r="C284" s="10" t="s">
        <v>996</v>
      </c>
      <c r="D284" s="12" t="s">
        <v>996</v>
      </c>
      <c r="E284" s="13" t="s">
        <v>998</v>
      </c>
      <c r="F284" s="15">
        <f>IFERROR(__xludf.DUMMYFUNCTION("XLOOKUP($D284,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4" s="15">
        <f>IFERROR(__xludf.DUMMYFUNCTION("IFNA(XLOOKUP(""*""&amp;TRIM(REGEXREPLACE($D284, ""(?i)^(PT|CV)\.?\s+"", """"))&amp;""*"", 'DATA TARGET'!$C$2:$C998, 'DATA TARGET'!$D$2:$D998, ""Tidak Ditemukan"", 2), ""Tidak Ditemukan"")"),0.0)</f>
        <v>0</v>
      </c>
      <c r="H284" s="17">
        <f t="shared" si="1"/>
        <v>0</v>
      </c>
      <c r="I284" s="8"/>
    </row>
    <row r="285">
      <c r="A285" s="10" t="s">
        <v>768</v>
      </c>
      <c r="B285" s="10" t="s">
        <v>875</v>
      </c>
      <c r="C285" s="10" t="s">
        <v>1000</v>
      </c>
      <c r="D285" s="12" t="s">
        <v>1000</v>
      </c>
      <c r="E285" s="13" t="s">
        <v>1001</v>
      </c>
      <c r="F285" s="15">
        <f>IFERROR(__xludf.DUMMYFUNCTION("XLOOKUP($D285,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(AUTO)'!R6:R""))"),454.32)</f>
        <v>454.32</v>
      </c>
      <c r="G285" s="15" t="str">
        <f>IFERROR(__xludf.DUMMYFUNCTION("IFNA(XLOOKUP(""*""&amp;TRIM(REGEXREPLACE($D285, ""(?i)^(PT|CV)\.?\s+"", """"))&amp;""*"", 'DATA TARGET'!$C$2:$C998, 'DATA TARGET'!$D$2:$D998, ""Tidak Ditemukan"", 2), ""Tidak Ditemukan"")"),"Tidak Ditemukan")</f>
        <v>Tidak Ditemukan</v>
      </c>
      <c r="H285" s="17">
        <f t="shared" si="1"/>
        <v>454.32</v>
      </c>
      <c r="I285" s="8"/>
    </row>
    <row r="286">
      <c r="A286" s="10" t="s">
        <v>768</v>
      </c>
      <c r="B286" s="10" t="s">
        <v>875</v>
      </c>
      <c r="C286" s="10" t="s">
        <v>1003</v>
      </c>
      <c r="D286" s="12" t="s">
        <v>1003</v>
      </c>
      <c r="E286" s="13" t="s">
        <v>1005</v>
      </c>
      <c r="F286" s="15">
        <f>IFERROR(__xludf.DUMMYFUNCTION("XLOOKUP($D286,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6" s="15" t="str">
        <f>IFERROR(__xludf.DUMMYFUNCTION("IFNA(XLOOKUP(""*""&amp;TRIM(REGEXREPLACE($D286, ""(?i)^(PT|CV)\.?\s+"", """"))&amp;""*"", 'DATA TARGET'!$C$2:$C998, 'DATA TARGET'!$D$2:$D998, ""Tidak Ditemukan"", 2), ""Tidak Ditemukan"")"),"Tidak Ditemukan")</f>
        <v>Tidak Ditemukan</v>
      </c>
      <c r="H286" s="17" t="str">
        <f t="shared" si="1"/>
        <v>Tidak Ditemukan</v>
      </c>
      <c r="I286" s="8"/>
    </row>
    <row r="287">
      <c r="A287" s="10" t="s">
        <v>768</v>
      </c>
      <c r="B287" s="10" t="s">
        <v>875</v>
      </c>
      <c r="C287" s="10" t="s">
        <v>1007</v>
      </c>
      <c r="D287" s="12" t="s">
        <v>1007</v>
      </c>
      <c r="E287" s="13" t="s">
        <v>1008</v>
      </c>
      <c r="F287" s="15">
        <f>IFERROR(__xludf.DUMMYFUNCTION("XLOOKUP($D287,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7" s="15">
        <f>IFERROR(__xludf.DUMMYFUNCTION("IFNA(XLOOKUP(""*""&amp;TRIM(REGEXREPLACE($D287, ""(?i)^(PT|CV)\.?\s+"", """"))&amp;""*"", 'DATA TARGET'!$C$2:$C998, 'DATA TARGET'!$D$2:$D998, ""Tidak Ditemukan"", 2), ""Tidak Ditemukan"")"),0.0)</f>
        <v>0</v>
      </c>
      <c r="H287" s="17">
        <f t="shared" si="1"/>
        <v>0</v>
      </c>
      <c r="I287" s="8"/>
    </row>
    <row r="288">
      <c r="A288" s="10" t="s">
        <v>768</v>
      </c>
      <c r="B288" s="10" t="s">
        <v>875</v>
      </c>
      <c r="C288" s="10" t="s">
        <v>1010</v>
      </c>
      <c r="D288" s="12" t="s">
        <v>1010</v>
      </c>
      <c r="E288" s="13" t="s">
        <v>1011</v>
      </c>
      <c r="F288" s="15">
        <f>IFERROR(__xludf.DUMMYFUNCTION("XLOOKUP($D288,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8" s="15">
        <f>IFERROR(__xludf.DUMMYFUNCTION("IFNA(XLOOKUP(""*""&amp;TRIM(REGEXREPLACE($D288, ""(?i)^(PT|CV)\.?\s+"", """"))&amp;""*"", 'DATA TARGET'!$C$2:$C998, 'DATA TARGET'!$D$2:$D998, ""Tidak Ditemukan"", 2), ""Tidak Ditemukan"")"),0.0)</f>
        <v>0</v>
      </c>
      <c r="H288" s="17">
        <f t="shared" si="1"/>
        <v>0</v>
      </c>
      <c r="I288" s="8"/>
    </row>
    <row r="289">
      <c r="A289" s="10" t="s">
        <v>768</v>
      </c>
      <c r="B289" s="10" t="s">
        <v>875</v>
      </c>
      <c r="C289" s="10" t="s">
        <v>1013</v>
      </c>
      <c r="D289" s="12" t="s">
        <v>1013</v>
      </c>
      <c r="E289" s="13" t="s">
        <v>1014</v>
      </c>
      <c r="F289" s="15">
        <f>IFERROR(__xludf.DUMMYFUNCTION("XLOOKUP($D289,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89" s="15">
        <f>IFERROR(__xludf.DUMMYFUNCTION("IFNA(XLOOKUP(""*""&amp;TRIM(REGEXREPLACE($D289, ""(?i)^(PT|CV)\.?\s+"", """"))&amp;""*"", 'DATA TARGET'!$C$2:$C998, 'DATA TARGET'!$D$2:$D998, ""Tidak Ditemukan"", 2), ""Tidak Ditemukan"")"),0.0)</f>
        <v>0</v>
      </c>
      <c r="H289" s="17">
        <f t="shared" si="1"/>
        <v>0</v>
      </c>
      <c r="I289" s="8"/>
    </row>
    <row r="290">
      <c r="A290" s="10" t="s">
        <v>768</v>
      </c>
      <c r="B290" s="10" t="s">
        <v>875</v>
      </c>
      <c r="C290" s="10" t="s">
        <v>1016</v>
      </c>
      <c r="D290" s="12" t="s">
        <v>1016</v>
      </c>
      <c r="E290" s="13" t="s">
        <v>1017</v>
      </c>
      <c r="F290" s="15">
        <f>IFERROR(__xludf.DUMMYFUNCTION("XLOOKUP($D290,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0" s="15">
        <f>IFERROR(__xludf.DUMMYFUNCTION("IFNA(XLOOKUP(""*""&amp;TRIM(REGEXREPLACE($D290, ""(?i)^(PT|CV)\.?\s+"", """"))&amp;""*"", 'DATA TARGET'!$C$2:$C998, 'DATA TARGET'!$D$2:$D998, ""Tidak Ditemukan"", 2), ""Tidak Ditemukan"")"),0.0)</f>
        <v>0</v>
      </c>
      <c r="H290" s="17">
        <f t="shared" si="1"/>
        <v>0</v>
      </c>
      <c r="I290" s="8"/>
    </row>
    <row r="291">
      <c r="A291" s="10" t="s">
        <v>768</v>
      </c>
      <c r="B291" s="10" t="s">
        <v>875</v>
      </c>
      <c r="C291" s="10" t="s">
        <v>1019</v>
      </c>
      <c r="D291" s="12" t="s">
        <v>1019</v>
      </c>
      <c r="E291" s="13" t="s">
        <v>1020</v>
      </c>
      <c r="F291" s="15">
        <f>IFERROR(__xludf.DUMMYFUNCTION("XLOOKUP($D291,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1" s="15">
        <f>IFERROR(__xludf.DUMMYFUNCTION("IFNA(XLOOKUP(""*""&amp;TRIM(REGEXREPLACE($D291, ""(?i)^(PT|CV)\.?\s+"", """"))&amp;""*"", 'DATA TARGET'!$C$2:$C998, 'DATA TARGET'!$D$2:$D998, ""Tidak Ditemukan"", 2), ""Tidak Ditemukan"")"),375.84)</f>
        <v>375.84</v>
      </c>
      <c r="H291" s="17">
        <f t="shared" si="1"/>
        <v>375.84</v>
      </c>
      <c r="I291" s="8"/>
    </row>
    <row r="292">
      <c r="A292" s="10" t="s">
        <v>768</v>
      </c>
      <c r="B292" s="10" t="s">
        <v>875</v>
      </c>
      <c r="C292" s="10" t="s">
        <v>1023</v>
      </c>
      <c r="D292" s="12" t="s">
        <v>1023</v>
      </c>
      <c r="E292" s="13" t="s">
        <v>1024</v>
      </c>
      <c r="F292" s="15">
        <f>IFERROR(__xludf.DUMMYFUNCTION("XLOOKUP($D292,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2" s="15">
        <f>IFERROR(__xludf.DUMMYFUNCTION("IFNA(XLOOKUP(""*""&amp;TRIM(REGEXREPLACE($D292, ""(?i)^(PT|CV)\.?\s+"", """"))&amp;""*"", 'DATA TARGET'!$C$2:$C998, 'DATA TARGET'!$D$2:$D998, ""Tidak Ditemukan"", 2), ""Tidak Ditemukan"")"),22.0)</f>
        <v>22</v>
      </c>
      <c r="H292" s="17">
        <f t="shared" si="1"/>
        <v>22</v>
      </c>
      <c r="I292" s="8"/>
    </row>
    <row r="293">
      <c r="A293" s="10" t="s">
        <v>768</v>
      </c>
      <c r="B293" s="10" t="s">
        <v>875</v>
      </c>
      <c r="C293" s="10" t="s">
        <v>1026</v>
      </c>
      <c r="D293" s="12" t="s">
        <v>1026</v>
      </c>
      <c r="E293" s="13" t="s">
        <v>1027</v>
      </c>
      <c r="F293" s="15">
        <f>IFERROR(__xludf.DUMMYFUNCTION("XLOOKUP($D293,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3" s="15">
        <f>IFERROR(__xludf.DUMMYFUNCTION("IFNA(XLOOKUP(""*""&amp;TRIM(REGEXREPLACE($D293, ""(?i)^(PT|CV)\.?\s+"", """"))&amp;""*"", 'DATA TARGET'!$C$2:$C998, 'DATA TARGET'!$D$2:$D998, ""Tidak Ditemukan"", 2), ""Tidak Ditemukan"")"),75.55)</f>
        <v>75.55</v>
      </c>
      <c r="H293" s="17">
        <f t="shared" si="1"/>
        <v>75.55</v>
      </c>
      <c r="I293" s="8"/>
    </row>
    <row r="294">
      <c r="A294" s="10" t="s">
        <v>768</v>
      </c>
      <c r="B294" s="10" t="s">
        <v>875</v>
      </c>
      <c r="C294" s="10" t="s">
        <v>1030</v>
      </c>
      <c r="D294" s="12" t="s">
        <v>1030</v>
      </c>
      <c r="E294" s="13" t="s">
        <v>1031</v>
      </c>
      <c r="F294" s="15">
        <f>IFERROR(__xludf.DUMMYFUNCTION("XLOOKUP($D294,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4" s="15">
        <f>IFERROR(__xludf.DUMMYFUNCTION("IFNA(XLOOKUP(""*""&amp;TRIM(REGEXREPLACE($D294, ""(?i)^(PT|CV)\.?\s+"", """"))&amp;""*"", 'DATA TARGET'!$C$2:$C998, 'DATA TARGET'!$D$2:$D998, ""Tidak Ditemukan"", 2), ""Tidak Ditemukan"")"),604.25)</f>
        <v>604.25</v>
      </c>
      <c r="H294" s="17">
        <f t="shared" si="1"/>
        <v>604.25</v>
      </c>
      <c r="I294" s="8"/>
    </row>
    <row r="295">
      <c r="A295" s="10" t="s">
        <v>768</v>
      </c>
      <c r="B295" s="10" t="s">
        <v>875</v>
      </c>
      <c r="C295" s="10" t="s">
        <v>1034</v>
      </c>
      <c r="D295" s="12" t="s">
        <v>1036</v>
      </c>
      <c r="E295" s="13" t="s">
        <v>1037</v>
      </c>
      <c r="F295" s="15">
        <f>IFERROR(__xludf.DUMMYFUNCTION("XLOOKUP($D295,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5" s="15" t="str">
        <f>IFERROR(__xludf.DUMMYFUNCTION("IFNA(XLOOKUP(""*""&amp;TRIM(REGEXREPLACE($D295, ""(?i)^(PT|CV)\.?\s+"", """"))&amp;""*"", 'DATA TARGET'!$C$2:$C998, 'DATA TARGET'!$D$2:$D998, ""Tidak Ditemukan"", 2), ""Tidak Ditemukan"")"),"Tidak Ditemukan")</f>
        <v>Tidak Ditemukan</v>
      </c>
      <c r="H295" s="17" t="str">
        <f t="shared" si="1"/>
        <v>Tidak Ditemukan</v>
      </c>
      <c r="I295" s="8"/>
    </row>
    <row r="296">
      <c r="A296" s="10" t="s">
        <v>768</v>
      </c>
      <c r="B296" s="10" t="s">
        <v>875</v>
      </c>
      <c r="C296" s="10" t="s">
        <v>1040</v>
      </c>
      <c r="D296" s="12" t="s">
        <v>1040</v>
      </c>
      <c r="E296" s="13" t="s">
        <v>1041</v>
      </c>
      <c r="F296" s="15">
        <f>IFERROR(__xludf.DUMMYFUNCTION("XLOOKUP($D296,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6" s="15">
        <f>IFERROR(__xludf.DUMMYFUNCTION("IFNA(XLOOKUP(""*""&amp;TRIM(REGEXREPLACE($D296, ""(?i)^(PT|CV)\.?\s+"", """"))&amp;""*"", 'DATA TARGET'!$C$2:$C998, 'DATA TARGET'!$D$2:$D998, ""Tidak Ditemukan"", 2), ""Tidak Ditemukan"")"),0.0)</f>
        <v>0</v>
      </c>
      <c r="H296" s="17">
        <f t="shared" si="1"/>
        <v>0</v>
      </c>
      <c r="I296" s="8"/>
    </row>
    <row r="297">
      <c r="A297" s="10" t="s">
        <v>768</v>
      </c>
      <c r="B297" s="10" t="s">
        <v>875</v>
      </c>
      <c r="C297" s="10" t="s">
        <v>1043</v>
      </c>
      <c r="D297" s="12" t="s">
        <v>1043</v>
      </c>
      <c r="E297" s="13" t="s">
        <v>1045</v>
      </c>
      <c r="F297" s="15">
        <f>IFERROR(__xludf.DUMMYFUNCTION("XLOOKUP($D297,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7" s="15">
        <f>IFERROR(__xludf.DUMMYFUNCTION("IFNA(XLOOKUP(""*""&amp;TRIM(REGEXREPLACE($D297, ""(?i)^(PT|CV)\.?\s+"", """"))&amp;""*"", 'DATA TARGET'!$C$2:$C998, 'DATA TARGET'!$D$2:$D998, ""Tidak Ditemukan"", 2), ""Tidak Ditemukan"")"),404.0)</f>
        <v>404</v>
      </c>
      <c r="H297" s="17">
        <f t="shared" si="1"/>
        <v>404</v>
      </c>
      <c r="I297" s="8"/>
    </row>
    <row r="298">
      <c r="A298" s="10" t="s">
        <v>768</v>
      </c>
      <c r="B298" s="10" t="s">
        <v>875</v>
      </c>
      <c r="C298" s="10" t="s">
        <v>1047</v>
      </c>
      <c r="D298" s="12" t="s">
        <v>1049</v>
      </c>
      <c r="E298" s="13" t="s">
        <v>1050</v>
      </c>
      <c r="F298" s="15">
        <f>IFERROR(__xludf.DUMMYFUNCTION("XLOOKUP($D298,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8" s="15" t="str">
        <f>IFERROR(__xludf.DUMMYFUNCTION("IFNA(XLOOKUP(""*""&amp;TRIM(REGEXREPLACE($D298, ""(?i)^(PT|CV)\.?\s+"", """"))&amp;""*"", 'DATA TARGET'!$C$2:$C998, 'DATA TARGET'!$D$2:$D998, ""Tidak Ditemukan"", 2), ""Tidak Ditemukan"")"),"Tidak Ditemukan")</f>
        <v>Tidak Ditemukan</v>
      </c>
      <c r="H298" s="17" t="str">
        <f t="shared" si="1"/>
        <v>Tidak Ditemukan</v>
      </c>
      <c r="I298" s="8"/>
    </row>
    <row r="299">
      <c r="A299" s="10" t="s">
        <v>768</v>
      </c>
      <c r="B299" s="10" t="s">
        <v>875</v>
      </c>
      <c r="C299" s="10" t="s">
        <v>1053</v>
      </c>
      <c r="D299" s="12" t="s">
        <v>1053</v>
      </c>
      <c r="E299" s="13" t="s">
        <v>1054</v>
      </c>
      <c r="F299" s="15">
        <f>IFERROR(__xludf.DUMMYFUNCTION("XLOOKUP($D299,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299" s="15">
        <f>IFERROR(__xludf.DUMMYFUNCTION("IFNA(XLOOKUP(""*""&amp;TRIM(REGEXREPLACE($D299, ""(?i)^(PT|CV)\.?\s+"", """"))&amp;""*"", 'DATA TARGET'!$C$2:$C998, 'DATA TARGET'!$D$2:$D998, ""Tidak Ditemukan"", 2), ""Tidak Ditemukan"")"),0.0)</f>
        <v>0</v>
      </c>
      <c r="H299" s="17">
        <f t="shared" si="1"/>
        <v>0</v>
      </c>
      <c r="I299" s="8"/>
    </row>
    <row r="300">
      <c r="A300" s="10" t="s">
        <v>768</v>
      </c>
      <c r="B300" s="10" t="s">
        <v>875</v>
      </c>
      <c r="C300" s="10" t="s">
        <v>1056</v>
      </c>
      <c r="D300" s="12" t="s">
        <v>1056</v>
      </c>
      <c r="E300" s="13" t="s">
        <v>1058</v>
      </c>
      <c r="F300" s="15">
        <f>IFERROR(__xludf.DUMMYFUNCTION("XLOOKUP($D300,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00" s="15">
        <f>IFERROR(__xludf.DUMMYFUNCTION("IFNA(XLOOKUP(""*""&amp;TRIM(REGEXREPLACE($D300, ""(?i)^(PT|CV)\.?\s+"", """"))&amp;""*"", 'DATA TARGET'!$C$2:$C998, 'DATA TARGET'!$D$2:$D998, ""Tidak Ditemukan"", 2), ""Tidak Ditemukan"")"),0.0)</f>
        <v>0</v>
      </c>
      <c r="H300" s="17">
        <f t="shared" si="1"/>
        <v>0</v>
      </c>
      <c r="I300" s="8"/>
    </row>
    <row r="301">
      <c r="A301" s="10" t="s">
        <v>768</v>
      </c>
      <c r="B301" s="10" t="s">
        <v>875</v>
      </c>
      <c r="C301" s="10" t="s">
        <v>1060</v>
      </c>
      <c r="D301" s="12" t="s">
        <v>1060</v>
      </c>
      <c r="E301" s="13" t="s">
        <v>1061</v>
      </c>
      <c r="F301" s="15">
        <f>IFERROR(__xludf.DUMMYFUNCTION("XLOOKUP($D301,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01" s="15">
        <f>IFERROR(__xludf.DUMMYFUNCTION("IFNA(XLOOKUP(""*""&amp;TRIM(REGEXREPLACE($D301, ""(?i)^(PT|CV)\.?\s+"", """"))&amp;""*"", 'DATA TARGET'!$C$2:$C998, 'DATA TARGET'!$D$2:$D998, ""Tidak Ditemukan"", 2), ""Tidak Ditemukan"")"),0.0)</f>
        <v>0</v>
      </c>
      <c r="H301" s="17">
        <f t="shared" si="1"/>
        <v>0</v>
      </c>
      <c r="I301" s="8"/>
    </row>
    <row r="302">
      <c r="A302" s="10" t="s">
        <v>768</v>
      </c>
      <c r="B302" s="10" t="s">
        <v>875</v>
      </c>
      <c r="C302" s="10" t="s">
        <v>1062</v>
      </c>
      <c r="D302" s="12" t="s">
        <v>1062</v>
      </c>
      <c r="E302" s="13" t="s">
        <v>1064</v>
      </c>
      <c r="F302" s="15">
        <f>IFERROR(__xludf.DUMMYFUNCTION("XLOOKUP($D302,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02" s="15">
        <f>IFERROR(__xludf.DUMMYFUNCTION("IFNA(XLOOKUP(""*""&amp;TRIM(REGEXREPLACE($D302, ""(?i)^(PT|CV)\.?\s+"", """"))&amp;""*"", 'DATA TARGET'!$C$2:$C998, 'DATA TARGET'!$D$2:$D998, ""Tidak Ditemukan"", 2), ""Tidak Ditemukan"")"),9.65)</f>
        <v>9.65</v>
      </c>
      <c r="H302" s="17">
        <f t="shared" si="1"/>
        <v>9.65</v>
      </c>
      <c r="I302" s="8"/>
    </row>
    <row r="303">
      <c r="A303" s="10" t="s">
        <v>768</v>
      </c>
      <c r="B303" s="10" t="s">
        <v>875</v>
      </c>
      <c r="C303" s="10" t="s">
        <v>1066</v>
      </c>
      <c r="D303" s="12" t="s">
        <v>1066</v>
      </c>
      <c r="E303" s="13" t="s">
        <v>1067</v>
      </c>
      <c r="F303" s="15">
        <f>IFERROR(__xludf.DUMMYFUNCTION("XLOOKUP($D303,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03" s="15">
        <f>IFERROR(__xludf.DUMMYFUNCTION("IFNA(XLOOKUP(""*""&amp;TRIM(REGEXREPLACE($D303, ""(?i)^(PT|CV)\.?\s+"", """"))&amp;""*"", 'DATA TARGET'!$C$2:$C998, 'DATA TARGET'!$D$2:$D998, ""Tidak Ditemukan"", 2), ""Tidak Ditemukan"")"),0.0)</f>
        <v>0</v>
      </c>
      <c r="H303" s="17">
        <f t="shared" si="1"/>
        <v>0</v>
      </c>
      <c r="I303" s="8"/>
    </row>
    <row r="304">
      <c r="A304" s="10" t="s">
        <v>1069</v>
      </c>
      <c r="B304" s="10" t="s">
        <v>1071</v>
      </c>
      <c r="C304" s="10" t="s">
        <v>1072</v>
      </c>
      <c r="D304" s="12" t="s">
        <v>1073</v>
      </c>
      <c r="E304" s="13" t="s">
        <v>1074</v>
      </c>
      <c r="F304" s="15">
        <f>IFERROR(__xludf.DUMMYFUNCTION("XLOOKUP($D304,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(AUTO)'!R6:R""))"),32.0)</f>
        <v>32</v>
      </c>
      <c r="G304" s="15">
        <f>IFERROR(__xludf.DUMMYFUNCTION("IFNA(XLOOKUP(""*""&amp;TRIM(REGEXREPLACE($D304, ""(?i)^(PT|CV)\.?\s+"", """"))&amp;""*"", 'DATA TARGET'!$C$2:$C998, 'DATA TARGET'!$D$2:$D998, ""Tidak Ditemukan"", 2), ""Tidak Ditemukan"")"),32.0)</f>
        <v>32</v>
      </c>
      <c r="H304" s="17">
        <f t="shared" si="1"/>
        <v>32</v>
      </c>
      <c r="I304" s="8"/>
    </row>
    <row r="305">
      <c r="A305" s="10" t="s">
        <v>1069</v>
      </c>
      <c r="B305" s="10" t="s">
        <v>1071</v>
      </c>
      <c r="C305" s="10" t="s">
        <v>1072</v>
      </c>
      <c r="D305" s="12" t="s">
        <v>1076</v>
      </c>
      <c r="E305" s="13" t="s">
        <v>1077</v>
      </c>
      <c r="F305" s="15">
        <f>IFERROR(__xludf.DUMMYFUNCTION("XLOOKUP($D305,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(AUTO)'!R6:R""))"),411.0)</f>
        <v>411</v>
      </c>
      <c r="G305" s="15">
        <f>IFERROR(__xludf.DUMMYFUNCTION("IFNA(XLOOKUP(""*""&amp;TRIM(REGEXREPLACE($D305, ""(?i)^(PT|CV)\.?\s+"", """"))&amp;""*"", 'DATA TARGET'!$C$2:$C998, 'DATA TARGET'!$D$2:$D998, ""Tidak Ditemukan"", 2), ""Tidak Ditemukan"")"),411.0)</f>
        <v>411</v>
      </c>
      <c r="H305" s="17">
        <f t="shared" si="1"/>
        <v>411</v>
      </c>
      <c r="I305" s="8"/>
    </row>
    <row r="306">
      <c r="A306" s="10" t="s">
        <v>1069</v>
      </c>
      <c r="B306" s="10" t="s">
        <v>1071</v>
      </c>
      <c r="C306" s="10" t="s">
        <v>1072</v>
      </c>
      <c r="D306" s="12" t="s">
        <v>1080</v>
      </c>
      <c r="E306" s="13" t="s">
        <v>1081</v>
      </c>
      <c r="F306" s="15">
        <f>IFERROR(__xludf.DUMMYFUNCTION("XLOOKUP($D306,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(AUTO)'!R6:R""))"),36.0)</f>
        <v>36</v>
      </c>
      <c r="G306" s="15" t="str">
        <f>IFERROR(__xludf.DUMMYFUNCTION("IFNA(XLOOKUP(""*""&amp;TRIM(REGEXREPLACE($D306, ""(?i)^(PT|CV)\.?\s+"", """"))&amp;""*"", 'DATA TARGET'!$C$2:$C998, 'DATA TARGET'!$D$2:$D998, ""Tidak Ditemukan"", 2), ""Tidak Ditemukan"")"),"Tidak Ditemukan")</f>
        <v>Tidak Ditemukan</v>
      </c>
      <c r="H306" s="17">
        <f t="shared" si="1"/>
        <v>36</v>
      </c>
      <c r="I306" s="8"/>
    </row>
    <row r="307">
      <c r="A307" s="10" t="s">
        <v>1069</v>
      </c>
      <c r="B307" s="10" t="s">
        <v>1071</v>
      </c>
      <c r="C307" s="10" t="s">
        <v>1072</v>
      </c>
      <c r="D307" s="12" t="s">
        <v>1082</v>
      </c>
      <c r="E307" s="13" t="s">
        <v>1083</v>
      </c>
      <c r="F307" s="15">
        <f>IFERROR(__xludf.DUMMYFUNCTION("XLOOKUP($D307,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(AUTO)'!R6:R""))"),106.0)</f>
        <v>106</v>
      </c>
      <c r="G307" s="15" t="str">
        <f>IFERROR(__xludf.DUMMYFUNCTION("IFNA(XLOOKUP(""*""&amp;TRIM(REGEXREPLACE($D307, ""(?i)^(PT|CV)\.?\s+"", """"))&amp;""*"", 'DATA TARGET'!$C$2:$C998, 'DATA TARGET'!$D$2:$D998, ""Tidak Ditemukan"", 2), ""Tidak Ditemukan"")"),"Tidak Ditemukan")</f>
        <v>Tidak Ditemukan</v>
      </c>
      <c r="H307" s="17">
        <f t="shared" si="1"/>
        <v>106</v>
      </c>
      <c r="I307" s="8"/>
    </row>
    <row r="308">
      <c r="A308" s="10" t="s">
        <v>1069</v>
      </c>
      <c r="B308" s="10" t="s">
        <v>1071</v>
      </c>
      <c r="C308" s="10" t="s">
        <v>1072</v>
      </c>
      <c r="D308" s="12" t="s">
        <v>1086</v>
      </c>
      <c r="E308" s="13" t="s">
        <v>1087</v>
      </c>
      <c r="F308" s="15">
        <f>IFERROR(__xludf.DUMMYFUNCTION("XLOOKUP($D308,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(AUTO)'!R6:R""))"),208.0)</f>
        <v>208</v>
      </c>
      <c r="G308" s="15" t="str">
        <f>IFERROR(__xludf.DUMMYFUNCTION("IFNA(XLOOKUP(""*""&amp;TRIM(REGEXREPLACE($D308, ""(?i)^(PT|CV)\.?\s+"", """"))&amp;""*"", 'DATA TARGET'!$C$2:$C998, 'DATA TARGET'!$D$2:$D998, ""Tidak Ditemukan"", 2), ""Tidak Ditemukan"")"),"Tidak Ditemukan")</f>
        <v>Tidak Ditemukan</v>
      </c>
      <c r="H308" s="17">
        <f t="shared" si="1"/>
        <v>208</v>
      </c>
      <c r="I308" s="8"/>
    </row>
    <row r="309">
      <c r="A309" s="10" t="s">
        <v>1069</v>
      </c>
      <c r="B309" s="10" t="s">
        <v>1071</v>
      </c>
      <c r="C309" s="10" t="s">
        <v>1090</v>
      </c>
      <c r="D309" s="12" t="s">
        <v>1090</v>
      </c>
      <c r="E309" s="13" t="s">
        <v>1092</v>
      </c>
      <c r="F309" s="15">
        <f>IFERROR(__xludf.DUMMYFUNCTION("XLOOKUP($D309,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09" s="15" t="str">
        <f>IFERROR(__xludf.DUMMYFUNCTION("IFNA(XLOOKUP(""*""&amp;TRIM(REGEXREPLACE($D309, ""(?i)^(PT|CV)\.?\s+"", """"))&amp;""*"", 'DATA TARGET'!$C$2:$C998, 'DATA TARGET'!$D$2:$D998, ""Tidak Ditemukan"", 2), ""Tidak Ditemukan"")"),"Tidak Ditemukan")</f>
        <v>Tidak Ditemukan</v>
      </c>
      <c r="H309" s="17" t="str">
        <f t="shared" si="1"/>
        <v>Tidak Ditemukan</v>
      </c>
      <c r="I309" s="8"/>
    </row>
    <row r="310">
      <c r="A310" s="10" t="s">
        <v>1069</v>
      </c>
      <c r="B310" s="10" t="s">
        <v>1071</v>
      </c>
      <c r="C310" s="10" t="s">
        <v>1096</v>
      </c>
      <c r="D310" s="12" t="s">
        <v>1096</v>
      </c>
      <c r="E310" s="13" t="s">
        <v>1097</v>
      </c>
      <c r="F310" s="15">
        <f>IFERROR(__xludf.DUMMYFUNCTION("XLOOKUP($D310,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10" s="15" t="str">
        <f>IFERROR(__xludf.DUMMYFUNCTION("IFNA(XLOOKUP(""*""&amp;TRIM(REGEXREPLACE($D310, ""(?i)^(PT|CV)\.?\s+"", """"))&amp;""*"", 'DATA TARGET'!$C$2:$C998, 'DATA TARGET'!$D$2:$D998, ""Tidak Ditemukan"", 2), ""Tidak Ditemukan"")"),"Tidak Ditemukan")</f>
        <v>Tidak Ditemukan</v>
      </c>
      <c r="H310" s="17" t="str">
        <f t="shared" si="1"/>
        <v>Tidak Ditemukan</v>
      </c>
      <c r="I310" s="8"/>
    </row>
    <row r="311">
      <c r="A311" s="10" t="s">
        <v>1069</v>
      </c>
      <c r="B311" s="10" t="s">
        <v>1071</v>
      </c>
      <c r="C311" s="10" t="s">
        <v>1099</v>
      </c>
      <c r="D311" s="12" t="s">
        <v>1100</v>
      </c>
      <c r="E311" s="13" t="s">
        <v>1101</v>
      </c>
      <c r="F311" s="15">
        <f>IFERROR(__xludf.DUMMYFUNCTION("XLOOKUP($D311,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(AUTO)'!R6:R""))"),867.0)</f>
        <v>867</v>
      </c>
      <c r="G311" s="15" t="str">
        <f>IFERROR(__xludf.DUMMYFUNCTION("IFNA(XLOOKUP(""*""&amp;TRIM(REGEXREPLACE($D311, ""(?i)^(PT|CV)\.?\s+"", """"))&amp;""*"", 'DATA TARGET'!$C$2:$C998, 'DATA TARGET'!$D$2:$D998, ""Tidak Ditemukan"", 2), ""Tidak Ditemukan"")"),"Tidak Ditemukan")</f>
        <v>Tidak Ditemukan</v>
      </c>
      <c r="H311" s="17">
        <f t="shared" si="1"/>
        <v>867</v>
      </c>
      <c r="I311" s="8"/>
    </row>
    <row r="312">
      <c r="A312" s="10" t="s">
        <v>1069</v>
      </c>
      <c r="B312" s="10" t="s">
        <v>1071</v>
      </c>
      <c r="C312" s="10" t="s">
        <v>1103</v>
      </c>
      <c r="D312" s="12" t="s">
        <v>1104</v>
      </c>
      <c r="E312" s="13" t="s">
        <v>1105</v>
      </c>
      <c r="F312" s="15">
        <f>IFERROR(__xludf.DUMMYFUNCTION("XLOOKUP($D312,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(AUTO)'!R6:R""))"),4461.0)</f>
        <v>4461</v>
      </c>
      <c r="G312" s="15">
        <f>IFERROR(__xludf.DUMMYFUNCTION("IFNA(XLOOKUP(""*""&amp;TRIM(REGEXREPLACE($D312, ""(?i)^(PT|CV)\.?\s+"", """"))&amp;""*"", 'DATA TARGET'!$C$2:$C998, 'DATA TARGET'!$D$2:$D998, ""Tidak Ditemukan"", 2), ""Tidak Ditemukan"")"),457.0)</f>
        <v>457</v>
      </c>
      <c r="H312" s="17">
        <f t="shared" si="1"/>
        <v>4461</v>
      </c>
      <c r="I312" s="8"/>
    </row>
    <row r="313">
      <c r="A313" s="10" t="s">
        <v>1069</v>
      </c>
      <c r="B313" s="10" t="s">
        <v>1071</v>
      </c>
      <c r="C313" s="10" t="s">
        <v>1103</v>
      </c>
      <c r="D313" s="12" t="s">
        <v>1107</v>
      </c>
      <c r="E313" s="13" t="s">
        <v>1108</v>
      </c>
      <c r="F313" s="15">
        <f>IFERROR(__xludf.DUMMYFUNCTION("XLOOKUP($D313,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(AUTO)'!R6:R""))"),5179.0)</f>
        <v>5179</v>
      </c>
      <c r="G313" s="15">
        <f>IFERROR(__xludf.DUMMYFUNCTION("IFNA(XLOOKUP(""*""&amp;TRIM(REGEXREPLACE($D313, ""(?i)^(PT|CV)\.?\s+"", """"))&amp;""*"", 'DATA TARGET'!$C$2:$C998, 'DATA TARGET'!$D$2:$D998, ""Tidak Ditemukan"", 2), ""Tidak Ditemukan"")"),323.0)</f>
        <v>323</v>
      </c>
      <c r="H313" s="17">
        <f t="shared" si="1"/>
        <v>5179</v>
      </c>
      <c r="I313" s="8"/>
    </row>
    <row r="314">
      <c r="A314" s="10" t="s">
        <v>1069</v>
      </c>
      <c r="B314" s="10" t="s">
        <v>1071</v>
      </c>
      <c r="C314" s="10" t="s">
        <v>1103</v>
      </c>
      <c r="D314" s="12" t="s">
        <v>1110</v>
      </c>
      <c r="E314" s="13" t="s">
        <v>1111</v>
      </c>
      <c r="F314" s="15">
        <f>IFERROR(__xludf.DUMMYFUNCTION("XLOOKUP($D314,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(AUTO)'!R6:R""))"),4487.0)</f>
        <v>4487</v>
      </c>
      <c r="G314" s="15">
        <f>IFERROR(__xludf.DUMMYFUNCTION("IFNA(XLOOKUP(""*""&amp;TRIM(REGEXREPLACE($D314, ""(?i)^(PT|CV)\.?\s+"", """"))&amp;""*"", 'DATA TARGET'!$C$2:$C998, 'DATA TARGET'!$D$2:$D998, ""Tidak Ditemukan"", 2), ""Tidak Ditemukan"")"),225.0)</f>
        <v>225</v>
      </c>
      <c r="H314" s="17">
        <f t="shared" si="1"/>
        <v>4487</v>
      </c>
      <c r="I314" s="8"/>
    </row>
    <row r="315">
      <c r="A315" s="10" t="s">
        <v>1069</v>
      </c>
      <c r="B315" s="10" t="s">
        <v>1071</v>
      </c>
      <c r="C315" s="10" t="s">
        <v>1103</v>
      </c>
      <c r="D315" s="12" t="s">
        <v>1112</v>
      </c>
      <c r="E315" s="13" t="s">
        <v>1114</v>
      </c>
      <c r="F315" s="15">
        <f>IFERROR(__xludf.DUMMYFUNCTION("XLOOKUP($D315,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(AUTO)'!R6:R""))"),457.0)</f>
        <v>457</v>
      </c>
      <c r="G315" s="15" t="str">
        <f>IFERROR(__xludf.DUMMYFUNCTION("IFNA(XLOOKUP(""*""&amp;TRIM(REGEXREPLACE($D315, ""(?i)^(PT|CV)\.?\s+"", """"))&amp;""*"", 'DATA TARGET'!$C$2:$C998, 'DATA TARGET'!$D$2:$D998, ""Tidak Ditemukan"", 2), ""Tidak Ditemukan"")"),"Tidak Ditemukan")</f>
        <v>Tidak Ditemukan</v>
      </c>
      <c r="H315" s="17">
        <f t="shared" si="1"/>
        <v>457</v>
      </c>
      <c r="I315" s="8"/>
    </row>
    <row r="316">
      <c r="A316" s="10" t="s">
        <v>1069</v>
      </c>
      <c r="B316" s="10" t="s">
        <v>1071</v>
      </c>
      <c r="C316" s="10" t="s">
        <v>1103</v>
      </c>
      <c r="D316" s="12" t="s">
        <v>1115</v>
      </c>
      <c r="E316" s="13" t="s">
        <v>1116</v>
      </c>
      <c r="F316" s="15">
        <f>IFERROR(__xludf.DUMMYFUNCTION("XLOOKUP($D316,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(AUTO)'!R6:R""))"),376.0)</f>
        <v>376</v>
      </c>
      <c r="G316" s="15" t="str">
        <f>IFERROR(__xludf.DUMMYFUNCTION("IFNA(XLOOKUP(""*""&amp;TRIM(REGEXREPLACE($D316, ""(?i)^(PT|CV)\.?\s+"", """"))&amp;""*"", 'DATA TARGET'!$C$2:$C998, 'DATA TARGET'!$D$2:$D998, ""Tidak Ditemukan"", 2), ""Tidak Ditemukan"")"),"Tidak Ditemukan")</f>
        <v>Tidak Ditemukan</v>
      </c>
      <c r="H316" s="17">
        <f t="shared" si="1"/>
        <v>376</v>
      </c>
      <c r="I316" s="8"/>
    </row>
    <row r="317">
      <c r="A317" s="10" t="s">
        <v>1069</v>
      </c>
      <c r="B317" s="10" t="s">
        <v>1071</v>
      </c>
      <c r="C317" s="10" t="s">
        <v>1103</v>
      </c>
      <c r="D317" s="12" t="s">
        <v>1120</v>
      </c>
      <c r="E317" s="13" t="s">
        <v>1121</v>
      </c>
      <c r="F317" s="15">
        <f>IFERROR(__xludf.DUMMYFUNCTION("XLOOKUP($D317,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(AUTO)'!R6:R""))"),323.0)</f>
        <v>323</v>
      </c>
      <c r="G317" s="15" t="str">
        <f>IFERROR(__xludf.DUMMYFUNCTION("IFNA(XLOOKUP(""*""&amp;TRIM(REGEXREPLACE($D317, ""(?i)^(PT|CV)\.?\s+"", """"))&amp;""*"", 'DATA TARGET'!$C$2:$C998, 'DATA TARGET'!$D$2:$D998, ""Tidak Ditemukan"", 2), ""Tidak Ditemukan"")"),"Tidak Ditemukan")</f>
        <v>Tidak Ditemukan</v>
      </c>
      <c r="H317" s="17">
        <f t="shared" si="1"/>
        <v>323</v>
      </c>
      <c r="I317" s="8"/>
    </row>
    <row r="318">
      <c r="A318" s="10" t="s">
        <v>1069</v>
      </c>
      <c r="B318" s="10" t="s">
        <v>1071</v>
      </c>
      <c r="C318" s="10" t="s">
        <v>1103</v>
      </c>
      <c r="D318" s="12" t="s">
        <v>1124</v>
      </c>
      <c r="E318" s="13" t="s">
        <v>1125</v>
      </c>
      <c r="F318" s="15">
        <f>IFERROR(__xludf.DUMMYFUNCTION("XLOOKUP($D318,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(AUTO)'!R6:R""))"),225.0)</f>
        <v>225</v>
      </c>
      <c r="G318" s="15" t="str">
        <f>IFERROR(__xludf.DUMMYFUNCTION("IFNA(XLOOKUP(""*""&amp;TRIM(REGEXREPLACE($D318, ""(?i)^(PT|CV)\.?\s+"", """"))&amp;""*"", 'DATA TARGET'!$C$2:$C998, 'DATA TARGET'!$D$2:$D998, ""Tidak Ditemukan"", 2), ""Tidak Ditemukan"")"),"Tidak Ditemukan")</f>
        <v>Tidak Ditemukan</v>
      </c>
      <c r="H318" s="17">
        <f t="shared" si="1"/>
        <v>225</v>
      </c>
      <c r="I318" s="8"/>
    </row>
    <row r="319">
      <c r="A319" s="10" t="s">
        <v>1069</v>
      </c>
      <c r="B319" s="10" t="s">
        <v>1071</v>
      </c>
      <c r="C319" s="10" t="s">
        <v>1128</v>
      </c>
      <c r="D319" s="12" t="s">
        <v>930</v>
      </c>
      <c r="E319" s="13" t="s">
        <v>1129</v>
      </c>
      <c r="F319" s="15">
        <f>IFERROR(__xludf.DUMMYFUNCTION("XLOOKUP($D319,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(AUTO)'!R6:R""))"),2162.0)</f>
        <v>2162</v>
      </c>
      <c r="G319" s="15">
        <f>IFERROR(__xludf.DUMMYFUNCTION("IFNA(XLOOKUP(""*""&amp;TRIM(REGEXREPLACE($D319, ""(?i)^(PT|CV)\.?\s+"", """"))&amp;""*"", 'DATA TARGET'!$C$2:$C998, 'DATA TARGET'!$D$2:$D998, ""Tidak Ditemukan"", 2), ""Tidak Ditemukan"")"),2162.0)</f>
        <v>2162</v>
      </c>
      <c r="H319" s="17">
        <f t="shared" si="1"/>
        <v>2162</v>
      </c>
      <c r="I319" s="8"/>
    </row>
    <row r="320">
      <c r="A320" s="10" t="s">
        <v>1069</v>
      </c>
      <c r="B320" s="10" t="s">
        <v>1071</v>
      </c>
      <c r="C320" s="10" t="s">
        <v>1128</v>
      </c>
      <c r="D320" s="12" t="s">
        <v>932</v>
      </c>
      <c r="E320" s="13" t="s">
        <v>1131</v>
      </c>
      <c r="F320" s="15">
        <f>IFERROR(__xludf.DUMMYFUNCTION("XLOOKUP($D320,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(AUTO)'!R6:R""))"),1808.0)</f>
        <v>1808</v>
      </c>
      <c r="G320" s="15">
        <f>IFERROR(__xludf.DUMMYFUNCTION("IFNA(XLOOKUP(""*""&amp;TRIM(REGEXREPLACE($D320, ""(?i)^(PT|CV)\.?\s+"", """"))&amp;""*"", 'DATA TARGET'!$C$2:$C998, 'DATA TARGET'!$D$2:$D998, ""Tidak Ditemukan"", 2), ""Tidak Ditemukan"")"),1808.0)</f>
        <v>1808</v>
      </c>
      <c r="H320" s="17">
        <f t="shared" si="1"/>
        <v>1808</v>
      </c>
      <c r="I320" s="8"/>
    </row>
    <row r="321">
      <c r="A321" s="10" t="s">
        <v>1069</v>
      </c>
      <c r="B321" s="10" t="s">
        <v>1071</v>
      </c>
      <c r="C321" s="10" t="s">
        <v>1128</v>
      </c>
      <c r="D321" s="12" t="s">
        <v>934</v>
      </c>
      <c r="E321" s="13" t="s">
        <v>1134</v>
      </c>
      <c r="F321" s="15">
        <f>IFERROR(__xludf.DUMMYFUNCTION("XLOOKUP($D321,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(AUTO)'!R6:R""))"),141.0)</f>
        <v>141</v>
      </c>
      <c r="G321" s="15">
        <f>IFERROR(__xludf.DUMMYFUNCTION("IFNA(XLOOKUP(""*""&amp;TRIM(REGEXREPLACE($D321, ""(?i)^(PT|CV)\.?\s+"", """"))&amp;""*"", 'DATA TARGET'!$C$2:$C998, 'DATA TARGET'!$D$2:$D998, ""Tidak Ditemukan"", 2), ""Tidak Ditemukan"")"),141.0)</f>
        <v>141</v>
      </c>
      <c r="H321" s="17">
        <f t="shared" si="1"/>
        <v>141</v>
      </c>
      <c r="I321" s="8"/>
    </row>
    <row r="322">
      <c r="A322" s="10" t="s">
        <v>1069</v>
      </c>
      <c r="B322" s="10" t="s">
        <v>1071</v>
      </c>
      <c r="C322" s="10" t="s">
        <v>1128</v>
      </c>
      <c r="D322" s="12" t="s">
        <v>1137</v>
      </c>
      <c r="E322" s="13" t="s">
        <v>1138</v>
      </c>
      <c r="F322" s="15">
        <f>IFERROR(__xludf.DUMMYFUNCTION("XLOOKUP($D322,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(AUTO)'!R6:R""))"),280.0)</f>
        <v>280</v>
      </c>
      <c r="G322" s="15" t="str">
        <f>IFERROR(__xludf.DUMMYFUNCTION("IFNA(XLOOKUP(""*""&amp;TRIM(REGEXREPLACE($D322, ""(?i)^(PT|CV)\.?\s+"", """"))&amp;""*"", 'DATA TARGET'!$C$2:$C998, 'DATA TARGET'!$D$2:$D998, ""Tidak Ditemukan"", 2), ""Tidak Ditemukan"")"),"Tidak Ditemukan")</f>
        <v>Tidak Ditemukan</v>
      </c>
      <c r="H322" s="17">
        <f t="shared" si="1"/>
        <v>280</v>
      </c>
      <c r="I322" s="8"/>
    </row>
    <row r="323">
      <c r="A323" s="10" t="s">
        <v>1069</v>
      </c>
      <c r="B323" s="10" t="s">
        <v>1071</v>
      </c>
      <c r="C323" s="10" t="s">
        <v>1128</v>
      </c>
      <c r="D323" s="12" t="s">
        <v>1140</v>
      </c>
      <c r="E323" s="13" t="s">
        <v>1141</v>
      </c>
      <c r="F323" s="15">
        <f>IFERROR(__xludf.DUMMYFUNCTION("XLOOKUP($D323,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(AUTO)'!R6:R""))"),200.0)</f>
        <v>200</v>
      </c>
      <c r="G323" s="15" t="str">
        <f>IFERROR(__xludf.DUMMYFUNCTION("IFNA(XLOOKUP(""*""&amp;TRIM(REGEXREPLACE($D323, ""(?i)^(PT|CV)\.?\s+"", """"))&amp;""*"", 'DATA TARGET'!$C$2:$C998, 'DATA TARGET'!$D$2:$D998, ""Tidak Ditemukan"", 2), ""Tidak Ditemukan"")"),"Tidak Ditemukan")</f>
        <v>Tidak Ditemukan</v>
      </c>
      <c r="H323" s="17">
        <f t="shared" si="1"/>
        <v>200</v>
      </c>
      <c r="I323" s="8"/>
    </row>
    <row r="324">
      <c r="A324" s="10" t="s">
        <v>1069</v>
      </c>
      <c r="B324" s="10" t="s">
        <v>1071</v>
      </c>
      <c r="C324" s="10" t="s">
        <v>1128</v>
      </c>
      <c r="D324" s="12" t="s">
        <v>1143</v>
      </c>
      <c r="E324" s="13" t="s">
        <v>1145</v>
      </c>
      <c r="F324" s="15">
        <f>IFERROR(__xludf.DUMMYFUNCTION("XLOOKUP($D324,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(AUTO)'!R6:R""))"),85.0)</f>
        <v>85</v>
      </c>
      <c r="G324" s="15" t="str">
        <f>IFERROR(__xludf.DUMMYFUNCTION("IFNA(XLOOKUP(""*""&amp;TRIM(REGEXREPLACE($D324, ""(?i)^(PT|CV)\.?\s+"", """"))&amp;""*"", 'DATA TARGET'!$C$2:$C998, 'DATA TARGET'!$D$2:$D998, ""Tidak Ditemukan"", 2), ""Tidak Ditemukan"")"),"Tidak Ditemukan")</f>
        <v>Tidak Ditemukan</v>
      </c>
      <c r="H324" s="17">
        <f t="shared" si="1"/>
        <v>85</v>
      </c>
      <c r="I324" s="8"/>
    </row>
    <row r="325">
      <c r="A325" s="10" t="s">
        <v>1069</v>
      </c>
      <c r="B325" s="10" t="s">
        <v>1071</v>
      </c>
      <c r="C325" s="10" t="s">
        <v>1128</v>
      </c>
      <c r="D325" s="12" t="s">
        <v>1148</v>
      </c>
      <c r="E325" s="13" t="s">
        <v>1149</v>
      </c>
      <c r="F325" s="15">
        <f>IFERROR(__xludf.DUMMYFUNCTION("XLOOKUP($D325,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(AUTO)'!R6:R""))"),386.0)</f>
        <v>386</v>
      </c>
      <c r="G325" s="15" t="str">
        <f>IFERROR(__xludf.DUMMYFUNCTION("IFNA(XLOOKUP(""*""&amp;TRIM(REGEXREPLACE($D325, ""(?i)^(PT|CV)\.?\s+"", """"))&amp;""*"", 'DATA TARGET'!$C$2:$C998, 'DATA TARGET'!$D$2:$D998, ""Tidak Ditemukan"", 2), ""Tidak Ditemukan"")"),"Tidak Ditemukan")</f>
        <v>Tidak Ditemukan</v>
      </c>
      <c r="H325" s="17">
        <f t="shared" si="1"/>
        <v>386</v>
      </c>
      <c r="I325" s="8"/>
    </row>
    <row r="326">
      <c r="A326" s="10" t="s">
        <v>1069</v>
      </c>
      <c r="B326" s="10" t="s">
        <v>1071</v>
      </c>
      <c r="C326" s="10" t="s">
        <v>1128</v>
      </c>
      <c r="D326" s="12" t="s">
        <v>1151</v>
      </c>
      <c r="E326" s="13" t="s">
        <v>1152</v>
      </c>
      <c r="F326" s="15">
        <f>IFERROR(__xludf.DUMMYFUNCTION("XLOOKUP($D326,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(AUTO)'!R6:R""))"),162.0)</f>
        <v>162</v>
      </c>
      <c r="G326" s="15" t="str">
        <f>IFERROR(__xludf.DUMMYFUNCTION("IFNA(XLOOKUP(""*""&amp;TRIM(REGEXREPLACE($D326, ""(?i)^(PT|CV)\.?\s+"", """"))&amp;""*"", 'DATA TARGET'!$C$2:$C998, 'DATA TARGET'!$D$2:$D998, ""Tidak Ditemukan"", 2), ""Tidak Ditemukan"")"),"Tidak Ditemukan")</f>
        <v>Tidak Ditemukan</v>
      </c>
      <c r="H326" s="17">
        <f t="shared" si="1"/>
        <v>162</v>
      </c>
      <c r="I326" s="8"/>
    </row>
    <row r="327">
      <c r="A327" s="10" t="s">
        <v>1069</v>
      </c>
      <c r="B327" s="10" t="s">
        <v>1071</v>
      </c>
      <c r="C327" s="10" t="s">
        <v>1155</v>
      </c>
      <c r="D327" s="12" t="s">
        <v>1155</v>
      </c>
      <c r="E327" s="13" t="s">
        <v>1157</v>
      </c>
      <c r="F327" s="15">
        <f>IFERROR(__xludf.DUMMYFUNCTION("XLOOKUP($D327,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27" s="15" t="str">
        <f>IFERROR(__xludf.DUMMYFUNCTION("IFNA(XLOOKUP(""*""&amp;TRIM(REGEXREPLACE($D327, ""(?i)^(PT|CV)\.?\s+"", """"))&amp;""*"", 'DATA TARGET'!$C$2:$C998, 'DATA TARGET'!$D$2:$D998, ""Tidak Ditemukan"", 2), ""Tidak Ditemukan"")"),"Tidak Ditemukan")</f>
        <v>Tidak Ditemukan</v>
      </c>
      <c r="H327" s="17" t="str">
        <f t="shared" si="1"/>
        <v>Tidak Ditemukan</v>
      </c>
      <c r="I327" s="8"/>
    </row>
    <row r="328">
      <c r="A328" s="10" t="s">
        <v>1069</v>
      </c>
      <c r="B328" s="10" t="s">
        <v>1071</v>
      </c>
      <c r="C328" s="10" t="s">
        <v>1158</v>
      </c>
      <c r="D328" s="12" t="s">
        <v>1159</v>
      </c>
      <c r="E328" s="13" t="s">
        <v>1161</v>
      </c>
      <c r="F328" s="15">
        <f>IFERROR(__xludf.DUMMYFUNCTION("XLOOKUP($D328,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(AUTO)'!R6:R""))"),3314.0)</f>
        <v>3314</v>
      </c>
      <c r="G328" s="15" t="str">
        <f>IFERROR(__xludf.DUMMYFUNCTION("IFNA(XLOOKUP(""*""&amp;TRIM(REGEXREPLACE($D328, ""(?i)^(PT|CV)\.?\s+"", """"))&amp;""*"", 'DATA TARGET'!$C$2:$C998, 'DATA TARGET'!$D$2:$D998, ""Tidak Ditemukan"", 2), ""Tidak Ditemukan"")"),"Tidak Ditemukan")</f>
        <v>Tidak Ditemukan</v>
      </c>
      <c r="H328" s="17">
        <f t="shared" si="1"/>
        <v>3314</v>
      </c>
      <c r="I328" s="8"/>
    </row>
    <row r="329">
      <c r="A329" s="10" t="s">
        <v>1069</v>
      </c>
      <c r="B329" s="10" t="s">
        <v>1071</v>
      </c>
      <c r="C329" s="10" t="s">
        <v>1158</v>
      </c>
      <c r="D329" s="12" t="s">
        <v>1163</v>
      </c>
      <c r="E329" s="13" t="s">
        <v>1164</v>
      </c>
      <c r="F329" s="15">
        <f>IFERROR(__xludf.DUMMYFUNCTION("XLOOKUP($D329,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(AUTO)'!R6:R""))"),971.0)</f>
        <v>971</v>
      </c>
      <c r="G329" s="15" t="str">
        <f>IFERROR(__xludf.DUMMYFUNCTION("IFNA(XLOOKUP(""*""&amp;TRIM(REGEXREPLACE($D329, ""(?i)^(PT|CV)\.?\s+"", """"))&amp;""*"", 'DATA TARGET'!$C$2:$C998, 'DATA TARGET'!$D$2:$D998, ""Tidak Ditemukan"", 2), ""Tidak Ditemukan"")"),"Tidak Ditemukan")</f>
        <v>Tidak Ditemukan</v>
      </c>
      <c r="H329" s="17">
        <f t="shared" si="1"/>
        <v>971</v>
      </c>
      <c r="I329" s="8"/>
    </row>
    <row r="330">
      <c r="A330" s="10" t="s">
        <v>1069</v>
      </c>
      <c r="B330" s="10" t="s">
        <v>1071</v>
      </c>
      <c r="C330" s="10" t="s">
        <v>1158</v>
      </c>
      <c r="D330" s="12" t="s">
        <v>1166</v>
      </c>
      <c r="E330" s="13" t="s">
        <v>1167</v>
      </c>
      <c r="F330" s="15">
        <f>IFERROR(__xludf.DUMMYFUNCTION("XLOOKUP($D330,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(AUTO)'!R6:R""))"),641.0)</f>
        <v>641</v>
      </c>
      <c r="G330" s="15" t="str">
        <f>IFERROR(__xludf.DUMMYFUNCTION("IFNA(XLOOKUP(""*""&amp;TRIM(REGEXREPLACE($D330, ""(?i)^(PT|CV)\.?\s+"", """"))&amp;""*"", 'DATA TARGET'!$C$2:$C998, 'DATA TARGET'!$D$2:$D998, ""Tidak Ditemukan"", 2), ""Tidak Ditemukan"")"),"Tidak Ditemukan")</f>
        <v>Tidak Ditemukan</v>
      </c>
      <c r="H330" s="17">
        <f t="shared" si="1"/>
        <v>641</v>
      </c>
      <c r="I330" s="8"/>
    </row>
    <row r="331">
      <c r="A331" s="10" t="s">
        <v>1069</v>
      </c>
      <c r="B331" s="10" t="s">
        <v>1071</v>
      </c>
      <c r="C331" s="10" t="s">
        <v>1158</v>
      </c>
      <c r="D331" s="12" t="s">
        <v>1169</v>
      </c>
      <c r="E331" s="13" t="s">
        <v>1170</v>
      </c>
      <c r="F331" s="15">
        <f>IFERROR(__xludf.DUMMYFUNCTION("XLOOKUP($D331,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(AUTO)'!R6:R""))"),554.0)</f>
        <v>554</v>
      </c>
      <c r="G331" s="15" t="str">
        <f>IFERROR(__xludf.DUMMYFUNCTION("IFNA(XLOOKUP(""*""&amp;TRIM(REGEXREPLACE($D331, ""(?i)^(PT|CV)\.?\s+"", """"))&amp;""*"", 'DATA TARGET'!$C$2:$C998, 'DATA TARGET'!$D$2:$D998, ""Tidak Ditemukan"", 2), ""Tidak Ditemukan"")"),"Tidak Ditemukan")</f>
        <v>Tidak Ditemukan</v>
      </c>
      <c r="H331" s="17">
        <f t="shared" si="1"/>
        <v>554</v>
      </c>
      <c r="I331" s="8"/>
    </row>
    <row r="332">
      <c r="A332" s="10" t="s">
        <v>1069</v>
      </c>
      <c r="B332" s="10" t="s">
        <v>1071</v>
      </c>
      <c r="C332" s="10" t="s">
        <v>1172</v>
      </c>
      <c r="D332" s="12" t="s">
        <v>826</v>
      </c>
      <c r="E332" s="13" t="s">
        <v>1173</v>
      </c>
      <c r="F332" s="15">
        <f>IFERROR(__xludf.DUMMYFUNCTION("XLOOKUP($D332,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(AUTO)'!R6:R""))"),5381.0)</f>
        <v>5381</v>
      </c>
      <c r="G332" s="15">
        <f>IFERROR(__xludf.DUMMYFUNCTION("IFNA(XLOOKUP(""*""&amp;TRIM(REGEXREPLACE($D332, ""(?i)^(PT|CV)\.?\s+"", """"))&amp;""*"", 'DATA TARGET'!$C$2:$C998, 'DATA TARGET'!$D$2:$D998, ""Tidak Ditemukan"", 2), ""Tidak Ditemukan"")"),5381.0)</f>
        <v>5381</v>
      </c>
      <c r="H332" s="17">
        <f t="shared" si="1"/>
        <v>5381</v>
      </c>
      <c r="I332" s="8"/>
    </row>
    <row r="333">
      <c r="A333" s="10" t="s">
        <v>1069</v>
      </c>
      <c r="B333" s="10" t="s">
        <v>1071</v>
      </c>
      <c r="C333" s="10" t="s">
        <v>1172</v>
      </c>
      <c r="D333" s="12" t="s">
        <v>829</v>
      </c>
      <c r="E333" s="13" t="s">
        <v>1175</v>
      </c>
      <c r="F333" s="15">
        <f>IFERROR(__xludf.DUMMYFUNCTION("XLOOKUP($D333,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(AUTO)'!R6:R""))"),4621.0)</f>
        <v>4621</v>
      </c>
      <c r="G333" s="15">
        <f>IFERROR(__xludf.DUMMYFUNCTION("IFNA(XLOOKUP(""*""&amp;TRIM(REGEXREPLACE($D333, ""(?i)^(PT|CV)\.?\s+"", """"))&amp;""*"", 'DATA TARGET'!$C$2:$C998, 'DATA TARGET'!$D$2:$D998, ""Tidak Ditemukan"", 2), ""Tidak Ditemukan"")"),4621.0)</f>
        <v>4621</v>
      </c>
      <c r="H333" s="17">
        <f t="shared" si="1"/>
        <v>4621</v>
      </c>
      <c r="I333" s="8"/>
    </row>
    <row r="334">
      <c r="A334" s="10" t="s">
        <v>1069</v>
      </c>
      <c r="B334" s="10" t="s">
        <v>1071</v>
      </c>
      <c r="C334" s="10" t="s">
        <v>1172</v>
      </c>
      <c r="D334" s="12" t="s">
        <v>1178</v>
      </c>
      <c r="E334" s="13" t="s">
        <v>1179</v>
      </c>
      <c r="F334" s="15">
        <f>IFERROR(__xludf.DUMMYFUNCTION("XLOOKUP($D334,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(AUTO)'!R6:R""))"),2594.0)</f>
        <v>2594</v>
      </c>
      <c r="G334" s="15">
        <f>IFERROR(__xludf.DUMMYFUNCTION("IFNA(XLOOKUP(""*""&amp;TRIM(REGEXREPLACE($D334, ""(?i)^(PT|CV)\.?\s+"", """"))&amp;""*"", 'DATA TARGET'!$C$2:$C998, 'DATA TARGET'!$D$2:$D998, ""Tidak Ditemukan"", 2), ""Tidak Ditemukan"")"),2594.0)</f>
        <v>2594</v>
      </c>
      <c r="H334" s="17">
        <f t="shared" si="1"/>
        <v>2594</v>
      </c>
      <c r="I334" s="8"/>
    </row>
    <row r="335">
      <c r="A335" s="10" t="s">
        <v>1069</v>
      </c>
      <c r="B335" s="10" t="s">
        <v>1071</v>
      </c>
      <c r="C335" s="10" t="s">
        <v>1172</v>
      </c>
      <c r="D335" s="12" t="s">
        <v>1182</v>
      </c>
      <c r="E335" s="13" t="s">
        <v>1184</v>
      </c>
      <c r="F335" s="15">
        <f>IFERROR(__xludf.DUMMYFUNCTION("XLOOKUP($D335,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(AUTO)'!R6:R""))"),885.0)</f>
        <v>885</v>
      </c>
      <c r="G335" s="15" t="str">
        <f>IFERROR(__xludf.DUMMYFUNCTION("IFNA(XLOOKUP(""*""&amp;TRIM(REGEXREPLACE($D335, ""(?i)^(PT|CV)\.?\s+"", """"))&amp;""*"", 'DATA TARGET'!$C$2:$C998, 'DATA TARGET'!$D$2:$D998, ""Tidak Ditemukan"", 2), ""Tidak Ditemukan"")"),"Tidak Ditemukan")</f>
        <v>Tidak Ditemukan</v>
      </c>
      <c r="H335" s="17">
        <f t="shared" si="1"/>
        <v>885</v>
      </c>
      <c r="I335" s="8"/>
    </row>
    <row r="336">
      <c r="A336" s="10" t="s">
        <v>1069</v>
      </c>
      <c r="B336" s="10" t="s">
        <v>1071</v>
      </c>
      <c r="C336" s="10" t="s">
        <v>1172</v>
      </c>
      <c r="D336" s="12" t="s">
        <v>1187</v>
      </c>
      <c r="E336" s="13" t="s">
        <v>1188</v>
      </c>
      <c r="F336" s="15">
        <f>IFERROR(__xludf.DUMMYFUNCTION("XLOOKUP($D336,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(AUTO)'!R6:R""))"),267.0)</f>
        <v>267</v>
      </c>
      <c r="G336" s="15" t="str">
        <f>IFERROR(__xludf.DUMMYFUNCTION("IFNA(XLOOKUP(""*""&amp;TRIM(REGEXREPLACE($D336, ""(?i)^(PT|CV)\.?\s+"", """"))&amp;""*"", 'DATA TARGET'!$C$2:$C998, 'DATA TARGET'!$D$2:$D998, ""Tidak Ditemukan"", 2), ""Tidak Ditemukan"")"),"Tidak Ditemukan")</f>
        <v>Tidak Ditemukan</v>
      </c>
      <c r="H336" s="17">
        <f t="shared" si="1"/>
        <v>267</v>
      </c>
      <c r="I336" s="8"/>
    </row>
    <row r="337">
      <c r="A337" s="10" t="s">
        <v>1069</v>
      </c>
      <c r="B337" s="10" t="s">
        <v>1071</v>
      </c>
      <c r="C337" s="10" t="s">
        <v>1172</v>
      </c>
      <c r="D337" s="12" t="s">
        <v>1190</v>
      </c>
      <c r="E337" s="13" t="s">
        <v>1191</v>
      </c>
      <c r="F337" s="15">
        <f>IFERROR(__xludf.DUMMYFUNCTION("XLOOKUP($D337,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(AUTO)'!R6:R""))"),1423.0)</f>
        <v>1423</v>
      </c>
      <c r="G337" s="15" t="str">
        <f>IFERROR(__xludf.DUMMYFUNCTION("IFNA(XLOOKUP(""*""&amp;TRIM(REGEXREPLACE($D337, ""(?i)^(PT|CV)\.?\s+"", """"))&amp;""*"", 'DATA TARGET'!$C$2:$C998, 'DATA TARGET'!$D$2:$D998, ""Tidak Ditemukan"", 2), ""Tidak Ditemukan"")"),"Tidak Ditemukan")</f>
        <v>Tidak Ditemukan</v>
      </c>
      <c r="H337" s="17">
        <f t="shared" si="1"/>
        <v>1423</v>
      </c>
      <c r="I337" s="8"/>
    </row>
    <row r="338">
      <c r="A338" s="10" t="s">
        <v>1069</v>
      </c>
      <c r="B338" s="10" t="s">
        <v>1071</v>
      </c>
      <c r="C338" s="10" t="s">
        <v>1172</v>
      </c>
      <c r="D338" s="12" t="s">
        <v>1194</v>
      </c>
      <c r="E338" s="13" t="s">
        <v>1195</v>
      </c>
      <c r="F338" s="15">
        <f>IFERROR(__xludf.DUMMYFUNCTION("XLOOKUP($D338,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(AUTO)'!R6:R""))"),1211.0)</f>
        <v>1211</v>
      </c>
      <c r="G338" s="15" t="str">
        <f>IFERROR(__xludf.DUMMYFUNCTION("IFNA(XLOOKUP(""*""&amp;TRIM(REGEXREPLACE($D338, ""(?i)^(PT|CV)\.?\s+"", """"))&amp;""*"", 'DATA TARGET'!$C$2:$C998, 'DATA TARGET'!$D$2:$D998, ""Tidak Ditemukan"", 2), ""Tidak Ditemukan"")"),"Tidak Ditemukan")</f>
        <v>Tidak Ditemukan</v>
      </c>
      <c r="H338" s="17">
        <f t="shared" si="1"/>
        <v>1211</v>
      </c>
      <c r="I338" s="8"/>
    </row>
    <row r="339">
      <c r="A339" s="10" t="s">
        <v>1069</v>
      </c>
      <c r="B339" s="10" t="s">
        <v>1071</v>
      </c>
      <c r="C339" s="10" t="s">
        <v>1172</v>
      </c>
      <c r="D339" s="12" t="s">
        <v>1197</v>
      </c>
      <c r="E339" s="13" t="s">
        <v>1199</v>
      </c>
      <c r="F339" s="15">
        <f>IFERROR(__xludf.DUMMYFUNCTION("XLOOKUP($D339,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(AUTO)'!R6:R""))"),56.0)</f>
        <v>56</v>
      </c>
      <c r="G339" s="15" t="str">
        <f>IFERROR(__xludf.DUMMYFUNCTION("IFNA(XLOOKUP(""*""&amp;TRIM(REGEXREPLACE($D339, ""(?i)^(PT|CV)\.?\s+"", """"))&amp;""*"", 'DATA TARGET'!$C$2:$C998, 'DATA TARGET'!$D$2:$D998, ""Tidak Ditemukan"", 2), ""Tidak Ditemukan"")"),"Tidak Ditemukan")</f>
        <v>Tidak Ditemukan</v>
      </c>
      <c r="H339" s="17">
        <f t="shared" si="1"/>
        <v>56</v>
      </c>
      <c r="I339" s="8"/>
    </row>
    <row r="340">
      <c r="A340" s="10" t="s">
        <v>1069</v>
      </c>
      <c r="B340" s="10" t="s">
        <v>1071</v>
      </c>
      <c r="C340" s="10" t="s">
        <v>1172</v>
      </c>
      <c r="D340" s="12" t="s">
        <v>1200</v>
      </c>
      <c r="E340" s="13" t="s">
        <v>1201</v>
      </c>
      <c r="F340" s="15">
        <f>IFERROR(__xludf.DUMMYFUNCTION("XLOOKUP($D340,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(AUTO)'!R6:R""))"),447.0)</f>
        <v>447</v>
      </c>
      <c r="G340" s="15" t="str">
        <f>IFERROR(__xludf.DUMMYFUNCTION("IFNA(XLOOKUP(""*""&amp;TRIM(REGEXREPLACE($D340, ""(?i)^(PT|CV)\.?\s+"", """"))&amp;""*"", 'DATA TARGET'!$C$2:$C998, 'DATA TARGET'!$D$2:$D998, ""Tidak Ditemukan"", 2), ""Tidak Ditemukan"")"),"Tidak Ditemukan")</f>
        <v>Tidak Ditemukan</v>
      </c>
      <c r="H340" s="17">
        <f t="shared" si="1"/>
        <v>447</v>
      </c>
      <c r="I340" s="8"/>
    </row>
    <row r="341">
      <c r="A341" s="10" t="s">
        <v>1069</v>
      </c>
      <c r="B341" s="10" t="s">
        <v>1071</v>
      </c>
      <c r="C341" s="10" t="s">
        <v>1204</v>
      </c>
      <c r="D341" s="12" t="s">
        <v>1205</v>
      </c>
      <c r="E341" s="13" t="s">
        <v>1206</v>
      </c>
      <c r="F341" s="15">
        <f>IFERROR(__xludf.DUMMYFUNCTION("XLOOKUP($D341,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(AUTO)'!R6:R""))"),858.0)</f>
        <v>858</v>
      </c>
      <c r="G341" s="15">
        <f>IFERROR(__xludf.DUMMYFUNCTION("IFNA(XLOOKUP(""*""&amp;TRIM(REGEXREPLACE($D341, ""(?i)^(PT|CV)\.?\s+"", """"))&amp;""*"", 'DATA TARGET'!$C$2:$C998, 'DATA TARGET'!$D$2:$D998, ""Tidak Ditemukan"", 2), ""Tidak Ditemukan"")"),858.0)</f>
        <v>858</v>
      </c>
      <c r="H341" s="17">
        <f t="shared" si="1"/>
        <v>858</v>
      </c>
      <c r="I341" s="8"/>
    </row>
    <row r="342">
      <c r="A342" s="10" t="s">
        <v>1069</v>
      </c>
      <c r="B342" s="10" t="s">
        <v>1071</v>
      </c>
      <c r="C342" s="10" t="s">
        <v>1204</v>
      </c>
      <c r="D342" s="12" t="s">
        <v>1209</v>
      </c>
      <c r="E342" s="13" t="s">
        <v>1211</v>
      </c>
      <c r="F342" s="15">
        <f>IFERROR(__xludf.DUMMYFUNCTION("XLOOKUP($D342,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(AUTO)'!R6:R""))"),77.0)</f>
        <v>77</v>
      </c>
      <c r="G342" s="15" t="str">
        <f>IFERROR(__xludf.DUMMYFUNCTION("IFNA(XLOOKUP(""*""&amp;TRIM(REGEXREPLACE($D342, ""(?i)^(PT|CV)\.?\s+"", """"))&amp;""*"", 'DATA TARGET'!$C$2:$C998, 'DATA TARGET'!$D$2:$D998, ""Tidak Ditemukan"", 2), ""Tidak Ditemukan"")"),"Tidak Ditemukan")</f>
        <v>Tidak Ditemukan</v>
      </c>
      <c r="H342" s="17">
        <f t="shared" si="1"/>
        <v>77</v>
      </c>
      <c r="I342" s="8"/>
    </row>
    <row r="343">
      <c r="A343" s="10" t="s">
        <v>1069</v>
      </c>
      <c r="B343" s="10" t="s">
        <v>1071</v>
      </c>
      <c r="C343" s="10" t="s">
        <v>1204</v>
      </c>
      <c r="D343" s="12" t="s">
        <v>1214</v>
      </c>
      <c r="E343" s="13" t="s">
        <v>1215</v>
      </c>
      <c r="F343" s="15">
        <f>IFERROR(__xludf.DUMMYFUNCTION("XLOOKUP($D343,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(AUTO)'!R6:R""))"),138.0)</f>
        <v>138</v>
      </c>
      <c r="G343" s="15" t="str">
        <f>IFERROR(__xludf.DUMMYFUNCTION("IFNA(XLOOKUP(""*""&amp;TRIM(REGEXREPLACE($D343, ""(?i)^(PT|CV)\.?\s+"", """"))&amp;""*"", 'DATA TARGET'!$C$2:$C998, 'DATA TARGET'!$D$2:$D998, ""Tidak Ditemukan"", 2), ""Tidak Ditemukan"")"),"Tidak Ditemukan")</f>
        <v>Tidak Ditemukan</v>
      </c>
      <c r="H343" s="17">
        <f t="shared" si="1"/>
        <v>138</v>
      </c>
      <c r="I343" s="8"/>
    </row>
    <row r="344">
      <c r="A344" s="10" t="s">
        <v>1069</v>
      </c>
      <c r="B344" s="10" t="s">
        <v>1071</v>
      </c>
      <c r="C344" s="10" t="s">
        <v>1219</v>
      </c>
      <c r="D344" s="12" t="s">
        <v>1220</v>
      </c>
      <c r="E344" s="13" t="s">
        <v>1221</v>
      </c>
      <c r="F344" s="15">
        <f>IFERROR(__xludf.DUMMYFUNCTION("XLOOKUP($D344,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(AUTO)'!R6:R""))"),801.0)</f>
        <v>801</v>
      </c>
      <c r="G344" s="15">
        <f>IFERROR(__xludf.DUMMYFUNCTION("IFNA(XLOOKUP(""*""&amp;TRIM(REGEXREPLACE($D344, ""(?i)^(PT|CV)\.?\s+"", """"))&amp;""*"", 'DATA TARGET'!$C$2:$C998, 'DATA TARGET'!$D$2:$D998, ""Tidak Ditemukan"", 2), ""Tidak Ditemukan"")"),193.0)</f>
        <v>193</v>
      </c>
      <c r="H344" s="17">
        <f t="shared" si="1"/>
        <v>801</v>
      </c>
      <c r="I344" s="8"/>
    </row>
    <row r="345">
      <c r="A345" s="10" t="s">
        <v>1069</v>
      </c>
      <c r="B345" s="10" t="s">
        <v>1071</v>
      </c>
      <c r="C345" s="10" t="s">
        <v>1219</v>
      </c>
      <c r="D345" s="12" t="s">
        <v>1224</v>
      </c>
      <c r="E345" s="13" t="s">
        <v>1225</v>
      </c>
      <c r="F345" s="15">
        <f>IFERROR(__xludf.DUMMYFUNCTION("XLOOKUP($D345,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(AUTO)'!R6:R""))"),193.0)</f>
        <v>193</v>
      </c>
      <c r="G345" s="15" t="str">
        <f>IFERROR(__xludf.DUMMYFUNCTION("IFNA(XLOOKUP(""*""&amp;TRIM(REGEXREPLACE($D345, ""(?i)^(PT|CV)\.?\s+"", """"))&amp;""*"", 'DATA TARGET'!$C$2:$C998, 'DATA TARGET'!$D$2:$D998, ""Tidak Ditemukan"", 2), ""Tidak Ditemukan"")"),"Tidak Ditemukan")</f>
        <v>Tidak Ditemukan</v>
      </c>
      <c r="H345" s="17">
        <f t="shared" si="1"/>
        <v>193</v>
      </c>
      <c r="I345" s="8"/>
    </row>
    <row r="346">
      <c r="A346" s="10" t="s">
        <v>1069</v>
      </c>
      <c r="B346" s="10" t="s">
        <v>1071</v>
      </c>
      <c r="C346" s="10" t="s">
        <v>1228</v>
      </c>
      <c r="D346" s="12" t="s">
        <v>1229</v>
      </c>
      <c r="E346" s="13" t="s">
        <v>1230</v>
      </c>
      <c r="F346" s="15">
        <f>IFERROR(__xludf.DUMMYFUNCTION("XLOOKUP($D346,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(AUTO)'!R6:R""))"),239.0)</f>
        <v>239</v>
      </c>
      <c r="G346" s="15" t="str">
        <f>IFERROR(__xludf.DUMMYFUNCTION("IFNA(XLOOKUP(""*""&amp;TRIM(REGEXREPLACE($D346, ""(?i)^(PT|CV)\.?\s+"", """"))&amp;""*"", 'DATA TARGET'!$C$2:$C998, 'DATA TARGET'!$D$2:$D998, ""Tidak Ditemukan"", 2), ""Tidak Ditemukan"")"),"Tidak Ditemukan")</f>
        <v>Tidak Ditemukan</v>
      </c>
      <c r="H346" s="17">
        <f t="shared" si="1"/>
        <v>239</v>
      </c>
      <c r="I346" s="8"/>
    </row>
    <row r="347">
      <c r="A347" s="10" t="s">
        <v>1069</v>
      </c>
      <c r="B347" s="10" t="s">
        <v>1071</v>
      </c>
      <c r="C347" s="10" t="s">
        <v>1232</v>
      </c>
      <c r="D347" s="12" t="s">
        <v>1232</v>
      </c>
      <c r="E347" s="13" t="s">
        <v>1234</v>
      </c>
      <c r="F347" s="15">
        <f>IFERROR(__xludf.DUMMYFUNCTION("XLOOKUP($D347,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(AUTO)'!R6:R""))"),545.0)</f>
        <v>545</v>
      </c>
      <c r="G347" s="15">
        <f>IFERROR(__xludf.DUMMYFUNCTION("IFNA(XLOOKUP(""*""&amp;TRIM(REGEXREPLACE($D347, ""(?i)^(PT|CV)\.?\s+"", """"))&amp;""*"", 'DATA TARGET'!$C$2:$C998, 'DATA TARGET'!$D$2:$D998, ""Tidak Ditemukan"", 2), ""Tidak Ditemukan"")"),545.0)</f>
        <v>545</v>
      </c>
      <c r="H347" s="17">
        <f t="shared" si="1"/>
        <v>545</v>
      </c>
      <c r="I347" s="8"/>
    </row>
    <row r="348">
      <c r="A348" s="10" t="s">
        <v>1069</v>
      </c>
      <c r="B348" s="10" t="s">
        <v>1071</v>
      </c>
      <c r="C348" s="10" t="s">
        <v>1232</v>
      </c>
      <c r="D348" s="12" t="s">
        <v>1236</v>
      </c>
      <c r="E348" s="13" t="s">
        <v>1237</v>
      </c>
      <c r="F348" s="15">
        <f>IFERROR(__xludf.DUMMYFUNCTION("XLOOKUP($D348,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48" s="15">
        <f>IFERROR(__xludf.DUMMYFUNCTION("IFNA(XLOOKUP(""*""&amp;TRIM(REGEXREPLACE($D348, ""(?i)^(PT|CV)\.?\s+"", """"))&amp;""*"", 'DATA TARGET'!$C$2:$C998, 'DATA TARGET'!$D$2:$D998, ""Tidak Ditemukan"", 2), ""Tidak Ditemukan"")"),545.0)</f>
        <v>545</v>
      </c>
      <c r="H348" s="17">
        <f t="shared" si="1"/>
        <v>545</v>
      </c>
      <c r="I348" s="8"/>
    </row>
    <row r="349">
      <c r="A349" s="10" t="s">
        <v>1069</v>
      </c>
      <c r="B349" s="10" t="s">
        <v>1071</v>
      </c>
      <c r="C349" s="10" t="s">
        <v>1232</v>
      </c>
      <c r="D349" s="12" t="s">
        <v>1240</v>
      </c>
      <c r="E349" s="13" t="s">
        <v>1241</v>
      </c>
      <c r="F349" s="15">
        <f>IFERROR(__xludf.DUMMYFUNCTION("XLOOKUP($D349,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(AUTO)'!R6:R""))"),135.0)</f>
        <v>135</v>
      </c>
      <c r="G349" s="15" t="str">
        <f>IFERROR(__xludf.DUMMYFUNCTION("IFNA(XLOOKUP(""*""&amp;TRIM(REGEXREPLACE($D349, ""(?i)^(PT|CV)\.?\s+"", """"))&amp;""*"", 'DATA TARGET'!$C$2:$C998, 'DATA TARGET'!$D$2:$D998, ""Tidak Ditemukan"", 2), ""Tidak Ditemukan"")"),"Tidak Ditemukan")</f>
        <v>Tidak Ditemukan</v>
      </c>
      <c r="H349" s="17">
        <f t="shared" si="1"/>
        <v>135</v>
      </c>
      <c r="I349" s="8"/>
    </row>
    <row r="350">
      <c r="A350" s="10" t="s">
        <v>1069</v>
      </c>
      <c r="B350" s="10" t="s">
        <v>1071</v>
      </c>
      <c r="C350" s="10" t="s">
        <v>1232</v>
      </c>
      <c r="D350" s="12" t="s">
        <v>1243</v>
      </c>
      <c r="E350" s="13" t="s">
        <v>1244</v>
      </c>
      <c r="F350" s="15">
        <f>IFERROR(__xludf.DUMMYFUNCTION("XLOOKUP($D350,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(AUTO)'!R6:R""))"),137.0)</f>
        <v>137</v>
      </c>
      <c r="G350" s="15" t="str">
        <f>IFERROR(__xludf.DUMMYFUNCTION("IFNA(XLOOKUP(""*""&amp;TRIM(REGEXREPLACE($D350, ""(?i)^(PT|CV)\.?\s+"", """"))&amp;""*"", 'DATA TARGET'!$C$2:$C998, 'DATA TARGET'!$D$2:$D998, ""Tidak Ditemukan"", 2), ""Tidak Ditemukan"")"),"Tidak Ditemukan")</f>
        <v>Tidak Ditemukan</v>
      </c>
      <c r="H350" s="17">
        <f t="shared" si="1"/>
        <v>137</v>
      </c>
      <c r="I350" s="8"/>
    </row>
    <row r="351">
      <c r="A351" s="10" t="s">
        <v>1069</v>
      </c>
      <c r="B351" s="10" t="s">
        <v>1071</v>
      </c>
      <c r="C351" s="10" t="s">
        <v>1246</v>
      </c>
      <c r="D351" s="12" t="s">
        <v>1246</v>
      </c>
      <c r="E351" s="13" t="s">
        <v>1247</v>
      </c>
      <c r="F351" s="15">
        <f>IFERROR(__xludf.DUMMYFUNCTION("XLOOKUP($D351,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351" s="15" t="str">
        <f>IFERROR(__xludf.DUMMYFUNCTION("IFNA(XLOOKUP(""*""&amp;TRIM(REGEXREPLACE($D351, ""(?i)^(PT|CV)\.?\s+"", """"))&amp;""*"", 'DATA TARGET'!$C$2:$C998, 'DATA TARGET'!$D$2:$D998, ""Tidak Ditemukan"", 2), ""Tidak Ditemukan"")"),"Tidak Ditemukan")</f>
        <v>Tidak Ditemukan</v>
      </c>
      <c r="H351" s="17" t="str">
        <f t="shared" si="1"/>
        <v>Tidak Ditemukan</v>
      </c>
      <c r="I351" s="8"/>
    </row>
    <row r="352">
      <c r="A352" s="10" t="s">
        <v>1069</v>
      </c>
      <c r="B352" s="10" t="s">
        <v>1071</v>
      </c>
      <c r="C352" s="10" t="s">
        <v>1249</v>
      </c>
      <c r="D352" s="12" t="s">
        <v>1250</v>
      </c>
      <c r="E352" s="13" t="s">
        <v>1251</v>
      </c>
      <c r="F352" s="15">
        <f>IFERROR(__xludf.DUMMYFUNCTION("XLOOKUP($D352,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(AUTO)'!R6:R""))"),1067.0)</f>
        <v>1067</v>
      </c>
      <c r="G352" s="15">
        <f>IFERROR(__xludf.DUMMYFUNCTION("IFNA(XLOOKUP(""*""&amp;TRIM(REGEXREPLACE($D352, ""(?i)^(PT|CV)\.?\s+"", """"))&amp;""*"", 'DATA TARGET'!$C$2:$C998, 'DATA TARGET'!$D$2:$D998, ""Tidak Ditemukan"", 2), ""Tidak Ditemukan"")"),1067.43)</f>
        <v>1067.43</v>
      </c>
      <c r="H352" s="17">
        <f t="shared" si="1"/>
        <v>1067</v>
      </c>
      <c r="I352" s="8"/>
    </row>
    <row r="353">
      <c r="A353" s="10" t="s">
        <v>1069</v>
      </c>
      <c r="B353" s="10" t="s">
        <v>1071</v>
      </c>
      <c r="C353" s="10" t="s">
        <v>1253</v>
      </c>
      <c r="D353" s="12" t="s">
        <v>1254</v>
      </c>
      <c r="E353" s="13" t="s">
        <v>1256</v>
      </c>
      <c r="F353" s="15">
        <f>IFERROR(__xludf.DUMMYFUNCTION("XLOOKUP($D353,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(AUTO)'!R6:R""))"),5361.0)</f>
        <v>5361</v>
      </c>
      <c r="G353" s="15">
        <f>IFERROR(__xludf.DUMMYFUNCTION("IFNA(XLOOKUP(""*""&amp;TRIM(REGEXREPLACE($D353, ""(?i)^(PT|CV)\.?\s+"", """"))&amp;""*"", 'DATA TARGET'!$C$2:$C998, 'DATA TARGET'!$D$2:$D998, ""Tidak Ditemukan"", 2), ""Tidak Ditemukan"")"),1700.0)</f>
        <v>1700</v>
      </c>
      <c r="H353" s="17">
        <f t="shared" si="1"/>
        <v>5361</v>
      </c>
      <c r="I353" s="8"/>
    </row>
    <row r="354">
      <c r="A354" s="10" t="s">
        <v>1069</v>
      </c>
      <c r="B354" s="10" t="s">
        <v>1071</v>
      </c>
      <c r="C354" s="10" t="s">
        <v>1253</v>
      </c>
      <c r="D354" s="12" t="s">
        <v>1258</v>
      </c>
      <c r="E354" s="13" t="s">
        <v>1259</v>
      </c>
      <c r="F354" s="15">
        <f>IFERROR(__xludf.DUMMYFUNCTION("XLOOKUP($D354,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(AUTO)'!R6:R""))"),3817.0)</f>
        <v>3817</v>
      </c>
      <c r="G354" s="15">
        <f>IFERROR(__xludf.DUMMYFUNCTION("IFNA(XLOOKUP(""*""&amp;TRIM(REGEXREPLACE($D354, ""(?i)^(PT|CV)\.?\s+"", """"))&amp;""*"", 'DATA TARGET'!$C$2:$C998, 'DATA TARGET'!$D$2:$D998, ""Tidak Ditemukan"", 2), ""Tidak Ditemukan"")"),1700.0)</f>
        <v>1700</v>
      </c>
      <c r="H354" s="17">
        <f t="shared" si="1"/>
        <v>3817</v>
      </c>
      <c r="I354" s="8"/>
    </row>
    <row r="355">
      <c r="A355" s="10" t="s">
        <v>1069</v>
      </c>
      <c r="B355" s="10" t="s">
        <v>1071</v>
      </c>
      <c r="C355" s="10" t="s">
        <v>1253</v>
      </c>
      <c r="D355" s="12" t="s">
        <v>1262</v>
      </c>
      <c r="E355" s="13" t="s">
        <v>1263</v>
      </c>
      <c r="F355" s="15">
        <f>IFERROR(__xludf.DUMMYFUNCTION("XLOOKUP($D355,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(AUTO)'!R6:R""))"),66.0)</f>
        <v>66</v>
      </c>
      <c r="G355" s="15" t="str">
        <f>IFERROR(__xludf.DUMMYFUNCTION("IFNA(XLOOKUP(""*""&amp;TRIM(REGEXREPLACE($D355, ""(?i)^(PT|CV)\.?\s+"", """"))&amp;""*"", 'DATA TARGET'!$C$2:$C998, 'DATA TARGET'!$D$2:$D998, ""Tidak Ditemukan"", 2), ""Tidak Ditemukan"")"),"Tidak Ditemukan")</f>
        <v>Tidak Ditemukan</v>
      </c>
      <c r="H355" s="17">
        <f t="shared" si="1"/>
        <v>66</v>
      </c>
      <c r="I355" s="8"/>
    </row>
    <row r="356">
      <c r="A356" s="10" t="s">
        <v>1069</v>
      </c>
      <c r="B356" s="10" t="s">
        <v>1071</v>
      </c>
      <c r="C356" s="10" t="s">
        <v>1253</v>
      </c>
      <c r="D356" s="12" t="s">
        <v>1266</v>
      </c>
      <c r="E356" s="13" t="s">
        <v>1267</v>
      </c>
      <c r="F356" s="15">
        <f>IFERROR(__xludf.DUMMYFUNCTION("XLOOKUP($D356,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(AUTO)'!R6:R""))"),158.0)</f>
        <v>158</v>
      </c>
      <c r="G356" s="15" t="str">
        <f>IFERROR(__xludf.DUMMYFUNCTION("IFNA(XLOOKUP(""*""&amp;TRIM(REGEXREPLACE($D356, ""(?i)^(PT|CV)\.?\s+"", """"))&amp;""*"", 'DATA TARGET'!$C$2:$C998, 'DATA TARGET'!$D$2:$D998, ""Tidak Ditemukan"", 2), ""Tidak Ditemukan"")"),"Tidak Ditemukan")</f>
        <v>Tidak Ditemukan</v>
      </c>
      <c r="H356" s="17">
        <f t="shared" si="1"/>
        <v>158</v>
      </c>
      <c r="I356" s="8"/>
    </row>
    <row r="357">
      <c r="A357" s="10" t="s">
        <v>1069</v>
      </c>
      <c r="B357" s="10" t="s">
        <v>1071</v>
      </c>
      <c r="C357" s="10" t="s">
        <v>1253</v>
      </c>
      <c r="D357" s="12" t="s">
        <v>1270</v>
      </c>
      <c r="E357" s="13" t="s">
        <v>1272</v>
      </c>
      <c r="F357" s="15">
        <f>IFERROR(__xludf.DUMMYFUNCTION("XLOOKUP($D357,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(AUTO)'!R6:R""))"),1370.0)</f>
        <v>1370</v>
      </c>
      <c r="G357" s="15">
        <f>IFERROR(__xludf.DUMMYFUNCTION("IFNA(XLOOKUP(""*""&amp;TRIM(REGEXREPLACE($D357, ""(?i)^(PT|CV)\.?\s+"", """"))&amp;""*"", 'DATA TARGET'!$C$2:$C998, 'DATA TARGET'!$D$2:$D998, ""Tidak Ditemukan"", 2), ""Tidak Ditemukan"")"),1700.0)</f>
        <v>1700</v>
      </c>
      <c r="H357" s="17">
        <f t="shared" si="1"/>
        <v>1370</v>
      </c>
      <c r="I357" s="8"/>
    </row>
    <row r="358">
      <c r="A358" s="10" t="s">
        <v>1069</v>
      </c>
      <c r="B358" s="10" t="s">
        <v>1071</v>
      </c>
      <c r="C358" s="10" t="s">
        <v>1253</v>
      </c>
      <c r="D358" s="12" t="s">
        <v>1275</v>
      </c>
      <c r="E358" s="13" t="s">
        <v>1276</v>
      </c>
      <c r="F358" s="15">
        <f>IFERROR(__xludf.DUMMYFUNCTION("XLOOKUP($D358,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(AUTO)'!R6:R""))"),1273.0)</f>
        <v>1273</v>
      </c>
      <c r="G358" s="15">
        <f>IFERROR(__xludf.DUMMYFUNCTION("IFNA(XLOOKUP(""*""&amp;TRIM(REGEXREPLACE($D358, ""(?i)^(PT|CV)\.?\s+"", """"))&amp;""*"", 'DATA TARGET'!$C$2:$C998, 'DATA TARGET'!$D$2:$D998, ""Tidak Ditemukan"", 2), ""Tidak Ditemukan"")"),478.0)</f>
        <v>478</v>
      </c>
      <c r="H358" s="17">
        <f t="shared" si="1"/>
        <v>1273</v>
      </c>
      <c r="I358" s="8"/>
    </row>
    <row r="359">
      <c r="A359" s="10" t="s">
        <v>1069</v>
      </c>
      <c r="B359" s="10" t="s">
        <v>1071</v>
      </c>
      <c r="C359" s="10" t="s">
        <v>1253</v>
      </c>
      <c r="D359" s="12" t="s">
        <v>1279</v>
      </c>
      <c r="E359" s="13" t="s">
        <v>1280</v>
      </c>
      <c r="F359" s="15">
        <f>IFERROR(__xludf.DUMMYFUNCTION("XLOOKUP($D359,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(AUTO)'!R6:R""))"),48.0)</f>
        <v>48</v>
      </c>
      <c r="G359" s="15" t="str">
        <f>IFERROR(__xludf.DUMMYFUNCTION("IFNA(XLOOKUP(""*""&amp;TRIM(REGEXREPLACE($D359, ""(?i)^(PT|CV)\.?\s+"", """"))&amp;""*"", 'DATA TARGET'!$C$2:$C998, 'DATA TARGET'!$D$2:$D998, ""Tidak Ditemukan"", 2), ""Tidak Ditemukan"")"),"Tidak Ditemukan")</f>
        <v>Tidak Ditemukan</v>
      </c>
      <c r="H359" s="17">
        <f t="shared" si="1"/>
        <v>48</v>
      </c>
      <c r="I359" s="8"/>
    </row>
    <row r="360">
      <c r="A360" s="10" t="s">
        <v>1069</v>
      </c>
      <c r="B360" s="10" t="s">
        <v>1071</v>
      </c>
      <c r="C360" s="10" t="s">
        <v>1253</v>
      </c>
      <c r="D360" s="12" t="s">
        <v>1283</v>
      </c>
      <c r="E360" s="13" t="s">
        <v>1284</v>
      </c>
      <c r="F360" s="15">
        <f>IFERROR(__xludf.DUMMYFUNCTION("XLOOKUP($D360,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(AUTO)'!R6:R""))"),478.0)</f>
        <v>478</v>
      </c>
      <c r="G360" s="15" t="str">
        <f>IFERROR(__xludf.DUMMYFUNCTION("IFNA(XLOOKUP(""*""&amp;TRIM(REGEXREPLACE($D360, ""(?i)^(PT|CV)\.?\s+"", """"))&amp;""*"", 'DATA TARGET'!$C$2:$C998, 'DATA TARGET'!$D$2:$D998, ""Tidak Ditemukan"", 2), ""Tidak Ditemukan"")"),"Tidak Ditemukan")</f>
        <v>Tidak Ditemukan</v>
      </c>
      <c r="H360" s="17">
        <f t="shared" si="1"/>
        <v>478</v>
      </c>
      <c r="I360" s="8"/>
    </row>
    <row r="361">
      <c r="A361" s="10" t="s">
        <v>1069</v>
      </c>
      <c r="B361" s="10" t="s">
        <v>1071</v>
      </c>
      <c r="C361" s="10" t="s">
        <v>1253</v>
      </c>
      <c r="D361" s="12" t="s">
        <v>1286</v>
      </c>
      <c r="E361" s="13" t="s">
        <v>1288</v>
      </c>
      <c r="F361" s="15">
        <f>IFERROR(__xludf.DUMMYFUNCTION("XLOOKUP($D361,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(AUTO)'!R6:R""))"),1700.0)</f>
        <v>1700</v>
      </c>
      <c r="G361" s="15" t="str">
        <f>IFERROR(__xludf.DUMMYFUNCTION("IFNA(XLOOKUP(""*""&amp;TRIM(REGEXREPLACE($D361, ""(?i)^(PT|CV)\.?\s+"", """"))&amp;""*"", 'DATA TARGET'!$C$2:$C998, 'DATA TARGET'!$D$2:$D998, ""Tidak Ditemukan"", 2), ""Tidak Ditemukan"")"),"Tidak Ditemukan")</f>
        <v>Tidak Ditemukan</v>
      </c>
      <c r="H361" s="17">
        <f t="shared" si="1"/>
        <v>1700</v>
      </c>
      <c r="I361" s="8"/>
    </row>
    <row r="362">
      <c r="A362" s="10" t="s">
        <v>1069</v>
      </c>
      <c r="B362" s="10" t="s">
        <v>1071</v>
      </c>
      <c r="C362" s="10" t="s">
        <v>1253</v>
      </c>
      <c r="D362" s="12" t="s">
        <v>1290</v>
      </c>
      <c r="E362" s="13" t="s">
        <v>1291</v>
      </c>
      <c r="F362" s="15">
        <f>IFERROR(__xludf.DUMMYFUNCTION("XLOOKUP($D362,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(AUTO)'!R6:R""))"),338.0)</f>
        <v>338</v>
      </c>
      <c r="G362" s="15" t="str">
        <f>IFERROR(__xludf.DUMMYFUNCTION("IFNA(XLOOKUP(""*""&amp;TRIM(REGEXREPLACE($D362, ""(?i)^(PT|CV)\.?\s+"", """"))&amp;""*"", 'DATA TARGET'!$C$2:$C998, 'DATA TARGET'!$D$2:$D998, ""Tidak Ditemukan"", 2), ""Tidak Ditemukan"")"),"Tidak Ditemukan")</f>
        <v>Tidak Ditemukan</v>
      </c>
      <c r="H362" s="17">
        <f t="shared" si="1"/>
        <v>338</v>
      </c>
      <c r="I362" s="8"/>
    </row>
    <row r="363">
      <c r="A363" s="10" t="s">
        <v>1069</v>
      </c>
      <c r="B363" s="10" t="s">
        <v>1071</v>
      </c>
      <c r="C363" s="10" t="s">
        <v>1293</v>
      </c>
      <c r="D363" s="12" t="s">
        <v>920</v>
      </c>
      <c r="E363" s="13" t="s">
        <v>1295</v>
      </c>
      <c r="F363" s="15">
        <f>IFERROR(__xludf.DUMMYFUNCTION("XLOOKUP($D363,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(AUTO)'!R6:R""))"),2685.0)</f>
        <v>2685</v>
      </c>
      <c r="G363" s="15">
        <f>IFERROR(__xludf.DUMMYFUNCTION("IFNA(XLOOKUP(""*""&amp;TRIM(REGEXREPLACE($D363, ""(?i)^(PT|CV)\.?\s+"", """"))&amp;""*"", 'DATA TARGET'!$C$2:$C998, 'DATA TARGET'!$D$2:$D998, ""Tidak Ditemukan"", 2), ""Tidak Ditemukan"")"),148.0)</f>
        <v>148</v>
      </c>
      <c r="H363" s="17">
        <f t="shared" si="1"/>
        <v>2685</v>
      </c>
      <c r="I363" s="8"/>
    </row>
    <row r="364">
      <c r="A364" s="10" t="s">
        <v>1069</v>
      </c>
      <c r="B364" s="10" t="s">
        <v>1071</v>
      </c>
      <c r="C364" s="10" t="s">
        <v>1293</v>
      </c>
      <c r="D364" s="12" t="s">
        <v>1297</v>
      </c>
      <c r="E364" s="13" t="s">
        <v>1298</v>
      </c>
      <c r="F364" s="15">
        <f>IFERROR(__xludf.DUMMYFUNCTION("XLOOKUP($D364,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(AUTO)'!R6:R""))"),3819.0)</f>
        <v>3819</v>
      </c>
      <c r="G364" s="15">
        <f>IFERROR(__xludf.DUMMYFUNCTION("IFNA(XLOOKUP(""*""&amp;TRIM(REGEXREPLACE($D364, ""(?i)^(PT|CV)\.?\s+"", """"))&amp;""*"", 'DATA TARGET'!$C$2:$C998, 'DATA TARGET'!$D$2:$D998, ""Tidak Ditemukan"", 2), ""Tidak Ditemukan"")"),148.0)</f>
        <v>148</v>
      </c>
      <c r="H364" s="17">
        <f t="shared" si="1"/>
        <v>3819</v>
      </c>
      <c r="I364" s="8"/>
    </row>
    <row r="365">
      <c r="A365" s="10" t="s">
        <v>1069</v>
      </c>
      <c r="B365" s="10" t="s">
        <v>1071</v>
      </c>
      <c r="C365" s="10" t="s">
        <v>1293</v>
      </c>
      <c r="D365" s="12" t="s">
        <v>924</v>
      </c>
      <c r="E365" s="13" t="s">
        <v>1300</v>
      </c>
      <c r="F365" s="15">
        <f>IFERROR(__xludf.DUMMYFUNCTION("XLOOKUP($D365,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(AUTO)'!R6:R""))"),2587.0)</f>
        <v>2587</v>
      </c>
      <c r="G365" s="15">
        <f>IFERROR(__xludf.DUMMYFUNCTION("IFNA(XLOOKUP(""*""&amp;TRIM(REGEXREPLACE($D365, ""(?i)^(PT|CV)\.?\s+"", """"))&amp;""*"", 'DATA TARGET'!$C$2:$C998, 'DATA TARGET'!$D$2:$D998, ""Tidak Ditemukan"", 2), ""Tidak Ditemukan"")"),2587.0)</f>
        <v>2587</v>
      </c>
      <c r="H365" s="17">
        <f t="shared" si="1"/>
        <v>2587</v>
      </c>
      <c r="I365" s="8"/>
    </row>
    <row r="366">
      <c r="A366" s="10" t="s">
        <v>1069</v>
      </c>
      <c r="B366" s="10" t="s">
        <v>1071</v>
      </c>
      <c r="C366" s="10" t="s">
        <v>1293</v>
      </c>
      <c r="D366" s="12" t="s">
        <v>1303</v>
      </c>
      <c r="E366" s="13" t="s">
        <v>1304</v>
      </c>
      <c r="F366" s="15">
        <f>IFERROR(__xludf.DUMMYFUNCTION("XLOOKUP($D366,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(AUTO)'!R6:R""))"),3947.0)</f>
        <v>3947</v>
      </c>
      <c r="G366" s="15">
        <f>IFERROR(__xludf.DUMMYFUNCTION("IFNA(XLOOKUP(""*""&amp;TRIM(REGEXREPLACE($D366, ""(?i)^(PT|CV)\.?\s+"", """"))&amp;""*"", 'DATA TARGET'!$C$2:$C998, 'DATA TARGET'!$D$2:$D998, ""Tidak Ditemukan"", 2), ""Tidak Ditemukan"")"),148.0)</f>
        <v>148</v>
      </c>
      <c r="H366" s="17">
        <f t="shared" si="1"/>
        <v>3947</v>
      </c>
      <c r="I366" s="8"/>
    </row>
    <row r="367">
      <c r="A367" s="10" t="s">
        <v>1069</v>
      </c>
      <c r="B367" s="10" t="s">
        <v>1071</v>
      </c>
      <c r="C367" s="10" t="s">
        <v>1293</v>
      </c>
      <c r="D367" s="12" t="s">
        <v>918</v>
      </c>
      <c r="E367" s="13" t="s">
        <v>1306</v>
      </c>
      <c r="F367" s="15">
        <f>IFERROR(__xludf.DUMMYFUNCTION("XLOOKUP($D367,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(AUTO)'!R6:R""))"),148.0)</f>
        <v>148</v>
      </c>
      <c r="G367" s="15">
        <f>IFERROR(__xludf.DUMMYFUNCTION("IFNA(XLOOKUP(""*""&amp;TRIM(REGEXREPLACE($D367, ""(?i)^(PT|CV)\.?\s+"", """"))&amp;""*"", 'DATA TARGET'!$C$2:$C998, 'DATA TARGET'!$D$2:$D998, ""Tidak Ditemukan"", 2), ""Tidak Ditemukan"")"),148.0)</f>
        <v>148</v>
      </c>
      <c r="H367" s="17">
        <f t="shared" si="1"/>
        <v>148</v>
      </c>
      <c r="I367" s="8"/>
    </row>
    <row r="368">
      <c r="A368" s="10" t="s">
        <v>1069</v>
      </c>
      <c r="B368" s="10" t="s">
        <v>1071</v>
      </c>
      <c r="C368" s="10" t="s">
        <v>1293</v>
      </c>
      <c r="D368" s="12" t="s">
        <v>1308</v>
      </c>
      <c r="E368" s="13" t="s">
        <v>1309</v>
      </c>
      <c r="F368" s="15">
        <f>IFERROR(__xludf.DUMMYFUNCTION("XLOOKUP($D368,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(AUTO)'!R6:R""))"),1067.0)</f>
        <v>1067</v>
      </c>
      <c r="G368" s="15" t="str">
        <f>IFERROR(__xludf.DUMMYFUNCTION("IFNA(XLOOKUP(""*""&amp;TRIM(REGEXREPLACE($D368, ""(?i)^(PT|CV)\.?\s+"", """"))&amp;""*"", 'DATA TARGET'!$C$2:$C998, 'DATA TARGET'!$D$2:$D998, ""Tidak Ditemukan"", 2), ""Tidak Ditemukan"")"),"Tidak Ditemukan")</f>
        <v>Tidak Ditemukan</v>
      </c>
      <c r="H368" s="17">
        <f t="shared" si="1"/>
        <v>1067</v>
      </c>
      <c r="I368" s="8"/>
    </row>
    <row r="369">
      <c r="A369" s="10" t="s">
        <v>1069</v>
      </c>
      <c r="B369" s="10" t="s">
        <v>1071</v>
      </c>
      <c r="C369" s="10" t="s">
        <v>1293</v>
      </c>
      <c r="D369" s="12" t="s">
        <v>1311</v>
      </c>
      <c r="E369" s="13" t="s">
        <v>1312</v>
      </c>
      <c r="F369" s="15">
        <f>IFERROR(__xludf.DUMMYFUNCTION("XLOOKUP($D369,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(AUTO)'!R6:R""))"),146.0)</f>
        <v>146</v>
      </c>
      <c r="G369" s="15" t="str">
        <f>IFERROR(__xludf.DUMMYFUNCTION("IFNA(XLOOKUP(""*""&amp;TRIM(REGEXREPLACE($D369, ""(?i)^(PT|CV)\.?\s+"", """"))&amp;""*"", 'DATA TARGET'!$C$2:$C998, 'DATA TARGET'!$D$2:$D998, ""Tidak Ditemukan"", 2), ""Tidak Ditemukan"")"),"Tidak Ditemukan")</f>
        <v>Tidak Ditemukan</v>
      </c>
      <c r="H369" s="17">
        <f t="shared" si="1"/>
        <v>146</v>
      </c>
      <c r="I369" s="8"/>
    </row>
    <row r="370">
      <c r="A370" s="10" t="s">
        <v>1069</v>
      </c>
      <c r="B370" s="10" t="s">
        <v>1315</v>
      </c>
      <c r="C370" s="10" t="s">
        <v>1316</v>
      </c>
      <c r="D370" s="12" t="s">
        <v>1316</v>
      </c>
      <c r="E370" s="13" t="s">
        <v>1317</v>
      </c>
      <c r="F370" s="15" t="str">
        <f>IFERROR(__xludf.DUMMYFUNCTION("XLOOKUP($D370,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0" s="15">
        <f>IFERROR(__xludf.DUMMYFUNCTION("IFNA(XLOOKUP(""*""&amp;TRIM(REGEXREPLACE($D370, ""(?i)^(PT|CV)\.?\s+"", """"))&amp;""*"", 'DATA TARGET'!$C$2:$C998, 'DATA TARGET'!$D$2:$D998, ""Tidak Ditemukan"", 2), ""Tidak Ditemukan"")"),28.83)</f>
        <v>28.83</v>
      </c>
      <c r="H370" s="17">
        <f t="shared" si="1"/>
        <v>28.83</v>
      </c>
      <c r="I370" s="8"/>
    </row>
    <row r="371">
      <c r="A371" s="10" t="s">
        <v>1069</v>
      </c>
      <c r="B371" s="10" t="s">
        <v>1315</v>
      </c>
      <c r="C371" s="10" t="s">
        <v>1319</v>
      </c>
      <c r="D371" s="12" t="s">
        <v>1320</v>
      </c>
      <c r="E371" s="13" t="s">
        <v>1321</v>
      </c>
      <c r="F371" s="15">
        <f>IFERROR(__xludf.DUMMYFUNCTION("XLOOKUP($D371,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(AUTO)'!R6:R""))"),30.57)</f>
        <v>30.57</v>
      </c>
      <c r="G371" s="15">
        <f>IFERROR(__xludf.DUMMYFUNCTION("IFNA(XLOOKUP(""*""&amp;TRIM(REGEXREPLACE($D371, ""(?i)^(PT|CV)\.?\s+"", """"))&amp;""*"", 'DATA TARGET'!$C$2:$C998, 'DATA TARGET'!$D$2:$D998, ""Tidak Ditemukan"", 2), ""Tidak Ditemukan"")"),30.57)</f>
        <v>30.57</v>
      </c>
      <c r="H371" s="17">
        <f t="shared" si="1"/>
        <v>30.57</v>
      </c>
      <c r="I371" s="8"/>
    </row>
    <row r="372">
      <c r="A372" s="10" t="s">
        <v>1069</v>
      </c>
      <c r="B372" s="10" t="s">
        <v>1315</v>
      </c>
      <c r="C372" s="10" t="s">
        <v>1323</v>
      </c>
      <c r="D372" s="12" t="s">
        <v>1323</v>
      </c>
      <c r="E372" s="13" t="s">
        <v>1325</v>
      </c>
      <c r="F372" s="15" t="str">
        <f>IFERROR(__xludf.DUMMYFUNCTION("XLOOKUP($D372,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2" s="15">
        <f>IFERROR(__xludf.DUMMYFUNCTION("IFNA(XLOOKUP(""*""&amp;TRIM(REGEXREPLACE($D372, ""(?i)^(PT|CV)\.?\s+"", """"))&amp;""*"", 'DATA TARGET'!$C$2:$C998, 'DATA TARGET'!$D$2:$D998, ""Tidak Ditemukan"", 2), ""Tidak Ditemukan"")"),221.0)</f>
        <v>221</v>
      </c>
      <c r="H372" s="17">
        <f t="shared" si="1"/>
        <v>221</v>
      </c>
      <c r="I372" s="8"/>
    </row>
    <row r="373">
      <c r="A373" s="10" t="s">
        <v>1069</v>
      </c>
      <c r="B373" s="10" t="s">
        <v>1315</v>
      </c>
      <c r="C373" s="10" t="s">
        <v>1327</v>
      </c>
      <c r="D373" s="12" t="s">
        <v>1327</v>
      </c>
      <c r="E373" s="13" t="s">
        <v>1328</v>
      </c>
      <c r="F373" s="15">
        <f>IFERROR(__xludf.DUMMYFUNCTION("XLOOKUP($D373,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(AUTO)'!R6:R""))"),11.8)</f>
        <v>11.8</v>
      </c>
      <c r="G373" s="15">
        <f>IFERROR(__xludf.DUMMYFUNCTION("IFNA(XLOOKUP(""*""&amp;TRIM(REGEXREPLACE($D373, ""(?i)^(PT|CV)\.?\s+"", """"))&amp;""*"", 'DATA TARGET'!$C$2:$C998, 'DATA TARGET'!$D$2:$D998, ""Tidak Ditemukan"", 2), ""Tidak Ditemukan"")"),11.55)</f>
        <v>11.55</v>
      </c>
      <c r="H373" s="17">
        <f t="shared" si="1"/>
        <v>11.8</v>
      </c>
      <c r="I373" s="8"/>
    </row>
    <row r="374">
      <c r="A374" s="10" t="s">
        <v>1069</v>
      </c>
      <c r="B374" s="10" t="s">
        <v>1315</v>
      </c>
      <c r="C374" s="10" t="s">
        <v>1331</v>
      </c>
      <c r="D374" s="12" t="s">
        <v>1331</v>
      </c>
      <c r="E374" s="13" t="s">
        <v>1332</v>
      </c>
      <c r="F374" s="15">
        <f>IFERROR(__xludf.DUMMYFUNCTION("XLOOKUP($D374,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(AUTO)'!R6:R""))"),45.0)</f>
        <v>45</v>
      </c>
      <c r="G374" s="15">
        <f>IFERROR(__xludf.DUMMYFUNCTION("IFNA(XLOOKUP(""*""&amp;TRIM(REGEXREPLACE($D374, ""(?i)^(PT|CV)\.?\s+"", """"))&amp;""*"", 'DATA TARGET'!$C$2:$C998, 'DATA TARGET'!$D$2:$D998, ""Tidak Ditemukan"", 2), ""Tidak Ditemukan"")"),54.66)</f>
        <v>54.66</v>
      </c>
      <c r="H374" s="17">
        <f t="shared" si="1"/>
        <v>45</v>
      </c>
      <c r="I374" s="8"/>
    </row>
    <row r="375">
      <c r="A375" s="10" t="s">
        <v>1069</v>
      </c>
      <c r="B375" s="10" t="s">
        <v>1315</v>
      </c>
      <c r="C375" s="10" t="s">
        <v>1335</v>
      </c>
      <c r="D375" s="12" t="s">
        <v>1335</v>
      </c>
      <c r="E375" s="13" t="s">
        <v>1336</v>
      </c>
      <c r="F375" s="15" t="str">
        <f>IFERROR(__xludf.DUMMYFUNCTION("XLOOKUP($D375,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5" s="15">
        <f>IFERROR(__xludf.DUMMYFUNCTION("IFNA(XLOOKUP(""*""&amp;TRIM(REGEXREPLACE($D375, ""(?i)^(PT|CV)\.?\s+"", """"))&amp;""*"", 'DATA TARGET'!$C$2:$C998, 'DATA TARGET'!$D$2:$D998, ""Tidak Ditemukan"", 2), ""Tidak Ditemukan"")"),133.07)</f>
        <v>133.07</v>
      </c>
      <c r="H375" s="17">
        <f t="shared" si="1"/>
        <v>133.07</v>
      </c>
      <c r="I375" s="8"/>
    </row>
    <row r="376">
      <c r="A376" s="10" t="s">
        <v>1069</v>
      </c>
      <c r="B376" s="10" t="s">
        <v>1315</v>
      </c>
      <c r="C376" s="10" t="s">
        <v>1338</v>
      </c>
      <c r="D376" s="12" t="s">
        <v>1339</v>
      </c>
      <c r="E376" s="13" t="s">
        <v>1341</v>
      </c>
      <c r="F376" s="15" t="str">
        <f>IFERROR(__xludf.DUMMYFUNCTION("XLOOKUP($D376,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6" s="15">
        <f>IFERROR(__xludf.DUMMYFUNCTION("IFNA(XLOOKUP(""*""&amp;TRIM(REGEXREPLACE($D376, ""(?i)^(PT|CV)\.?\s+"", """"))&amp;""*"", 'DATA TARGET'!$C$2:$C998, 'DATA TARGET'!$D$2:$D998, ""Tidak Ditemukan"", 2), ""Tidak Ditemukan"")"),56.83)</f>
        <v>56.83</v>
      </c>
      <c r="H376" s="17">
        <f t="shared" si="1"/>
        <v>56.83</v>
      </c>
      <c r="I376" s="8"/>
    </row>
    <row r="377">
      <c r="A377" s="10" t="s">
        <v>1069</v>
      </c>
      <c r="B377" s="10" t="s">
        <v>1315</v>
      </c>
      <c r="C377" s="10" t="s">
        <v>1343</v>
      </c>
      <c r="D377" s="12" t="s">
        <v>1343</v>
      </c>
      <c r="E377" s="13" t="s">
        <v>1344</v>
      </c>
      <c r="F377" s="15" t="str">
        <f>IFERROR(__xludf.DUMMYFUNCTION("XLOOKUP($D377,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7" s="15" t="str">
        <f>IFERROR(__xludf.DUMMYFUNCTION("IFNA(XLOOKUP(""*""&amp;TRIM(REGEXREPLACE($D377, ""(?i)^(PT|CV)\.?\s+"", """"))&amp;""*"", 'DATA TARGET'!$C$2:$C998, 'DATA TARGET'!$D$2:$D998, ""Tidak Ditemukan"", 2), ""Tidak Ditemukan"")"),"Tidak Ditemukan")</f>
        <v>Tidak Ditemukan</v>
      </c>
      <c r="H377" s="17" t="str">
        <f t="shared" si="1"/>
        <v>Tidak Ditemukan</v>
      </c>
      <c r="I377" s="8"/>
    </row>
    <row r="378">
      <c r="A378" s="10" t="s">
        <v>1069</v>
      </c>
      <c r="B378" s="10" t="s">
        <v>1315</v>
      </c>
      <c r="C378" s="10" t="s">
        <v>1348</v>
      </c>
      <c r="D378" s="12" t="s">
        <v>1348</v>
      </c>
      <c r="E378" s="13" t="s">
        <v>1350</v>
      </c>
      <c r="F378" s="15" t="str">
        <f>IFERROR(__xludf.DUMMYFUNCTION("XLOOKUP($D378,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78" s="15">
        <f>IFERROR(__xludf.DUMMYFUNCTION("IFNA(XLOOKUP(""*""&amp;TRIM(REGEXREPLACE($D378, ""(?i)^(PT|CV)\.?\s+"", """"))&amp;""*"", 'DATA TARGET'!$C$2:$C998, 'DATA TARGET'!$D$2:$D998, ""Tidak Ditemukan"", 2), ""Tidak Ditemukan"")"),11.85)</f>
        <v>11.85</v>
      </c>
      <c r="H378" s="17">
        <f t="shared" si="1"/>
        <v>11.85</v>
      </c>
      <c r="I378" s="8"/>
    </row>
    <row r="379">
      <c r="A379" s="10" t="s">
        <v>1069</v>
      </c>
      <c r="B379" s="10" t="s">
        <v>1315</v>
      </c>
      <c r="C379" s="10" t="s">
        <v>1352</v>
      </c>
      <c r="D379" s="12" t="s">
        <v>1352</v>
      </c>
      <c r="E379" s="13" t="s">
        <v>1353</v>
      </c>
      <c r="F379" s="15">
        <f>IFERROR(__xludf.DUMMYFUNCTION("XLOOKUP($D379,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(AUTO)'!R6:R""))"),2.07)</f>
        <v>2.07</v>
      </c>
      <c r="G379" s="15">
        <f>IFERROR(__xludf.DUMMYFUNCTION("IFNA(XLOOKUP(""*""&amp;TRIM(REGEXREPLACE($D379, ""(?i)^(PT|CV)\.?\s+"", """"))&amp;""*"", 'DATA TARGET'!$C$2:$C998, 'DATA TARGET'!$D$2:$D998, ""Tidak Ditemukan"", 2), ""Tidak Ditemukan"")"),2.07)</f>
        <v>2.07</v>
      </c>
      <c r="H379" s="17">
        <f t="shared" si="1"/>
        <v>2.07</v>
      </c>
      <c r="I379" s="8"/>
    </row>
    <row r="380">
      <c r="A380" s="10" t="s">
        <v>1069</v>
      </c>
      <c r="B380" s="10" t="s">
        <v>1315</v>
      </c>
      <c r="C380" s="10" t="s">
        <v>1356</v>
      </c>
      <c r="D380" s="12" t="s">
        <v>1356</v>
      </c>
      <c r="E380" s="13" t="s">
        <v>1357</v>
      </c>
      <c r="F380" s="15" t="str">
        <f>IFERROR(__xludf.DUMMYFUNCTION("XLOOKUP($D380,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0" s="15">
        <f>IFERROR(__xludf.DUMMYFUNCTION("IFNA(XLOOKUP(""*""&amp;TRIM(REGEXREPLACE($D380, ""(?i)^(PT|CV)\.?\s+"", """"))&amp;""*"", 'DATA TARGET'!$C$2:$C998, 'DATA TARGET'!$D$2:$D998, ""Tidak Ditemukan"", 2), ""Tidak Ditemukan"")"),0.2)</f>
        <v>0.2</v>
      </c>
      <c r="H380" s="17">
        <f t="shared" si="1"/>
        <v>0.2</v>
      </c>
      <c r="I380" s="8"/>
    </row>
    <row r="381">
      <c r="A381" s="10" t="s">
        <v>1069</v>
      </c>
      <c r="B381" s="10" t="s">
        <v>1315</v>
      </c>
      <c r="C381" s="10" t="s">
        <v>1360</v>
      </c>
      <c r="D381" s="12" t="s">
        <v>1360</v>
      </c>
      <c r="E381" s="13" t="s">
        <v>1361</v>
      </c>
      <c r="F381" s="15" t="str">
        <f>IFERROR(__xludf.DUMMYFUNCTION("XLOOKUP($D381,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1" s="15">
        <f>IFERROR(__xludf.DUMMYFUNCTION("IFNA(XLOOKUP(""*""&amp;TRIM(REGEXREPLACE($D381, ""(?i)^(PT|CV)\.?\s+"", """"))&amp;""*"", 'DATA TARGET'!$C$2:$C998, 'DATA TARGET'!$D$2:$D998, ""Tidak Ditemukan"", 2), ""Tidak Ditemukan"")"),0.26)</f>
        <v>0.26</v>
      </c>
      <c r="H381" s="17">
        <f t="shared" si="1"/>
        <v>0.26</v>
      </c>
      <c r="I381" s="8"/>
    </row>
    <row r="382">
      <c r="A382" s="10" t="s">
        <v>1069</v>
      </c>
      <c r="B382" s="10" t="s">
        <v>1315</v>
      </c>
      <c r="C382" s="10" t="s">
        <v>1364</v>
      </c>
      <c r="D382" s="12" t="s">
        <v>1364</v>
      </c>
      <c r="E382" s="13" t="s">
        <v>1365</v>
      </c>
      <c r="F382" s="15" t="str">
        <f>IFERROR(__xludf.DUMMYFUNCTION("XLOOKUP($D382,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2" s="15" t="str">
        <f>IFERROR(__xludf.DUMMYFUNCTION("IFNA(XLOOKUP(""*""&amp;TRIM(REGEXREPLACE($D382, ""(?i)^(PT|CV)\.?\s+"", """"))&amp;""*"", 'DATA TARGET'!$C$2:$C998, 'DATA TARGET'!$D$2:$D998, ""Tidak Ditemukan"", 2), ""Tidak Ditemukan"")"),"Tidak Ditemukan")</f>
        <v>Tidak Ditemukan</v>
      </c>
      <c r="H382" s="17" t="str">
        <f t="shared" si="1"/>
        <v>Tidak Ditemukan</v>
      </c>
      <c r="I382" s="8"/>
    </row>
    <row r="383">
      <c r="A383" s="10" t="s">
        <v>1069</v>
      </c>
      <c r="B383" s="10" t="s">
        <v>1315</v>
      </c>
      <c r="C383" s="10" t="s">
        <v>1368</v>
      </c>
      <c r="D383" s="12" t="s">
        <v>1369</v>
      </c>
      <c r="E383" s="13" t="s">
        <v>1370</v>
      </c>
      <c r="F383" s="15" t="str">
        <f>IFERROR(__xludf.DUMMYFUNCTION("XLOOKUP($D383,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3" s="15">
        <f>IFERROR(__xludf.DUMMYFUNCTION("IFNA(XLOOKUP(""*""&amp;TRIM(REGEXREPLACE($D383, ""(?i)^(PT|CV)\.?\s+"", """"))&amp;""*"", 'DATA TARGET'!$C$2:$C998, 'DATA TARGET'!$D$2:$D998, ""Tidak Ditemukan"", 2), ""Tidak Ditemukan"")"),63.09)</f>
        <v>63.09</v>
      </c>
      <c r="H383" s="17">
        <f t="shared" si="1"/>
        <v>63.09</v>
      </c>
      <c r="I383" s="8"/>
    </row>
    <row r="384">
      <c r="A384" s="10" t="s">
        <v>1069</v>
      </c>
      <c r="B384" s="10" t="s">
        <v>1315</v>
      </c>
      <c r="C384" s="10" t="s">
        <v>1371</v>
      </c>
      <c r="D384" s="12" t="s">
        <v>1371</v>
      </c>
      <c r="E384" s="13" t="s">
        <v>1372</v>
      </c>
      <c r="F384" s="15" t="str">
        <f>IFERROR(__xludf.DUMMYFUNCTION("XLOOKUP($D384,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4" s="15">
        <f>IFERROR(__xludf.DUMMYFUNCTION("IFNA(XLOOKUP(""*""&amp;TRIM(REGEXREPLACE($D384, ""(?i)^(PT|CV)\.?\s+"", """"))&amp;""*"", 'DATA TARGET'!$C$2:$C998, 'DATA TARGET'!$D$2:$D998, ""Tidak Ditemukan"", 2), ""Tidak Ditemukan"")"),79.65)</f>
        <v>79.65</v>
      </c>
      <c r="H384" s="17">
        <f t="shared" si="1"/>
        <v>79.65</v>
      </c>
      <c r="I384" s="8"/>
    </row>
    <row r="385">
      <c r="A385" s="10" t="s">
        <v>1069</v>
      </c>
      <c r="B385" s="10" t="s">
        <v>1315</v>
      </c>
      <c r="C385" s="10" t="s">
        <v>1375</v>
      </c>
      <c r="D385" s="12" t="s">
        <v>1375</v>
      </c>
      <c r="E385" s="13" t="s">
        <v>1376</v>
      </c>
      <c r="F385" s="15" t="str">
        <f>IFERROR(__xludf.DUMMYFUNCTION("XLOOKUP($D385,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5" s="15" t="str">
        <f>IFERROR(__xludf.DUMMYFUNCTION("IFNA(XLOOKUP(""*""&amp;TRIM(REGEXREPLACE($D385, ""(?i)^(PT|CV)\.?\s+"", """"))&amp;""*"", 'DATA TARGET'!$C$2:$C998, 'DATA TARGET'!$D$2:$D998, ""Tidak Ditemukan"", 2), ""Tidak Ditemukan"")"),"Tidak Ditemukan")</f>
        <v>Tidak Ditemukan</v>
      </c>
      <c r="H385" s="17" t="str">
        <f t="shared" si="1"/>
        <v>Tidak Ditemukan</v>
      </c>
      <c r="I385" s="8"/>
    </row>
    <row r="386">
      <c r="A386" s="10" t="s">
        <v>1069</v>
      </c>
      <c r="B386" s="10" t="s">
        <v>1315</v>
      </c>
      <c r="C386" s="10" t="s">
        <v>1378</v>
      </c>
      <c r="D386" s="12" t="s">
        <v>1378</v>
      </c>
      <c r="E386" s="13" t="s">
        <v>1379</v>
      </c>
      <c r="F386" s="15" t="str">
        <f>IFERROR(__xludf.DUMMYFUNCTION("XLOOKUP($D386,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6" s="15" t="str">
        <f>IFERROR(__xludf.DUMMYFUNCTION("IFNA(XLOOKUP(""*""&amp;TRIM(REGEXREPLACE($D386, ""(?i)^(PT|CV)\.?\s+"", """"))&amp;""*"", 'DATA TARGET'!$C$2:$C998, 'DATA TARGET'!$D$2:$D998, ""Tidak Ditemukan"", 2), ""Tidak Ditemukan"")"),"Tidak Ditemukan")</f>
        <v>Tidak Ditemukan</v>
      </c>
      <c r="H386" s="17" t="str">
        <f t="shared" si="1"/>
        <v>Tidak Ditemukan</v>
      </c>
      <c r="I386" s="8"/>
    </row>
    <row r="387">
      <c r="A387" s="10" t="s">
        <v>1069</v>
      </c>
      <c r="B387" s="10" t="s">
        <v>1315</v>
      </c>
      <c r="C387" s="10" t="s">
        <v>1381</v>
      </c>
      <c r="D387" s="12" t="s">
        <v>1381</v>
      </c>
      <c r="E387" s="13" t="s">
        <v>1382</v>
      </c>
      <c r="F387" s="15" t="str">
        <f>IFERROR(__xludf.DUMMYFUNCTION("XLOOKUP($D387,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7" s="15" t="str">
        <f>IFERROR(__xludf.DUMMYFUNCTION("IFNA(XLOOKUP(""*""&amp;TRIM(REGEXREPLACE($D387, ""(?i)^(PT|CV)\.?\s+"", """"))&amp;""*"", 'DATA TARGET'!$C$2:$C998, 'DATA TARGET'!$D$2:$D998, ""Tidak Ditemukan"", 2), ""Tidak Ditemukan"")"),"Tidak Ditemukan")</f>
        <v>Tidak Ditemukan</v>
      </c>
      <c r="H387" s="17" t="str">
        <f t="shared" si="1"/>
        <v>Tidak Ditemukan</v>
      </c>
      <c r="I387" s="8"/>
    </row>
    <row r="388">
      <c r="A388" s="10" t="s">
        <v>1069</v>
      </c>
      <c r="B388" s="10" t="s">
        <v>1315</v>
      </c>
      <c r="C388" s="10" t="s">
        <v>1385</v>
      </c>
      <c r="D388" s="12" t="s">
        <v>1385</v>
      </c>
      <c r="E388" s="13" t="s">
        <v>1386</v>
      </c>
      <c r="F388" s="15" t="str">
        <f>IFERROR(__xludf.DUMMYFUNCTION("XLOOKUP($D388,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88" s="15" t="str">
        <f>IFERROR(__xludf.DUMMYFUNCTION("IFNA(XLOOKUP(""*""&amp;TRIM(REGEXREPLACE($D388, ""(?i)^(PT|CV)\.?\s+"", """"))&amp;""*"", 'DATA TARGET'!$C$2:$C998, 'DATA TARGET'!$D$2:$D998, ""Tidak Ditemukan"", 2), ""Tidak Ditemukan"")"),"Tidak Ditemukan")</f>
        <v>Tidak Ditemukan</v>
      </c>
      <c r="H388" s="17" t="str">
        <f t="shared" si="1"/>
        <v>Tidak Ditemukan</v>
      </c>
      <c r="I388" s="8"/>
    </row>
    <row r="389">
      <c r="A389" s="10" t="s">
        <v>1069</v>
      </c>
      <c r="B389" s="10" t="s">
        <v>1315</v>
      </c>
      <c r="C389" s="10" t="s">
        <v>1388</v>
      </c>
      <c r="D389" s="12" t="s">
        <v>1388</v>
      </c>
      <c r="E389" s="13" t="s">
        <v>1389</v>
      </c>
      <c r="F389" s="15">
        <f>IFERROR(__xludf.DUMMYFUNCTION("XLOOKUP($D389,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(AUTO)'!R6:R""))"),460.44)</f>
        <v>460.44</v>
      </c>
      <c r="G389" s="15">
        <f>IFERROR(__xludf.DUMMYFUNCTION("IFNA(XLOOKUP(""*""&amp;TRIM(REGEXREPLACE($D389, ""(?i)^(PT|CV)\.?\s+"", """"))&amp;""*"", 'DATA TARGET'!$C$2:$C998, 'DATA TARGET'!$D$2:$D998, ""Tidak Ditemukan"", 2), ""Tidak Ditemukan"")"),1585.8)</f>
        <v>1585.8</v>
      </c>
      <c r="H389" s="17">
        <f t="shared" si="1"/>
        <v>460.44</v>
      </c>
      <c r="I389" s="8"/>
    </row>
    <row r="390">
      <c r="A390" s="10" t="s">
        <v>1069</v>
      </c>
      <c r="B390" s="10" t="s">
        <v>1315</v>
      </c>
      <c r="C390" s="10" t="s">
        <v>1391</v>
      </c>
      <c r="D390" s="12" t="s">
        <v>1391</v>
      </c>
      <c r="E390" s="13" t="s">
        <v>1392</v>
      </c>
      <c r="F390" s="15" t="str">
        <f>IFERROR(__xludf.DUMMYFUNCTION("XLOOKUP($D390,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90" s="15">
        <f>IFERROR(__xludf.DUMMYFUNCTION("IFNA(XLOOKUP(""*""&amp;TRIM(REGEXREPLACE($D390, ""(?i)^(PT|CV)\.?\s+"", """"))&amp;""*"", 'DATA TARGET'!$C$2:$C998, 'DATA TARGET'!$D$2:$D998, ""Tidak Ditemukan"", 2), ""Tidak Ditemukan"")"),0.1)</f>
        <v>0.1</v>
      </c>
      <c r="H390" s="17">
        <f t="shared" si="1"/>
        <v>0.1</v>
      </c>
      <c r="I390" s="8"/>
    </row>
    <row r="391">
      <c r="A391" s="10" t="s">
        <v>1069</v>
      </c>
      <c r="B391" s="10" t="s">
        <v>1315</v>
      </c>
      <c r="C391" s="10" t="s">
        <v>1395</v>
      </c>
      <c r="D391" s="12" t="s">
        <v>1395</v>
      </c>
      <c r="E391" s="13" t="s">
        <v>1396</v>
      </c>
      <c r="F391" s="15">
        <f>IFERROR(__xludf.DUMMYFUNCTION("XLOOKUP($D391,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(AUTO)'!R6:R""))"),9.23)</f>
        <v>9.23</v>
      </c>
      <c r="G391" s="15">
        <f>IFERROR(__xludf.DUMMYFUNCTION("IFNA(XLOOKUP(""*""&amp;TRIM(REGEXREPLACE($D391, ""(?i)^(PT|CV)\.?\s+"", """"))&amp;""*"", 'DATA TARGET'!$C$2:$C998, 'DATA TARGET'!$D$2:$D998, ""Tidak Ditemukan"", 2), ""Tidak Ditemukan"")"),9.23)</f>
        <v>9.23</v>
      </c>
      <c r="H391" s="17">
        <f t="shared" si="1"/>
        <v>9.23</v>
      </c>
      <c r="I391" s="8"/>
    </row>
    <row r="392">
      <c r="A392" s="10" t="s">
        <v>1069</v>
      </c>
      <c r="B392" s="10" t="s">
        <v>1315</v>
      </c>
      <c r="C392" s="10" t="s">
        <v>1397</v>
      </c>
      <c r="D392" s="12" t="s">
        <v>1397</v>
      </c>
      <c r="E392" s="13" t="s">
        <v>1399</v>
      </c>
      <c r="F392" s="15" t="str">
        <f>IFERROR(__xludf.DUMMYFUNCTION("XLOOKUP($D392,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92" s="15">
        <f>IFERROR(__xludf.DUMMYFUNCTION("IFNA(XLOOKUP(""*""&amp;TRIM(REGEXREPLACE($D392, ""(?i)^(PT|CV)\.?\s+"", """"))&amp;""*"", 'DATA TARGET'!$C$2:$C998, 'DATA TARGET'!$D$2:$D998, ""Tidak Ditemukan"", 2), ""Tidak Ditemukan"")"),7.0)</f>
        <v>7</v>
      </c>
      <c r="H392" s="17">
        <f t="shared" si="1"/>
        <v>7</v>
      </c>
      <c r="I392" s="8"/>
    </row>
    <row r="393">
      <c r="A393" s="10" t="s">
        <v>1069</v>
      </c>
      <c r="B393" s="10" t="s">
        <v>1315</v>
      </c>
      <c r="C393" s="10" t="s">
        <v>1401</v>
      </c>
      <c r="D393" s="12" t="s">
        <v>1401</v>
      </c>
      <c r="E393" s="13" t="s">
        <v>1402</v>
      </c>
      <c r="F393" s="15" t="str">
        <f>IFERROR(__xludf.DUMMYFUNCTION("XLOOKUP($D393,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93" s="15">
        <f>IFERROR(__xludf.DUMMYFUNCTION("IFNA(XLOOKUP(""*""&amp;TRIM(REGEXREPLACE($D393, ""(?i)^(PT|CV)\.?\s+"", """"))&amp;""*"", 'DATA TARGET'!$C$2:$C998, 'DATA TARGET'!$D$2:$D998, ""Tidak Ditemukan"", 2), ""Tidak Ditemukan"")"),97.29)</f>
        <v>97.29</v>
      </c>
      <c r="H393" s="17">
        <f t="shared" si="1"/>
        <v>97.29</v>
      </c>
      <c r="I393" s="8"/>
    </row>
    <row r="394">
      <c r="A394" s="10" t="s">
        <v>1069</v>
      </c>
      <c r="B394" s="10" t="s">
        <v>1315</v>
      </c>
      <c r="C394" s="10" t="s">
        <v>1403</v>
      </c>
      <c r="D394" s="12" t="s">
        <v>1405</v>
      </c>
      <c r="E394" s="13" t="s">
        <v>1406</v>
      </c>
      <c r="F394" s="15">
        <f>IFERROR(__xludf.DUMMYFUNCTION("XLOOKUP($D394,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(AUTO)'!R6:R""))"),147.0)</f>
        <v>147</v>
      </c>
      <c r="G394" s="15">
        <f>IFERROR(__xludf.DUMMYFUNCTION("IFNA(XLOOKUP(""*""&amp;TRIM(REGEXREPLACE($D394, ""(?i)^(PT|CV)\.?\s+"", """"))&amp;""*"", 'DATA TARGET'!$C$2:$C998, 'DATA TARGET'!$D$2:$D998, ""Tidak Ditemukan"", 2), ""Tidak Ditemukan"")"),422.08)</f>
        <v>422.08</v>
      </c>
      <c r="H394" s="17">
        <f t="shared" si="1"/>
        <v>147</v>
      </c>
      <c r="I394" s="8"/>
    </row>
    <row r="395">
      <c r="A395" s="10" t="s">
        <v>1069</v>
      </c>
      <c r="B395" s="10" t="s">
        <v>1315</v>
      </c>
      <c r="C395" s="10" t="s">
        <v>1407</v>
      </c>
      <c r="D395" s="12" t="s">
        <v>1407</v>
      </c>
      <c r="E395" s="13" t="s">
        <v>1409</v>
      </c>
      <c r="F395" s="15">
        <f>IFERROR(__xludf.DUMMYFUNCTION("XLOOKUP($D395,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(AUTO)'!R6:R""))"),15.0)</f>
        <v>15</v>
      </c>
      <c r="G395" s="15">
        <f>IFERROR(__xludf.DUMMYFUNCTION("IFNA(XLOOKUP(""*""&amp;TRIM(REGEXREPLACE($D395, ""(?i)^(PT|CV)\.?\s+"", """"))&amp;""*"", 'DATA TARGET'!$C$2:$C998, 'DATA TARGET'!$D$2:$D998, ""Tidak Ditemukan"", 2), ""Tidak Ditemukan"")"),15.0)</f>
        <v>15</v>
      </c>
      <c r="H395" s="17">
        <f t="shared" si="1"/>
        <v>15</v>
      </c>
      <c r="I395" s="8"/>
    </row>
    <row r="396">
      <c r="A396" s="10" t="s">
        <v>1069</v>
      </c>
      <c r="B396" s="10" t="s">
        <v>1315</v>
      </c>
      <c r="C396" s="10" t="s">
        <v>1411</v>
      </c>
      <c r="D396" s="12" t="s">
        <v>1411</v>
      </c>
      <c r="E396" s="13" t="s">
        <v>1412</v>
      </c>
      <c r="F396" s="15" t="str">
        <f>IFERROR(__xludf.DUMMYFUNCTION("XLOOKUP($D396,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396" s="15" t="str">
        <f>IFERROR(__xludf.DUMMYFUNCTION("IFNA(XLOOKUP(""*""&amp;TRIM(REGEXREPLACE($D396, ""(?i)^(PT|CV)\.?\s+"", """"))&amp;""*"", 'DATA TARGET'!$C$2:$C998, 'DATA TARGET'!$D$2:$D998, ""Tidak Ditemukan"", 2), ""Tidak Ditemukan"")"),"Tidak Ditemukan")</f>
        <v>Tidak Ditemukan</v>
      </c>
      <c r="H396" s="17" t="str">
        <f t="shared" si="1"/>
        <v>Tidak Ditemukan</v>
      </c>
      <c r="I396" s="8"/>
    </row>
    <row r="397">
      <c r="A397" s="10" t="s">
        <v>1069</v>
      </c>
      <c r="B397" s="10" t="s">
        <v>1315</v>
      </c>
      <c r="C397" s="10" t="s">
        <v>1413</v>
      </c>
      <c r="D397" s="12" t="s">
        <v>1413</v>
      </c>
      <c r="E397" s="13" t="s">
        <v>1415</v>
      </c>
      <c r="F397" s="15">
        <f>IFERROR(__xludf.DUMMYFUNCTION("XLOOKUP($D397,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(AUTO)'!R6:R""))"),11.43)</f>
        <v>11.43</v>
      </c>
      <c r="G397" s="15">
        <f>IFERROR(__xludf.DUMMYFUNCTION("IFNA(XLOOKUP(""*""&amp;TRIM(REGEXREPLACE($D397, ""(?i)^(PT|CV)\.?\s+"", """"))&amp;""*"", 'DATA TARGET'!$C$2:$C998, 'DATA TARGET'!$D$2:$D998, ""Tidak Ditemukan"", 2), ""Tidak Ditemukan"")"),24.74)</f>
        <v>24.74</v>
      </c>
      <c r="H397" s="17">
        <f t="shared" si="1"/>
        <v>11.43</v>
      </c>
      <c r="I397" s="8"/>
    </row>
    <row r="398">
      <c r="A398" s="10" t="s">
        <v>1069</v>
      </c>
      <c r="B398" s="10" t="s">
        <v>1315</v>
      </c>
      <c r="C398" s="10" t="s">
        <v>1416</v>
      </c>
      <c r="D398" s="12" t="s">
        <v>1418</v>
      </c>
      <c r="E398" s="13" t="s">
        <v>1419</v>
      </c>
      <c r="F398" s="15">
        <f>IFERROR(__xludf.DUMMYFUNCTION("XLOOKUP($D398,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(AUTO)'!R6:R""))"),117.2)</f>
        <v>117.2</v>
      </c>
      <c r="G398" s="15">
        <f>IFERROR(__xludf.DUMMYFUNCTION("IFNA(XLOOKUP(""*""&amp;TRIM(REGEXREPLACE($D398, ""(?i)^(PT|CV)\.?\s+"", """"))&amp;""*"", 'DATA TARGET'!$C$2:$C998, 'DATA TARGET'!$D$2:$D998, ""Tidak Ditemukan"", 2), ""Tidak Ditemukan"")"),157.57)</f>
        <v>157.57</v>
      </c>
      <c r="H398" s="17">
        <f t="shared" si="1"/>
        <v>117.2</v>
      </c>
      <c r="I398" s="8"/>
    </row>
    <row r="399">
      <c r="A399" s="10" t="s">
        <v>1069</v>
      </c>
      <c r="B399" s="10" t="s">
        <v>1315</v>
      </c>
      <c r="C399" s="10" t="s">
        <v>1421</v>
      </c>
      <c r="D399" s="12" t="s">
        <v>1421</v>
      </c>
      <c r="E399" s="13" t="s">
        <v>1423</v>
      </c>
      <c r="F399" s="15">
        <f>IFERROR(__xludf.DUMMYFUNCTION("XLOOKUP($D399,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(AUTO)'!R6:R""))"),68.08)</f>
        <v>68.08</v>
      </c>
      <c r="G399" s="15">
        <f>IFERROR(__xludf.DUMMYFUNCTION("IFNA(XLOOKUP(""*""&amp;TRIM(REGEXREPLACE($D399, ""(?i)^(PT|CV)\.?\s+"", """"))&amp;""*"", 'DATA TARGET'!$C$2:$C998, 'DATA TARGET'!$D$2:$D998, ""Tidak Ditemukan"", 2), ""Tidak Ditemukan"")"),179.27)</f>
        <v>179.27</v>
      </c>
      <c r="H399" s="17">
        <f t="shared" si="1"/>
        <v>68.08</v>
      </c>
      <c r="I399" s="8"/>
    </row>
    <row r="400">
      <c r="A400" s="10" t="s">
        <v>1069</v>
      </c>
      <c r="B400" s="10" t="s">
        <v>1315</v>
      </c>
      <c r="C400" s="10" t="s">
        <v>1424</v>
      </c>
      <c r="D400" s="12" t="s">
        <v>1426</v>
      </c>
      <c r="E400" s="13" t="s">
        <v>1427</v>
      </c>
      <c r="F400" s="15">
        <f>IFERROR(__xludf.DUMMYFUNCTION("XLOOKUP($D400,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(AUTO)'!R6:R""))"),315.0)</f>
        <v>315</v>
      </c>
      <c r="G400" s="15">
        <f>IFERROR(__xludf.DUMMYFUNCTION("IFNA(XLOOKUP(""*""&amp;TRIM(REGEXREPLACE($D400, ""(?i)^(PT|CV)\.?\s+"", """"))&amp;""*"", 'DATA TARGET'!$C$2:$C998, 'DATA TARGET'!$D$2:$D998, ""Tidak Ditemukan"", 2), ""Tidak Ditemukan"")"),3314.0)</f>
        <v>3314</v>
      </c>
      <c r="H400" s="17">
        <f t="shared" si="1"/>
        <v>315</v>
      </c>
      <c r="I400" s="8"/>
    </row>
    <row r="401">
      <c r="A401" s="10" t="s">
        <v>1069</v>
      </c>
      <c r="B401" s="10" t="s">
        <v>1315</v>
      </c>
      <c r="C401" s="10" t="s">
        <v>1430</v>
      </c>
      <c r="D401" s="12" t="s">
        <v>1430</v>
      </c>
      <c r="E401" s="13" t="s">
        <v>1431</v>
      </c>
      <c r="F401" s="15" t="str">
        <f>IFERROR(__xludf.DUMMYFUNCTION("XLOOKUP($D401,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1" s="15">
        <f>IFERROR(__xludf.DUMMYFUNCTION("IFNA(XLOOKUP(""*""&amp;TRIM(REGEXREPLACE($D401, ""(?i)^(PT|CV)\.?\s+"", """"))&amp;""*"", 'DATA TARGET'!$C$2:$C998, 'DATA TARGET'!$D$2:$D998, ""Tidak Ditemukan"", 2), ""Tidak Ditemukan"")"),0.0)</f>
        <v>0</v>
      </c>
      <c r="H401" s="17">
        <f t="shared" si="1"/>
        <v>0</v>
      </c>
      <c r="I401" s="8"/>
    </row>
    <row r="402">
      <c r="A402" s="10" t="s">
        <v>1069</v>
      </c>
      <c r="B402" s="10" t="s">
        <v>1315</v>
      </c>
      <c r="C402" s="10" t="s">
        <v>1433</v>
      </c>
      <c r="D402" s="12" t="s">
        <v>1433</v>
      </c>
      <c r="E402" s="13" t="s">
        <v>1434</v>
      </c>
      <c r="F402" s="15" t="str">
        <f>IFERROR(__xludf.DUMMYFUNCTION("XLOOKUP($D402,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2" s="15">
        <f>IFERROR(__xludf.DUMMYFUNCTION("IFNA(XLOOKUP(""*""&amp;TRIM(REGEXREPLACE($D402, ""(?i)^(PT|CV)\.?\s+"", """"))&amp;""*"", 'DATA TARGET'!$C$2:$C998, 'DATA TARGET'!$D$2:$D998, ""Tidak Ditemukan"", 2), ""Tidak Ditemukan"")"),655.94)</f>
        <v>655.94</v>
      </c>
      <c r="H402" s="17">
        <f t="shared" si="1"/>
        <v>655.94</v>
      </c>
      <c r="I402" s="8"/>
    </row>
    <row r="403">
      <c r="A403" s="10" t="s">
        <v>1069</v>
      </c>
      <c r="B403" s="10" t="s">
        <v>1315</v>
      </c>
      <c r="C403" s="10" t="s">
        <v>1436</v>
      </c>
      <c r="D403" s="12" t="s">
        <v>1436</v>
      </c>
      <c r="E403" s="13" t="s">
        <v>1437</v>
      </c>
      <c r="F403" s="15" t="str">
        <f>IFERROR(__xludf.DUMMYFUNCTION("XLOOKUP($D403,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3" s="15">
        <f>IFERROR(__xludf.DUMMYFUNCTION("IFNA(XLOOKUP(""*""&amp;TRIM(REGEXREPLACE($D403, ""(?i)^(PT|CV)\.?\s+"", """"))&amp;""*"", 'DATA TARGET'!$C$2:$C998, 'DATA TARGET'!$D$2:$D998, ""Tidak Ditemukan"", 2), ""Tidak Ditemukan"")"),1.17)</f>
        <v>1.17</v>
      </c>
      <c r="H403" s="17">
        <f t="shared" si="1"/>
        <v>1.17</v>
      </c>
      <c r="I403" s="8"/>
    </row>
    <row r="404">
      <c r="A404" s="10" t="s">
        <v>1069</v>
      </c>
      <c r="B404" s="10" t="s">
        <v>1315</v>
      </c>
      <c r="C404" s="10" t="s">
        <v>1439</v>
      </c>
      <c r="D404" s="12" t="s">
        <v>1439</v>
      </c>
      <c r="E404" s="13" t="s">
        <v>1440</v>
      </c>
      <c r="F404" s="15" t="str">
        <f>IFERROR(__xludf.DUMMYFUNCTION("XLOOKUP($D404,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4" s="15">
        <f>IFERROR(__xludf.DUMMYFUNCTION("IFNA(XLOOKUP(""*""&amp;TRIM(REGEXREPLACE($D404, ""(?i)^(PT|CV)\.?\s+"", """"))&amp;""*"", 'DATA TARGET'!$C$2:$C998, 'DATA TARGET'!$D$2:$D998, ""Tidak Ditemukan"", 2), ""Tidak Ditemukan"")"),94.96)</f>
        <v>94.96</v>
      </c>
      <c r="H404" s="17">
        <f t="shared" si="1"/>
        <v>94.96</v>
      </c>
      <c r="I404" s="8"/>
    </row>
    <row r="405">
      <c r="A405" s="10" t="s">
        <v>1069</v>
      </c>
      <c r="B405" s="10" t="s">
        <v>1315</v>
      </c>
      <c r="C405" s="10" t="s">
        <v>1442</v>
      </c>
      <c r="D405" s="12" t="s">
        <v>1442</v>
      </c>
      <c r="E405" s="13" t="s">
        <v>1443</v>
      </c>
      <c r="F405" s="15" t="str">
        <f>IFERROR(__xludf.DUMMYFUNCTION("XLOOKUP($D405,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5" s="15" t="str">
        <f>IFERROR(__xludf.DUMMYFUNCTION("IFNA(XLOOKUP(""*""&amp;TRIM(REGEXREPLACE($D405, ""(?i)^(PT|CV)\.?\s+"", """"))&amp;""*"", 'DATA TARGET'!$C$2:$C998, 'DATA TARGET'!$D$2:$D998, ""Tidak Ditemukan"", 2), ""Tidak Ditemukan"")"),"Tidak Ditemukan")</f>
        <v>Tidak Ditemukan</v>
      </c>
      <c r="H405" s="17" t="str">
        <f t="shared" si="1"/>
        <v>Tidak Ditemukan</v>
      </c>
      <c r="I405" s="8"/>
    </row>
    <row r="406">
      <c r="A406" s="10" t="s">
        <v>1069</v>
      </c>
      <c r="B406" s="10" t="s">
        <v>1315</v>
      </c>
      <c r="C406" s="10" t="s">
        <v>1445</v>
      </c>
      <c r="D406" s="12" t="s">
        <v>1446</v>
      </c>
      <c r="E406" s="13" t="s">
        <v>1448</v>
      </c>
      <c r="F406" s="15" t="str">
        <f>IFERROR(__xludf.DUMMYFUNCTION("XLOOKUP($D406,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6" s="15">
        <f>IFERROR(__xludf.DUMMYFUNCTION("IFNA(XLOOKUP(""*""&amp;TRIM(REGEXREPLACE($D406, ""(?i)^(PT|CV)\.?\s+"", """"))&amp;""*"", 'DATA TARGET'!$C$2:$C998, 'DATA TARGET'!$D$2:$D998, ""Tidak Ditemukan"", 2), ""Tidak Ditemukan"")"),15.04)</f>
        <v>15.04</v>
      </c>
      <c r="H406" s="17">
        <f t="shared" si="1"/>
        <v>15.04</v>
      </c>
      <c r="I406" s="8"/>
    </row>
    <row r="407">
      <c r="A407" s="10" t="s">
        <v>1069</v>
      </c>
      <c r="B407" s="10" t="s">
        <v>1315</v>
      </c>
      <c r="C407" s="10" t="s">
        <v>1450</v>
      </c>
      <c r="D407" s="12" t="s">
        <v>1450</v>
      </c>
      <c r="E407" s="13" t="s">
        <v>1452</v>
      </c>
      <c r="F407" s="15" t="str">
        <f>IFERROR(__xludf.DUMMYFUNCTION("XLOOKUP($D407,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7" s="15" t="str">
        <f>IFERROR(__xludf.DUMMYFUNCTION("IFNA(XLOOKUP(""*""&amp;TRIM(REGEXREPLACE($D407, ""(?i)^(PT|CV)\.?\s+"", """"))&amp;""*"", 'DATA TARGET'!$C$2:$C998, 'DATA TARGET'!$D$2:$D998, ""Tidak Ditemukan"", 2), ""Tidak Ditemukan"")"),"Tidak Ditemukan")</f>
        <v>Tidak Ditemukan</v>
      </c>
      <c r="H407" s="17" t="str">
        <f t="shared" si="1"/>
        <v>Tidak Ditemukan</v>
      </c>
      <c r="I407" s="8"/>
    </row>
    <row r="408">
      <c r="A408" s="10" t="s">
        <v>1069</v>
      </c>
      <c r="B408" s="10" t="s">
        <v>1315</v>
      </c>
      <c r="C408" s="10" t="s">
        <v>1454</v>
      </c>
      <c r="D408" s="12" t="s">
        <v>1455</v>
      </c>
      <c r="E408" s="13" t="s">
        <v>1456</v>
      </c>
      <c r="F408" s="15" t="str">
        <f>IFERROR(__xludf.DUMMYFUNCTION("XLOOKUP($D408,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8" s="15" t="str">
        <f>IFERROR(__xludf.DUMMYFUNCTION("IFNA(XLOOKUP(""*""&amp;TRIM(REGEXREPLACE($D408, ""(?i)^(PT|CV)\.?\s+"", """"))&amp;""*"", 'DATA TARGET'!$C$2:$C998, 'DATA TARGET'!$D$2:$D998, ""Tidak Ditemukan"", 2), ""Tidak Ditemukan"")"),"Tidak Ditemukan")</f>
        <v>Tidak Ditemukan</v>
      </c>
      <c r="H408" s="17" t="str">
        <f t="shared" si="1"/>
        <v>Tidak Ditemukan</v>
      </c>
      <c r="I408" s="8"/>
    </row>
    <row r="409">
      <c r="A409" s="10" t="s">
        <v>1069</v>
      </c>
      <c r="B409" s="10" t="s">
        <v>1315</v>
      </c>
      <c r="C409" s="10" t="s">
        <v>1459</v>
      </c>
      <c r="D409" s="12" t="s">
        <v>1459</v>
      </c>
      <c r="E409" s="13" t="s">
        <v>1460</v>
      </c>
      <c r="F409" s="15" t="str">
        <f>IFERROR(__xludf.DUMMYFUNCTION("XLOOKUP($D409,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09" s="15">
        <f>IFERROR(__xludf.DUMMYFUNCTION("IFNA(XLOOKUP(""*""&amp;TRIM(REGEXREPLACE($D409, ""(?i)^(PT|CV)\.?\s+"", """"))&amp;""*"", 'DATA TARGET'!$C$2:$C998, 'DATA TARGET'!$D$2:$D998, ""Tidak Ditemukan"", 2), ""Tidak Ditemukan"")"),138.3)</f>
        <v>138.3</v>
      </c>
      <c r="H409" s="17">
        <f t="shared" si="1"/>
        <v>138.3</v>
      </c>
      <c r="I409" s="8"/>
    </row>
    <row r="410">
      <c r="A410" s="10" t="s">
        <v>1069</v>
      </c>
      <c r="B410" s="10" t="s">
        <v>1315</v>
      </c>
      <c r="C410" s="10" t="s">
        <v>1463</v>
      </c>
      <c r="D410" s="12" t="s">
        <v>1463</v>
      </c>
      <c r="E410" s="13" t="s">
        <v>1464</v>
      </c>
      <c r="F410" s="15">
        <f>IFERROR(__xludf.DUMMYFUNCTION("XLOOKUP($D410,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(AUTO)'!R6:R""))"),336.49)</f>
        <v>336.49</v>
      </c>
      <c r="G410" s="15">
        <f>IFERROR(__xludf.DUMMYFUNCTION("IFNA(XLOOKUP(""*""&amp;TRIM(REGEXREPLACE($D410, ""(?i)^(PT|CV)\.?\s+"", """"))&amp;""*"", 'DATA TARGET'!$C$2:$C998, 'DATA TARGET'!$D$2:$D998, ""Tidak Ditemukan"", 2), ""Tidak Ditemukan"")"),800.35)</f>
        <v>800.35</v>
      </c>
      <c r="H410" s="17">
        <f t="shared" si="1"/>
        <v>336.49</v>
      </c>
      <c r="I410" s="8"/>
    </row>
    <row r="411">
      <c r="A411" s="10" t="s">
        <v>1069</v>
      </c>
      <c r="B411" s="10" t="s">
        <v>1315</v>
      </c>
      <c r="C411" s="10" t="s">
        <v>1468</v>
      </c>
      <c r="D411" s="12" t="s">
        <v>1468</v>
      </c>
      <c r="E411" s="13" t="s">
        <v>1469</v>
      </c>
      <c r="F411" s="15" t="str">
        <f>IFERROR(__xludf.DUMMYFUNCTION("XLOOKUP($D411,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1" s="15" t="str">
        <f>IFERROR(__xludf.DUMMYFUNCTION("IFNA(XLOOKUP(""*""&amp;TRIM(REGEXREPLACE($D411, ""(?i)^(PT|CV)\.?\s+"", """"))&amp;""*"", 'DATA TARGET'!$C$2:$C998, 'DATA TARGET'!$D$2:$D998, ""Tidak Ditemukan"", 2), ""Tidak Ditemukan"")"),"Tidak Ditemukan")</f>
        <v>Tidak Ditemukan</v>
      </c>
      <c r="H411" s="17" t="str">
        <f t="shared" si="1"/>
        <v>Tidak Ditemukan</v>
      </c>
      <c r="I411" s="8"/>
    </row>
    <row r="412">
      <c r="A412" s="10" t="s">
        <v>1069</v>
      </c>
      <c r="B412" s="10" t="s">
        <v>1315</v>
      </c>
      <c r="C412" s="10" t="s">
        <v>1473</v>
      </c>
      <c r="D412" s="12" t="s">
        <v>1473</v>
      </c>
      <c r="E412" s="13" t="s">
        <v>1474</v>
      </c>
      <c r="F412" s="15" t="str">
        <f>IFERROR(__xludf.DUMMYFUNCTION("XLOOKUP($D412,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2" s="15" t="str">
        <f>IFERROR(__xludf.DUMMYFUNCTION("IFNA(XLOOKUP(""*""&amp;TRIM(REGEXREPLACE($D412, ""(?i)^(PT|CV)\.?\s+"", """"))&amp;""*"", 'DATA TARGET'!$C$2:$C998, 'DATA TARGET'!$D$2:$D998, ""Tidak Ditemukan"", 2), ""Tidak Ditemukan"")"),"Tidak Ditemukan")</f>
        <v>Tidak Ditemukan</v>
      </c>
      <c r="H412" s="17" t="str">
        <f t="shared" si="1"/>
        <v>Tidak Ditemukan</v>
      </c>
      <c r="I412" s="8"/>
    </row>
    <row r="413">
      <c r="A413" s="10" t="s">
        <v>1069</v>
      </c>
      <c r="B413" s="10" t="s">
        <v>1315</v>
      </c>
      <c r="C413" s="10" t="s">
        <v>1478</v>
      </c>
      <c r="D413" s="12" t="s">
        <v>1478</v>
      </c>
      <c r="E413" s="13" t="s">
        <v>1479</v>
      </c>
      <c r="F413" s="15" t="str">
        <f>IFERROR(__xludf.DUMMYFUNCTION("XLOOKUP($D413,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3" s="15">
        <f>IFERROR(__xludf.DUMMYFUNCTION("IFNA(XLOOKUP(""*""&amp;TRIM(REGEXREPLACE($D413, ""(?i)^(PT|CV)\.?\s+"", """"))&amp;""*"", 'DATA TARGET'!$C$2:$C998, 'DATA TARGET'!$D$2:$D998, ""Tidak Ditemukan"", 2), ""Tidak Ditemukan"")"),375.84)</f>
        <v>375.84</v>
      </c>
      <c r="H413" s="17">
        <f t="shared" si="1"/>
        <v>375.84</v>
      </c>
      <c r="I413" s="8"/>
    </row>
    <row r="414">
      <c r="A414" s="10" t="s">
        <v>1069</v>
      </c>
      <c r="B414" s="10" t="s">
        <v>1315</v>
      </c>
      <c r="C414" s="10" t="s">
        <v>1482</v>
      </c>
      <c r="D414" s="12" t="s">
        <v>1482</v>
      </c>
      <c r="E414" s="13" t="s">
        <v>1483</v>
      </c>
      <c r="F414" s="15" t="str">
        <f>IFERROR(__xludf.DUMMYFUNCTION("XLOOKUP($D414,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4" s="15">
        <f>IFERROR(__xludf.DUMMYFUNCTION("IFNA(XLOOKUP(""*""&amp;TRIM(REGEXREPLACE($D414, ""(?i)^(PT|CV)\.?\s+"", """"))&amp;""*"", 'DATA TARGET'!$C$2:$C998, 'DATA TARGET'!$D$2:$D998, ""Tidak Ditemukan"", 2), ""Tidak Ditemukan"")"),480.73)</f>
        <v>480.73</v>
      </c>
      <c r="H414" s="17">
        <f t="shared" si="1"/>
        <v>480.73</v>
      </c>
      <c r="I414" s="8"/>
    </row>
    <row r="415">
      <c r="A415" s="10" t="s">
        <v>1069</v>
      </c>
      <c r="B415" s="10" t="s">
        <v>1315</v>
      </c>
      <c r="C415" s="10" t="s">
        <v>1486</v>
      </c>
      <c r="D415" s="12" t="s">
        <v>1486</v>
      </c>
      <c r="E415" s="13" t="s">
        <v>1487</v>
      </c>
      <c r="F415" s="15" t="str">
        <f>IFERROR(__xludf.DUMMYFUNCTION("XLOOKUP($D415,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5" s="15" t="str">
        <f>IFERROR(__xludf.DUMMYFUNCTION("IFNA(XLOOKUP(""*""&amp;TRIM(REGEXREPLACE($D415, ""(?i)^(PT|CV)\.?\s+"", """"))&amp;""*"", 'DATA TARGET'!$C$2:$C998, 'DATA TARGET'!$D$2:$D998, ""Tidak Ditemukan"", 2), ""Tidak Ditemukan"")"),"Tidak Ditemukan")</f>
        <v>Tidak Ditemukan</v>
      </c>
      <c r="H415" s="17" t="str">
        <f t="shared" si="1"/>
        <v>Tidak Ditemukan</v>
      </c>
      <c r="I415" s="8"/>
    </row>
    <row r="416">
      <c r="A416" s="10" t="s">
        <v>1069</v>
      </c>
      <c r="B416" s="10" t="s">
        <v>1315</v>
      </c>
      <c r="C416" s="10" t="s">
        <v>1490</v>
      </c>
      <c r="D416" s="12" t="s">
        <v>1491</v>
      </c>
      <c r="E416" s="13" t="s">
        <v>1492</v>
      </c>
      <c r="F416" s="15" t="str">
        <f>IFERROR(__xludf.DUMMYFUNCTION("XLOOKUP($D416,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6" s="15" t="str">
        <f>IFERROR(__xludf.DUMMYFUNCTION("IFNA(XLOOKUP(""*""&amp;TRIM(REGEXREPLACE($D416, ""(?i)^(PT|CV)\.?\s+"", """"))&amp;""*"", 'DATA TARGET'!$C$2:$C998, 'DATA TARGET'!$D$2:$D998, ""Tidak Ditemukan"", 2), ""Tidak Ditemukan"")"),"Tidak Ditemukan")</f>
        <v>Tidak Ditemukan</v>
      </c>
      <c r="H416" s="17" t="str">
        <f t="shared" si="1"/>
        <v>Tidak Ditemukan</v>
      </c>
      <c r="I416" s="8"/>
    </row>
    <row r="417">
      <c r="A417" s="10" t="s">
        <v>1069</v>
      </c>
      <c r="B417" s="10" t="s">
        <v>1315</v>
      </c>
      <c r="C417" s="10" t="s">
        <v>1494</v>
      </c>
      <c r="D417" s="12" t="s">
        <v>1496</v>
      </c>
      <c r="E417" s="13" t="s">
        <v>1497</v>
      </c>
      <c r="F417" s="15">
        <f>IFERROR(__xludf.DUMMYFUNCTION("XLOOKUP($D417,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(AUTO)'!R6:R""))"),11.03)</f>
        <v>11.03</v>
      </c>
      <c r="G417" s="15">
        <f>IFERROR(__xludf.DUMMYFUNCTION("IFNA(XLOOKUP(""*""&amp;TRIM(REGEXREPLACE($D417, ""(?i)^(PT|CV)\.?\s+"", """"))&amp;""*"", 'DATA TARGET'!$C$2:$C998, 'DATA TARGET'!$D$2:$D998, ""Tidak Ditemukan"", 2), ""Tidak Ditemukan"")"),16.33)</f>
        <v>16.33</v>
      </c>
      <c r="H417" s="17">
        <f t="shared" si="1"/>
        <v>11.03</v>
      </c>
      <c r="I417" s="8"/>
    </row>
    <row r="418">
      <c r="A418" s="10" t="s">
        <v>1069</v>
      </c>
      <c r="B418" s="10" t="s">
        <v>1315</v>
      </c>
      <c r="C418" s="10" t="s">
        <v>1500</v>
      </c>
      <c r="D418" s="12" t="s">
        <v>1500</v>
      </c>
      <c r="E418" s="13" t="s">
        <v>1501</v>
      </c>
      <c r="F418" s="15">
        <f>IFERROR(__xludf.DUMMYFUNCTION("XLOOKUP($D418,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(AUTO)'!R6:R""))"),95.0)</f>
        <v>95</v>
      </c>
      <c r="G418" s="15">
        <f>IFERROR(__xludf.DUMMYFUNCTION("IFNA(XLOOKUP(""*""&amp;TRIM(REGEXREPLACE($D418, ""(?i)^(PT|CV)\.?\s+"", """"))&amp;""*"", 'DATA TARGET'!$C$2:$C998, 'DATA TARGET'!$D$2:$D998, ""Tidak Ditemukan"", 2), ""Tidak Ditemukan"")"),158.88)</f>
        <v>158.88</v>
      </c>
      <c r="H418" s="17">
        <f t="shared" si="1"/>
        <v>95</v>
      </c>
      <c r="I418" s="8"/>
    </row>
    <row r="419">
      <c r="A419" s="10" t="s">
        <v>1069</v>
      </c>
      <c r="B419" s="10" t="s">
        <v>1315</v>
      </c>
      <c r="C419" s="10" t="s">
        <v>1502</v>
      </c>
      <c r="D419" s="12" t="s">
        <v>1502</v>
      </c>
      <c r="E419" s="13" t="s">
        <v>1503</v>
      </c>
      <c r="F419" s="15" t="str">
        <f>IFERROR(__xludf.DUMMYFUNCTION("XLOOKUP($D419,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19" s="15">
        <f>IFERROR(__xludf.DUMMYFUNCTION("IFNA(XLOOKUP(""*""&amp;TRIM(REGEXREPLACE($D419, ""(?i)^(PT|CV)\.?\s+"", """"))&amp;""*"", 'DATA TARGET'!$C$2:$C998, 'DATA TARGET'!$D$2:$D998, ""Tidak Ditemukan"", 2), ""Tidak Ditemukan"")"),32.07)</f>
        <v>32.07</v>
      </c>
      <c r="H419" s="17">
        <f t="shared" si="1"/>
        <v>32.07</v>
      </c>
      <c r="I419" s="8"/>
    </row>
    <row r="420">
      <c r="A420" s="10" t="s">
        <v>1069</v>
      </c>
      <c r="B420" s="10" t="s">
        <v>1315</v>
      </c>
      <c r="C420" s="10" t="s">
        <v>1505</v>
      </c>
      <c r="D420" s="12" t="s">
        <v>1505</v>
      </c>
      <c r="E420" s="13" t="s">
        <v>1506</v>
      </c>
      <c r="F420" s="15">
        <f>IFERROR(__xludf.DUMMYFUNCTION("XLOOKUP($D420,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(AUTO)'!R6:R""))"),306.07)</f>
        <v>306.07</v>
      </c>
      <c r="G420" s="15">
        <f>IFERROR(__xludf.DUMMYFUNCTION("IFNA(XLOOKUP(""*""&amp;TRIM(REGEXREPLACE($D420, ""(?i)^(PT|CV)\.?\s+"", """"))&amp;""*"", 'DATA TARGET'!$C$2:$C998, 'DATA TARGET'!$D$2:$D998, ""Tidak Ditemukan"", 2), ""Tidak Ditemukan"")"),1622.17)</f>
        <v>1622.17</v>
      </c>
      <c r="H420" s="17">
        <f t="shared" si="1"/>
        <v>306.07</v>
      </c>
      <c r="I420" s="8"/>
    </row>
    <row r="421">
      <c r="A421" s="10" t="s">
        <v>1069</v>
      </c>
      <c r="B421" s="10" t="s">
        <v>1315</v>
      </c>
      <c r="C421" s="10" t="s">
        <v>1509</v>
      </c>
      <c r="D421" s="12" t="s">
        <v>1509</v>
      </c>
      <c r="E421" s="13" t="s">
        <v>1510</v>
      </c>
      <c r="F421" s="15" t="str">
        <f>IFERROR(__xludf.DUMMYFUNCTION("XLOOKUP($D421,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1" s="15">
        <f>IFERROR(__xludf.DUMMYFUNCTION("IFNA(XLOOKUP(""*""&amp;TRIM(REGEXREPLACE($D421, ""(?i)^(PT|CV)\.?\s+"", """"))&amp;""*"", 'DATA TARGET'!$C$2:$C998, 'DATA TARGET'!$D$2:$D998, ""Tidak Ditemukan"", 2), ""Tidak Ditemukan"")"),1754.05)</f>
        <v>1754.05</v>
      </c>
      <c r="H421" s="17">
        <f t="shared" si="1"/>
        <v>1754.05</v>
      </c>
      <c r="I421" s="8"/>
    </row>
    <row r="422">
      <c r="A422" s="10" t="s">
        <v>1069</v>
      </c>
      <c r="B422" s="10" t="s">
        <v>1315</v>
      </c>
      <c r="C422" s="10" t="s">
        <v>1513</v>
      </c>
      <c r="D422" s="12" t="s">
        <v>1513</v>
      </c>
      <c r="E422" s="13" t="s">
        <v>1514</v>
      </c>
      <c r="F422" s="15" t="str">
        <f>IFERROR(__xludf.DUMMYFUNCTION("XLOOKUP($D422,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2" s="15" t="str">
        <f>IFERROR(__xludf.DUMMYFUNCTION("IFNA(XLOOKUP(""*""&amp;TRIM(REGEXREPLACE($D422, ""(?i)^(PT|CV)\.?\s+"", """"))&amp;""*"", 'DATA TARGET'!$C$2:$C998, 'DATA TARGET'!$D$2:$D998, ""Tidak Ditemukan"", 2), ""Tidak Ditemukan"")"),"Tidak Ditemukan")</f>
        <v>Tidak Ditemukan</v>
      </c>
      <c r="H422" s="17" t="str">
        <f t="shared" si="1"/>
        <v>Tidak Ditemukan</v>
      </c>
      <c r="I422" s="8"/>
    </row>
    <row r="423">
      <c r="A423" s="10" t="s">
        <v>1069</v>
      </c>
      <c r="B423" s="10" t="s">
        <v>1315</v>
      </c>
      <c r="C423" s="10" t="s">
        <v>1517</v>
      </c>
      <c r="D423" s="12" t="s">
        <v>1517</v>
      </c>
      <c r="E423" s="13" t="s">
        <v>1519</v>
      </c>
      <c r="F423" s="15" t="str">
        <f>IFERROR(__xludf.DUMMYFUNCTION("XLOOKUP($D423,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3" s="15" t="str">
        <f>IFERROR(__xludf.DUMMYFUNCTION("IFNA(XLOOKUP(""*""&amp;TRIM(REGEXREPLACE($D423, ""(?i)^(PT|CV)\.?\s+"", """"))&amp;""*"", 'DATA TARGET'!$C$2:$C998, 'DATA TARGET'!$D$2:$D998, ""Tidak Ditemukan"", 2), ""Tidak Ditemukan"")"),"Tidak Ditemukan")</f>
        <v>Tidak Ditemukan</v>
      </c>
      <c r="H423" s="17" t="str">
        <f t="shared" si="1"/>
        <v>Tidak Ditemukan</v>
      </c>
      <c r="I423" s="8"/>
    </row>
    <row r="424">
      <c r="A424" s="10" t="s">
        <v>1069</v>
      </c>
      <c r="B424" s="10" t="s">
        <v>1315</v>
      </c>
      <c r="C424" s="10" t="s">
        <v>1521</v>
      </c>
      <c r="D424" s="12" t="s">
        <v>1522</v>
      </c>
      <c r="E424" s="13" t="s">
        <v>1524</v>
      </c>
      <c r="F424" s="15">
        <f>IFERROR(__xludf.DUMMYFUNCTION("XLOOKUP($D424,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(AUTO)'!R6:R""))"),36.57)</f>
        <v>36.57</v>
      </c>
      <c r="G424" s="15">
        <f>IFERROR(__xludf.DUMMYFUNCTION("IFNA(XLOOKUP(""*""&amp;TRIM(REGEXREPLACE($D424, ""(?i)^(PT|CV)\.?\s+"", """"))&amp;""*"", 'DATA TARGET'!$C$2:$C998, 'DATA TARGET'!$D$2:$D998, ""Tidak Ditemukan"", 2), ""Tidak Ditemukan"")"),36.57)</f>
        <v>36.57</v>
      </c>
      <c r="H424" s="17">
        <f t="shared" si="1"/>
        <v>36.57</v>
      </c>
      <c r="I424" s="8"/>
    </row>
    <row r="425">
      <c r="A425" s="10" t="s">
        <v>1069</v>
      </c>
      <c r="B425" s="10" t="s">
        <v>1315</v>
      </c>
      <c r="C425" s="10" t="s">
        <v>1526</v>
      </c>
      <c r="D425" s="12" t="s">
        <v>1526</v>
      </c>
      <c r="E425" s="13" t="s">
        <v>1527</v>
      </c>
      <c r="F425" s="15">
        <f>IFERROR(__xludf.DUMMYFUNCTION("XLOOKUP($D425,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(AUTO)'!R6:R""))"),187.0)</f>
        <v>187</v>
      </c>
      <c r="G425" s="15">
        <f>IFERROR(__xludf.DUMMYFUNCTION("IFNA(XLOOKUP(""*""&amp;TRIM(REGEXREPLACE($D425, ""(?i)^(PT|CV)\.?\s+"", """"))&amp;""*"", 'DATA TARGET'!$C$2:$C998, 'DATA TARGET'!$D$2:$D998, ""Tidak Ditemukan"", 2), ""Tidak Ditemukan"")"),375.64)</f>
        <v>375.64</v>
      </c>
      <c r="H425" s="17">
        <f t="shared" si="1"/>
        <v>187</v>
      </c>
      <c r="I425" s="8"/>
    </row>
    <row r="426">
      <c r="A426" s="10" t="s">
        <v>1069</v>
      </c>
      <c r="B426" s="10" t="s">
        <v>1315</v>
      </c>
      <c r="C426" s="10" t="s">
        <v>1530</v>
      </c>
      <c r="D426" s="12" t="s">
        <v>1530</v>
      </c>
      <c r="E426" s="13" t="s">
        <v>1531</v>
      </c>
      <c r="F426" s="15" t="str">
        <f>IFERROR(__xludf.DUMMYFUNCTION("XLOOKUP($D426,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6" s="15" t="str">
        <f>IFERROR(__xludf.DUMMYFUNCTION("IFNA(XLOOKUP(""*""&amp;TRIM(REGEXREPLACE($D426, ""(?i)^(PT|CV)\.?\s+"", """"))&amp;""*"", 'DATA TARGET'!$C$2:$C998, 'DATA TARGET'!$D$2:$D998, ""Tidak Ditemukan"", 2), ""Tidak Ditemukan"")"),"Tidak Ditemukan")</f>
        <v>Tidak Ditemukan</v>
      </c>
      <c r="H426" s="17" t="str">
        <f t="shared" si="1"/>
        <v>Tidak Ditemukan</v>
      </c>
      <c r="I426" s="8"/>
    </row>
    <row r="427">
      <c r="A427" s="10" t="s">
        <v>1069</v>
      </c>
      <c r="B427" s="10" t="s">
        <v>1315</v>
      </c>
      <c r="C427" s="10" t="s">
        <v>1533</v>
      </c>
      <c r="D427" s="12" t="s">
        <v>1533</v>
      </c>
      <c r="E427" s="13" t="s">
        <v>1534</v>
      </c>
      <c r="F427" s="15" t="str">
        <f>IFERROR(__xludf.DUMMYFUNCTION("XLOOKUP($D427,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7" s="15" t="str">
        <f>IFERROR(__xludf.DUMMYFUNCTION("IFNA(XLOOKUP(""*""&amp;TRIM(REGEXREPLACE($D427, ""(?i)^(PT|CV)\.?\s+"", """"))&amp;""*"", 'DATA TARGET'!$C$2:$C998, 'DATA TARGET'!$D$2:$D998, ""Tidak Ditemukan"", 2), ""Tidak Ditemukan"")"),"Tidak Ditemukan")</f>
        <v>Tidak Ditemukan</v>
      </c>
      <c r="H427" s="17" t="str">
        <f t="shared" si="1"/>
        <v>Tidak Ditemukan</v>
      </c>
      <c r="I427" s="8"/>
    </row>
    <row r="428">
      <c r="A428" s="10" t="s">
        <v>1069</v>
      </c>
      <c r="B428" s="10" t="s">
        <v>1315</v>
      </c>
      <c r="C428" s="10" t="s">
        <v>1536</v>
      </c>
      <c r="D428" s="12" t="s">
        <v>1536</v>
      </c>
      <c r="E428" s="13" t="s">
        <v>1537</v>
      </c>
      <c r="F428" s="15">
        <f>IFERROR(__xludf.DUMMYFUNCTION("XLOOKUP($D428,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(AUTO)'!R6:R""))"),658.81)</f>
        <v>658.81</v>
      </c>
      <c r="G428" s="15">
        <f>IFERROR(__xludf.DUMMYFUNCTION("IFNA(XLOOKUP(""*""&amp;TRIM(REGEXREPLACE($D428, ""(?i)^(PT|CV)\.?\s+"", """"))&amp;""*"", 'DATA TARGET'!$C$2:$C998, 'DATA TARGET'!$D$2:$D998, ""Tidak Ditemukan"", 2), ""Tidak Ditemukan"")"),1162.9)</f>
        <v>1162.9</v>
      </c>
      <c r="H428" s="17">
        <f t="shared" si="1"/>
        <v>658.81</v>
      </c>
      <c r="I428" s="8"/>
    </row>
    <row r="429">
      <c r="A429" s="10" t="s">
        <v>1069</v>
      </c>
      <c r="B429" s="10" t="s">
        <v>1315</v>
      </c>
      <c r="C429" s="10" t="s">
        <v>1538</v>
      </c>
      <c r="D429" s="12" t="s">
        <v>1538</v>
      </c>
      <c r="E429" s="13" t="s">
        <v>1539</v>
      </c>
      <c r="F429" s="15" t="str">
        <f>IFERROR(__xludf.DUMMYFUNCTION("XLOOKUP($D429,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29" s="15">
        <f>IFERROR(__xludf.DUMMYFUNCTION("IFNA(XLOOKUP(""*""&amp;TRIM(REGEXREPLACE($D429, ""(?i)^(PT|CV)\.?\s+"", """"))&amp;""*"", 'DATA TARGET'!$C$2:$C998, 'DATA TARGET'!$D$2:$D998, ""Tidak Ditemukan"", 2), ""Tidak Ditemukan"")"),97.52)</f>
        <v>97.52</v>
      </c>
      <c r="H429" s="17">
        <f t="shared" si="1"/>
        <v>97.52</v>
      </c>
      <c r="I429" s="8"/>
    </row>
    <row r="430">
      <c r="A430" s="10" t="s">
        <v>1069</v>
      </c>
      <c r="B430" s="10" t="s">
        <v>1315</v>
      </c>
      <c r="C430" s="10" t="s">
        <v>1541</v>
      </c>
      <c r="D430" s="12" t="s">
        <v>1541</v>
      </c>
      <c r="E430" s="13" t="s">
        <v>1542</v>
      </c>
      <c r="F430" s="15" t="str">
        <f>IFERROR(__xludf.DUMMYFUNCTION("XLOOKUP($D430,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30" s="15">
        <f>IFERROR(__xludf.DUMMYFUNCTION("IFNA(XLOOKUP(""*""&amp;TRIM(REGEXREPLACE($D430, ""(?i)^(PT|CV)\.?\s+"", """"))&amp;""*"", 'DATA TARGET'!$C$2:$C998, 'DATA TARGET'!$D$2:$D998, ""Tidak Ditemukan"", 2), ""Tidak Ditemukan"")"),87.83)</f>
        <v>87.83</v>
      </c>
      <c r="H430" s="17">
        <f t="shared" si="1"/>
        <v>87.83</v>
      </c>
      <c r="I430" s="8"/>
    </row>
    <row r="431">
      <c r="A431" s="10" t="s">
        <v>1069</v>
      </c>
      <c r="B431" s="10" t="s">
        <v>1315</v>
      </c>
      <c r="C431" s="10" t="s">
        <v>1545</v>
      </c>
      <c r="D431" s="12" t="s">
        <v>1545</v>
      </c>
      <c r="E431" s="13" t="s">
        <v>1546</v>
      </c>
      <c r="F431" s="15" t="str">
        <f>IFERROR(__xludf.DUMMYFUNCTION("XLOOKUP($D431,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31" s="15" t="str">
        <f>IFERROR(__xludf.DUMMYFUNCTION("IFNA(XLOOKUP(""*""&amp;TRIM(REGEXREPLACE($D431, ""(?i)^(PT|CV)\.?\s+"", """"))&amp;""*"", 'DATA TARGET'!$C$2:$C998, 'DATA TARGET'!$D$2:$D998, ""Tidak Ditemukan"", 2), ""Tidak Ditemukan"")"),"Tidak Ditemukan")</f>
        <v>Tidak Ditemukan</v>
      </c>
      <c r="H431" s="17" t="str">
        <f t="shared" si="1"/>
        <v>Tidak Ditemukan</v>
      </c>
      <c r="I431" s="8"/>
    </row>
    <row r="432">
      <c r="A432" s="10" t="s">
        <v>1069</v>
      </c>
      <c r="B432" s="10" t="s">
        <v>1315</v>
      </c>
      <c r="C432" s="10" t="s">
        <v>1549</v>
      </c>
      <c r="D432" s="12" t="s">
        <v>1549</v>
      </c>
      <c r="E432" s="13" t="s">
        <v>1551</v>
      </c>
      <c r="F432" s="15" t="str">
        <f>IFERROR(__xludf.DUMMYFUNCTION("XLOOKUP($D432,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32" s="15">
        <f>IFERROR(__xludf.DUMMYFUNCTION("IFNA(XLOOKUP(""*""&amp;TRIM(REGEXREPLACE($D432, ""(?i)^(PT|CV)\.?\s+"", """"))&amp;""*"", 'DATA TARGET'!$C$2:$C998, 'DATA TARGET'!$D$2:$D998, ""Tidak Ditemukan"", 2), ""Tidak Ditemukan"")"),114.47)</f>
        <v>114.47</v>
      </c>
      <c r="H432" s="17">
        <f t="shared" si="1"/>
        <v>114.47</v>
      </c>
      <c r="I432" s="8"/>
    </row>
    <row r="433">
      <c r="A433" s="10" t="s">
        <v>1069</v>
      </c>
      <c r="B433" s="10" t="s">
        <v>1315</v>
      </c>
      <c r="C433" s="10" t="s">
        <v>1554</v>
      </c>
      <c r="D433" s="12" t="s">
        <v>1555</v>
      </c>
      <c r="E433" s="13" t="s">
        <v>1557</v>
      </c>
      <c r="F433" s="15" t="str">
        <f>IFERROR(__xludf.DUMMYFUNCTION("XLOOKUP($D433,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33" s="15">
        <f>IFERROR(__xludf.DUMMYFUNCTION("IFNA(XLOOKUP(""*""&amp;TRIM(REGEXREPLACE($D433, ""(?i)^(PT|CV)\.?\s+"", """"))&amp;""*"", 'DATA TARGET'!$C$2:$C998, 'DATA TARGET'!$D$2:$D998, ""Tidak Ditemukan"", 2), ""Tidak Ditemukan"")"),5.56)</f>
        <v>5.56</v>
      </c>
      <c r="H433" s="17">
        <f t="shared" si="1"/>
        <v>5.56</v>
      </c>
      <c r="I433" s="8"/>
    </row>
    <row r="434">
      <c r="A434" s="10" t="s">
        <v>1069</v>
      </c>
      <c r="B434" s="10" t="s">
        <v>1315</v>
      </c>
      <c r="C434" s="10" t="s">
        <v>1560</v>
      </c>
      <c r="D434" s="12" t="s">
        <v>1561</v>
      </c>
      <c r="E434" s="13" t="s">
        <v>1562</v>
      </c>
      <c r="F434" s="15">
        <f>IFERROR(__xludf.DUMMYFUNCTION("XLOOKUP($D434,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(AUTO)'!R6:R""))"),180.0)</f>
        <v>180</v>
      </c>
      <c r="G434" s="15">
        <f>IFERROR(__xludf.DUMMYFUNCTION("IFNA(XLOOKUP(""*""&amp;TRIM(REGEXREPLACE($D434, ""(?i)^(PT|CV)\.?\s+"", """"))&amp;""*"", 'DATA TARGET'!$C$2:$C998, 'DATA TARGET'!$D$2:$D998, ""Tidak Ditemukan"", 2), ""Tidak Ditemukan"")"),180.0)</f>
        <v>180</v>
      </c>
      <c r="H434" s="17">
        <f t="shared" si="1"/>
        <v>180</v>
      </c>
      <c r="I434" s="8"/>
    </row>
    <row r="435">
      <c r="A435" s="10" t="s">
        <v>1069</v>
      </c>
      <c r="B435" s="10" t="s">
        <v>1315</v>
      </c>
      <c r="C435" s="10" t="s">
        <v>1566</v>
      </c>
      <c r="D435" s="12" t="s">
        <v>1566</v>
      </c>
      <c r="E435" s="13" t="s">
        <v>1567</v>
      </c>
      <c r="F435" s="15">
        <f>IFERROR(__xludf.DUMMYFUNCTION("XLOOKUP($D435,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(AUTO)'!R6:R""))"),91.66)</f>
        <v>91.66</v>
      </c>
      <c r="G435" s="15">
        <f>IFERROR(__xludf.DUMMYFUNCTION("IFNA(XLOOKUP(""*""&amp;TRIM(REGEXREPLACE($D435, ""(?i)^(PT|CV)\.?\s+"", """"))&amp;""*"", 'DATA TARGET'!$C$2:$C998, 'DATA TARGET'!$D$2:$D998, ""Tidak Ditemukan"", 2), ""Tidak Ditemukan"")"),91.66)</f>
        <v>91.66</v>
      </c>
      <c r="H435" s="17">
        <f t="shared" si="1"/>
        <v>91.66</v>
      </c>
      <c r="I435" s="8"/>
    </row>
    <row r="436">
      <c r="A436" s="10" t="s">
        <v>1069</v>
      </c>
      <c r="B436" s="10" t="s">
        <v>1315</v>
      </c>
      <c r="C436" s="10" t="s">
        <v>1571</v>
      </c>
      <c r="D436" s="12" t="s">
        <v>1571</v>
      </c>
      <c r="E436" s="13" t="s">
        <v>1572</v>
      </c>
      <c r="F436" s="15" t="str">
        <f>IFERROR(__xludf.DUMMYFUNCTION("XLOOKUP($D436,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436" s="15">
        <f>IFERROR(__xludf.DUMMYFUNCTION("IFNA(XLOOKUP(""*""&amp;TRIM(REGEXREPLACE($D436, ""(?i)^(PT|CV)\.?\s+"", """"))&amp;""*"", 'DATA TARGET'!$C$2:$C998, 'DATA TARGET'!$D$2:$D998, ""Tidak Ditemukan"", 2), ""Tidak Ditemukan"")"),190.0)</f>
        <v>190</v>
      </c>
      <c r="H436" s="17">
        <f t="shared" si="1"/>
        <v>190</v>
      </c>
      <c r="I436" s="8"/>
    </row>
    <row r="437">
      <c r="A437" s="10" t="s">
        <v>1575</v>
      </c>
      <c r="B437" s="10" t="s">
        <v>1576</v>
      </c>
      <c r="C437" s="10" t="s">
        <v>1577</v>
      </c>
      <c r="D437" s="12" t="s">
        <v>1577</v>
      </c>
      <c r="E437" s="13" t="s">
        <v>1578</v>
      </c>
      <c r="F437" s="15">
        <f>IFERROR(__xludf.DUMMYFUNCTION("XLOOKUP($D437,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(AUTO)'!R6:R""))"),371.0)</f>
        <v>371</v>
      </c>
      <c r="G437" s="15" t="str">
        <f>IFERROR(__xludf.DUMMYFUNCTION("IFNA(XLOOKUP(""*""&amp;TRIM(REGEXREPLACE($D437, ""(?i)^(PT|CV)\.?\s+"", """"))&amp;""*"", 'DATA TARGET'!$C$2:$C998, 'DATA TARGET'!$D$2:$D998, ""Tidak Ditemukan"", 2), ""Tidak Ditemukan"")"),"Tidak Ditemukan")</f>
        <v>Tidak Ditemukan</v>
      </c>
      <c r="H437" s="17">
        <f t="shared" si="1"/>
        <v>371</v>
      </c>
      <c r="I437" s="8"/>
    </row>
    <row r="438">
      <c r="A438" s="10" t="s">
        <v>1575</v>
      </c>
      <c r="B438" s="10" t="s">
        <v>1576</v>
      </c>
      <c r="C438" s="10" t="s">
        <v>1581</v>
      </c>
      <c r="D438" s="12" t="s">
        <v>1581</v>
      </c>
      <c r="E438" s="13" t="s">
        <v>1582</v>
      </c>
      <c r="F438" s="15">
        <f>IFERROR(__xludf.DUMMYFUNCTION("XLOOKUP($D438,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(AUTO)'!R6:R""))"),395.74)</f>
        <v>395.74</v>
      </c>
      <c r="G438" s="15">
        <f>IFERROR(__xludf.DUMMYFUNCTION("IFNA(XLOOKUP(""*""&amp;TRIM(REGEXREPLACE($D438, ""(?i)^(PT|CV)\.?\s+"", """"))&amp;""*"", 'DATA TARGET'!$C$2:$C998, 'DATA TARGET'!$D$2:$D998, ""Tidak Ditemukan"", 2), ""Tidak Ditemukan"")"),395.74)</f>
        <v>395.74</v>
      </c>
      <c r="H438" s="17">
        <f t="shared" si="1"/>
        <v>395.74</v>
      </c>
      <c r="I438" s="8"/>
    </row>
    <row r="439">
      <c r="A439" s="10" t="s">
        <v>1575</v>
      </c>
      <c r="B439" s="10" t="s">
        <v>1576</v>
      </c>
      <c r="C439" s="10" t="s">
        <v>1585</v>
      </c>
      <c r="D439" s="12" t="s">
        <v>1585</v>
      </c>
      <c r="E439" s="13" t="s">
        <v>1586</v>
      </c>
      <c r="F439" s="15">
        <f>IFERROR(__xludf.DUMMYFUNCTION("XLOOKUP($D439,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(AUTO)'!R6:R""))"),275.43)</f>
        <v>275.43</v>
      </c>
      <c r="G439" s="15" t="str">
        <f>IFERROR(__xludf.DUMMYFUNCTION("IFNA(XLOOKUP(""*""&amp;TRIM(REGEXREPLACE($D439, ""(?i)^(PT|CV)\.?\s+"", """"))&amp;""*"", 'DATA TARGET'!$C$2:$C998, 'DATA TARGET'!$D$2:$D998, ""Tidak Ditemukan"", 2), ""Tidak Ditemukan"")"),"Tidak Ditemukan")</f>
        <v>Tidak Ditemukan</v>
      </c>
      <c r="H439" s="17">
        <f t="shared" si="1"/>
        <v>275.43</v>
      </c>
      <c r="I439" s="8"/>
    </row>
    <row r="440">
      <c r="A440" s="10" t="s">
        <v>1575</v>
      </c>
      <c r="B440" s="10" t="s">
        <v>1576</v>
      </c>
      <c r="C440" s="10" t="s">
        <v>1589</v>
      </c>
      <c r="D440" s="12" t="s">
        <v>1589</v>
      </c>
      <c r="E440" s="13" t="s">
        <v>1590</v>
      </c>
      <c r="F440" s="15">
        <f>IFERROR(__xludf.DUMMYFUNCTION("XLOOKUP($D440,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(AUTO)'!R6:R""))"),35.89)</f>
        <v>35.89</v>
      </c>
      <c r="G440" s="15">
        <f>IFERROR(__xludf.DUMMYFUNCTION("IFNA(XLOOKUP(""*""&amp;TRIM(REGEXREPLACE($D440, ""(?i)^(PT|CV)\.?\s+"", """"))&amp;""*"", 'DATA TARGET'!$C$2:$C998, 'DATA TARGET'!$D$2:$D998, ""Tidak Ditemukan"", 2), ""Tidak Ditemukan"")"),35.89)</f>
        <v>35.89</v>
      </c>
      <c r="H440" s="17">
        <f t="shared" si="1"/>
        <v>35.89</v>
      </c>
      <c r="I440" s="8"/>
    </row>
    <row r="441">
      <c r="A441" s="10" t="s">
        <v>1575</v>
      </c>
      <c r="B441" s="10" t="s">
        <v>1576</v>
      </c>
      <c r="C441" s="10" t="s">
        <v>1593</v>
      </c>
      <c r="D441" s="12" t="s">
        <v>1593</v>
      </c>
      <c r="E441" s="13" t="s">
        <v>1594</v>
      </c>
      <c r="F441" s="15">
        <f>IFERROR(__xludf.DUMMYFUNCTION("XLOOKUP($D441,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(AUTO)'!R6:R""))"),284.77)</f>
        <v>284.77</v>
      </c>
      <c r="G441" s="15">
        <f>IFERROR(__xludf.DUMMYFUNCTION("IFNA(XLOOKUP(""*""&amp;TRIM(REGEXREPLACE($D441, ""(?i)^(PT|CV)\.?\s+"", """"))&amp;""*"", 'DATA TARGET'!$C$2:$C998, 'DATA TARGET'!$D$2:$D998, ""Tidak Ditemukan"", 2), ""Tidak Ditemukan"")"),284.77)</f>
        <v>284.77</v>
      </c>
      <c r="H441" s="17">
        <f t="shared" si="1"/>
        <v>284.77</v>
      </c>
      <c r="I441" s="8"/>
    </row>
    <row r="442">
      <c r="A442" s="10" t="s">
        <v>1575</v>
      </c>
      <c r="B442" s="10" t="s">
        <v>1576</v>
      </c>
      <c r="C442" s="10" t="s">
        <v>1596</v>
      </c>
      <c r="D442" s="12" t="s">
        <v>1596</v>
      </c>
      <c r="E442" s="13" t="s">
        <v>1598</v>
      </c>
      <c r="F442" s="15">
        <f>IFERROR(__xludf.DUMMYFUNCTION("XLOOKUP($D442,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42" s="15">
        <f>IFERROR(__xludf.DUMMYFUNCTION("IFNA(XLOOKUP(""*""&amp;TRIM(REGEXREPLACE($D442, ""(?i)^(PT|CV)\.?\s+"", """"))&amp;""*"", 'DATA TARGET'!$C$2:$C998, 'DATA TARGET'!$D$2:$D998, ""Tidak Ditemukan"", 2), ""Tidak Ditemukan"")"),0.0)</f>
        <v>0</v>
      </c>
      <c r="H442" s="17">
        <f t="shared" si="1"/>
        <v>0</v>
      </c>
      <c r="I442" s="8"/>
    </row>
    <row r="443">
      <c r="A443" s="10" t="s">
        <v>1575</v>
      </c>
      <c r="B443" s="10" t="s">
        <v>1576</v>
      </c>
      <c r="C443" s="10" t="s">
        <v>1600</v>
      </c>
      <c r="D443" s="12" t="s">
        <v>1600</v>
      </c>
      <c r="E443" s="13" t="s">
        <v>1601</v>
      </c>
      <c r="F443" s="15">
        <f>IFERROR(__xludf.DUMMYFUNCTION("XLOOKUP($D443,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(AUTO)'!R6:R""))"),3409.23)</f>
        <v>3409.23</v>
      </c>
      <c r="G443" s="15">
        <f>IFERROR(__xludf.DUMMYFUNCTION("IFNA(XLOOKUP(""*""&amp;TRIM(REGEXREPLACE($D443, ""(?i)^(PT|CV)\.?\s+"", """"))&amp;""*"", 'DATA TARGET'!$C$2:$C998, 'DATA TARGET'!$D$2:$D998, ""Tidak Ditemukan"", 2), ""Tidak Ditemukan"")"),3409.23)</f>
        <v>3409.23</v>
      </c>
      <c r="H443" s="17">
        <f t="shared" si="1"/>
        <v>3409.23</v>
      </c>
      <c r="I443" s="8"/>
    </row>
    <row r="444">
      <c r="A444" s="10" t="s">
        <v>1575</v>
      </c>
      <c r="B444" s="10" t="s">
        <v>1604</v>
      </c>
      <c r="C444" s="10" t="s">
        <v>1605</v>
      </c>
      <c r="D444" s="12" t="s">
        <v>1605</v>
      </c>
      <c r="E444" s="13" t="s">
        <v>1607</v>
      </c>
      <c r="F444" s="15" t="str">
        <f>IFERROR(__xludf.DUMMYFUNCTION("XLOOKUP($D444,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444" s="15">
        <f>IFERROR(__xludf.DUMMYFUNCTION("IFNA(XLOOKUP(""*""&amp;TRIM(REGEXREPLACE($D444, ""(?i)^(PT|CV)\.?\s+"", """"))&amp;""*"", 'DATA TARGET'!$C$2:$C998, 'DATA TARGET'!$D$2:$D998, ""Tidak Ditemukan"", 2), ""Tidak Ditemukan"")"),0.0)</f>
        <v>0</v>
      </c>
      <c r="H444" s="17">
        <f t="shared" si="1"/>
        <v>0</v>
      </c>
      <c r="I444" s="8"/>
    </row>
    <row r="445">
      <c r="A445" s="10" t="s">
        <v>1575</v>
      </c>
      <c r="B445" s="10" t="s">
        <v>1604</v>
      </c>
      <c r="C445" s="10" t="s">
        <v>1610</v>
      </c>
      <c r="D445" s="12" t="s">
        <v>1610</v>
      </c>
      <c r="E445" s="13" t="s">
        <v>1611</v>
      </c>
      <c r="F445" s="15">
        <f>IFERROR(__xludf.DUMMYFUNCTION("XLOOKUP($D445,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(AUTO)'!R6:R""))"),221.0)</f>
        <v>221</v>
      </c>
      <c r="G445" s="15">
        <f>IFERROR(__xludf.DUMMYFUNCTION("IFNA(XLOOKUP(""*""&amp;TRIM(REGEXREPLACE($D445, ""(?i)^(PT|CV)\.?\s+"", """"))&amp;""*"", 'DATA TARGET'!$C$2:$C998, 'DATA TARGET'!$D$2:$D998, ""Tidak Ditemukan"", 2), ""Tidak Ditemukan"")"),221.0)</f>
        <v>221</v>
      </c>
      <c r="H445" s="17">
        <f t="shared" si="1"/>
        <v>221</v>
      </c>
      <c r="I445" s="8"/>
    </row>
    <row r="446">
      <c r="A446" s="10" t="s">
        <v>1575</v>
      </c>
      <c r="B446" s="10" t="s">
        <v>1604</v>
      </c>
      <c r="C446" s="10" t="s">
        <v>1613</v>
      </c>
      <c r="D446" s="12" t="s">
        <v>1613</v>
      </c>
      <c r="E446" s="13" t="s">
        <v>1614</v>
      </c>
      <c r="F446" s="15" t="str">
        <f>IFERROR(__xludf.DUMMYFUNCTION("XLOOKUP($D446,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446" s="15">
        <f>IFERROR(__xludf.DUMMYFUNCTION("IFNA(XLOOKUP(""*""&amp;TRIM(REGEXREPLACE($D446, ""(?i)^(PT|CV)\.?\s+"", """"))&amp;""*"", 'DATA TARGET'!$C$2:$C998, 'DATA TARGET'!$D$2:$D998, ""Tidak Ditemukan"", 2), ""Tidak Ditemukan"")"),0.0)</f>
        <v>0</v>
      </c>
      <c r="H446" s="17">
        <f t="shared" si="1"/>
        <v>0</v>
      </c>
      <c r="I446" s="8"/>
    </row>
    <row r="447">
      <c r="A447" s="10" t="s">
        <v>1575</v>
      </c>
      <c r="B447" s="10" t="s">
        <v>1604</v>
      </c>
      <c r="C447" s="10" t="s">
        <v>1616</v>
      </c>
      <c r="D447" s="12" t="s">
        <v>1616</v>
      </c>
      <c r="E447" s="13" t="s">
        <v>1618</v>
      </c>
      <c r="F447" s="15" t="str">
        <f>IFERROR(__xludf.DUMMYFUNCTION("XLOOKUP($D447,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447" s="15">
        <f>IFERROR(__xludf.DUMMYFUNCTION("IFNA(XLOOKUP(""*""&amp;TRIM(REGEXREPLACE($D447, ""(?i)^(PT|CV)\.?\s+"", """"))&amp;""*"", 'DATA TARGET'!$C$2:$C998, 'DATA TARGET'!$D$2:$D998, ""Tidak Ditemukan"", 2), ""Tidak Ditemukan"")"),0.0)</f>
        <v>0</v>
      </c>
      <c r="H447" s="17">
        <f t="shared" si="1"/>
        <v>0</v>
      </c>
      <c r="I447" s="8"/>
    </row>
    <row r="448">
      <c r="A448" s="10" t="s">
        <v>1575</v>
      </c>
      <c r="B448" s="10" t="s">
        <v>1604</v>
      </c>
      <c r="C448" s="10" t="s">
        <v>1621</v>
      </c>
      <c r="D448" s="12" t="s">
        <v>1621</v>
      </c>
      <c r="E448" s="13" t="s">
        <v>1622</v>
      </c>
      <c r="F448" s="15">
        <f>IFERROR(__xludf.DUMMYFUNCTION("XLOOKUP($D448,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(AUTO)'!R6:R""))"),441.38)</f>
        <v>441.38</v>
      </c>
      <c r="G448" s="15">
        <f>IFERROR(__xludf.DUMMYFUNCTION("IFNA(XLOOKUP(""*""&amp;TRIM(REGEXREPLACE($D448, ""(?i)^(PT|CV)\.?\s+"", """"))&amp;""*"", 'DATA TARGET'!$C$2:$C998, 'DATA TARGET'!$D$2:$D998, ""Tidak Ditemukan"", 2), ""Tidak Ditemukan"")"),441.38)</f>
        <v>441.38</v>
      </c>
      <c r="H448" s="17">
        <f t="shared" si="1"/>
        <v>441.38</v>
      </c>
      <c r="I448" s="8"/>
    </row>
    <row r="449">
      <c r="A449" s="10" t="s">
        <v>1575</v>
      </c>
      <c r="B449" s="10" t="s">
        <v>1604</v>
      </c>
      <c r="C449" s="10" t="s">
        <v>1625</v>
      </c>
      <c r="D449" s="12" t="s">
        <v>1625</v>
      </c>
      <c r="E449" s="13" t="s">
        <v>1627</v>
      </c>
      <c r="F449" s="15">
        <f>IFERROR(__xludf.DUMMYFUNCTION("XLOOKUP($D449,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(AUTO)'!R6:R""))"),129.81)</f>
        <v>129.81</v>
      </c>
      <c r="G449" s="15">
        <f>IFERROR(__xludf.DUMMYFUNCTION("IFNA(XLOOKUP(""*""&amp;TRIM(REGEXREPLACE($D449, ""(?i)^(PT|CV)\.?\s+"", """"))&amp;""*"", 'DATA TARGET'!$C$2:$C998, 'DATA TARGET'!$D$2:$D998, ""Tidak Ditemukan"", 2), ""Tidak Ditemukan"")"),129.81)</f>
        <v>129.81</v>
      </c>
      <c r="H449" s="17">
        <f t="shared" si="1"/>
        <v>129.81</v>
      </c>
      <c r="I449" s="8"/>
    </row>
    <row r="450">
      <c r="A450" s="10" t="s">
        <v>1575</v>
      </c>
      <c r="B450" s="10" t="s">
        <v>1604</v>
      </c>
      <c r="C450" s="10" t="s">
        <v>1630</v>
      </c>
      <c r="D450" s="12" t="s">
        <v>1630</v>
      </c>
      <c r="E450" s="13" t="s">
        <v>1631</v>
      </c>
      <c r="F450" s="15">
        <f>IFERROR(__xludf.DUMMYFUNCTION("XLOOKUP($D450,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(AUTO)'!R6:R""))"),1009.79)</f>
        <v>1009.79</v>
      </c>
      <c r="G450" s="15">
        <f>IFERROR(__xludf.DUMMYFUNCTION("IFNA(XLOOKUP(""*""&amp;TRIM(REGEXREPLACE($D450, ""(?i)^(PT|CV)\.?\s+"", """"))&amp;""*"", 'DATA TARGET'!$C$2:$C998, 'DATA TARGET'!$D$2:$D998, ""Tidak Ditemukan"", 2), ""Tidak Ditemukan"")"),1009.79)</f>
        <v>1009.79</v>
      </c>
      <c r="H450" s="17">
        <f t="shared" si="1"/>
        <v>1009.79</v>
      </c>
      <c r="I450" s="8"/>
    </row>
    <row r="451">
      <c r="A451" s="10" t="s">
        <v>1575</v>
      </c>
      <c r="B451" s="10" t="s">
        <v>1604</v>
      </c>
      <c r="C451" s="10" t="s">
        <v>1636</v>
      </c>
      <c r="D451" s="12" t="s">
        <v>1636</v>
      </c>
      <c r="E451" s="13" t="s">
        <v>1638</v>
      </c>
      <c r="F451" s="15">
        <f>IFERROR(__xludf.DUMMYFUNCTION("XLOOKUP($D451,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(AUTO)'!R6:R""))"),13.21)</f>
        <v>13.21</v>
      </c>
      <c r="G451" s="15">
        <f>IFERROR(__xludf.DUMMYFUNCTION("IFNA(XLOOKUP(""*""&amp;TRIM(REGEXREPLACE($D451, ""(?i)^(PT|CV)\.?\s+"", """"))&amp;""*"", 'DATA TARGET'!$C$2:$C998, 'DATA TARGET'!$D$2:$D998, ""Tidak Ditemukan"", 2), ""Tidak Ditemukan"")"),8.0)</f>
        <v>8</v>
      </c>
      <c r="H451" s="17">
        <f t="shared" si="1"/>
        <v>13.21</v>
      </c>
      <c r="I451" s="8"/>
    </row>
    <row r="452">
      <c r="A452" s="10" t="s">
        <v>1575</v>
      </c>
      <c r="B452" s="10" t="s">
        <v>1604</v>
      </c>
      <c r="C452" s="10" t="s">
        <v>1640</v>
      </c>
      <c r="D452" s="12" t="s">
        <v>1640</v>
      </c>
      <c r="E452" s="13" t="s">
        <v>1641</v>
      </c>
      <c r="F452" s="15">
        <f>IFERROR(__xludf.DUMMYFUNCTION("XLOOKUP($D452,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(AUTO)'!R6:R""))"),585.0)</f>
        <v>585</v>
      </c>
      <c r="G452" s="15">
        <f>IFERROR(__xludf.DUMMYFUNCTION("IFNA(XLOOKUP(""*""&amp;TRIM(REGEXREPLACE($D452, ""(?i)^(PT|CV)\.?\s+"", """"))&amp;""*"", 'DATA TARGET'!$C$2:$C998, 'DATA TARGET'!$D$2:$D998, ""Tidak Ditemukan"", 2), ""Tidak Ditemukan"")"),585.0)</f>
        <v>585</v>
      </c>
      <c r="H452" s="17">
        <f t="shared" si="1"/>
        <v>585</v>
      </c>
      <c r="I452" s="8"/>
    </row>
    <row r="453">
      <c r="A453" s="10" t="s">
        <v>1575</v>
      </c>
      <c r="B453" s="10" t="s">
        <v>1604</v>
      </c>
      <c r="C453" s="10" t="s">
        <v>1644</v>
      </c>
      <c r="D453" s="12" t="s">
        <v>1644</v>
      </c>
      <c r="E453" s="13" t="s">
        <v>1645</v>
      </c>
      <c r="F453" s="15">
        <f>IFERROR(__xludf.DUMMYFUNCTION("XLOOKUP($D453,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(AUTO)'!R6:R""))"),445.04)</f>
        <v>445.04</v>
      </c>
      <c r="G453" s="15">
        <f>IFERROR(__xludf.DUMMYFUNCTION("IFNA(XLOOKUP(""*""&amp;TRIM(REGEXREPLACE($D453, ""(?i)^(PT|CV)\.?\s+"", """"))&amp;""*"", 'DATA TARGET'!$C$2:$C998, 'DATA TARGET'!$D$2:$D998, ""Tidak Ditemukan"", 2), ""Tidak Ditemukan"")"),445.04)</f>
        <v>445.04</v>
      </c>
      <c r="H453" s="17">
        <f t="shared" si="1"/>
        <v>445.04</v>
      </c>
      <c r="I453" s="8"/>
    </row>
    <row r="454">
      <c r="A454" s="10" t="s">
        <v>1575</v>
      </c>
      <c r="B454" s="10" t="s">
        <v>1604</v>
      </c>
      <c r="C454" s="10" t="s">
        <v>1649</v>
      </c>
      <c r="D454" s="12" t="s">
        <v>1649</v>
      </c>
      <c r="E454" s="13" t="s">
        <v>1650</v>
      </c>
      <c r="F454" s="15" t="str">
        <f>IFERROR(__xludf.DUMMYFUNCTION("XLOOKUP($D454,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(AUTO)'!R6:R""))"),"-")</f>
        <v>-</v>
      </c>
      <c r="G454" s="15">
        <f>IFERROR(__xludf.DUMMYFUNCTION("IFNA(XLOOKUP(""*""&amp;TRIM(REGEXREPLACE($D454, ""(?i)^(PT|CV)\.?\s+"", """"))&amp;""*"", 'DATA TARGET'!$C$2:$C998, 'DATA TARGET'!$D$2:$D998, ""Tidak Ditemukan"", 2), ""Tidak Ditemukan"")"),1.06)</f>
        <v>1.06</v>
      </c>
      <c r="H454" s="17">
        <f t="shared" si="1"/>
        <v>1.06</v>
      </c>
      <c r="I454" s="8"/>
    </row>
    <row r="455">
      <c r="A455" s="10" t="s">
        <v>1575</v>
      </c>
      <c r="B455" s="10" t="s">
        <v>1604</v>
      </c>
      <c r="C455" s="10" t="s">
        <v>1653</v>
      </c>
      <c r="D455" s="12" t="s">
        <v>1653</v>
      </c>
      <c r="E455" s="13" t="s">
        <v>1654</v>
      </c>
      <c r="F455" s="15">
        <f>IFERROR(__xludf.DUMMYFUNCTION("XLOOKUP($D455,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(AUTO)'!R6:R""))"),9.3)</f>
        <v>9.3</v>
      </c>
      <c r="G455" s="15">
        <f>IFERROR(__xludf.DUMMYFUNCTION("IFNA(XLOOKUP(""*""&amp;TRIM(REGEXREPLACE($D455, ""(?i)^(PT|CV)\.?\s+"", """"))&amp;""*"", 'DATA TARGET'!$C$2:$C998, 'DATA TARGET'!$D$2:$D998, ""Tidak Ditemukan"", 2), ""Tidak Ditemukan"")"),9.3)</f>
        <v>9.3</v>
      </c>
      <c r="H455" s="17">
        <f t="shared" si="1"/>
        <v>9.3</v>
      </c>
      <c r="I455" s="8"/>
    </row>
    <row r="456">
      <c r="A456" s="10" t="s">
        <v>1575</v>
      </c>
      <c r="B456" s="10" t="s">
        <v>1657</v>
      </c>
      <c r="C456" s="10" t="s">
        <v>1658</v>
      </c>
      <c r="D456" s="12" t="s">
        <v>1659</v>
      </c>
      <c r="E456" s="13" t="s">
        <v>1660</v>
      </c>
      <c r="F456" s="15">
        <f>IFERROR(__xludf.DUMMYFUNCTION("XLOOKUP($D456,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(AUTO)'!R6:R""))"),370.0)</f>
        <v>370</v>
      </c>
      <c r="G456" s="15">
        <f>IFERROR(__xludf.DUMMYFUNCTION("IFNA(XLOOKUP(""*""&amp;TRIM(REGEXREPLACE($D456, ""(?i)^(PT|CV)\.?\s+"", """"))&amp;""*"", 'DATA TARGET'!$C$2:$C998, 'DATA TARGET'!$D$2:$D998, ""Tidak Ditemukan"", 2), ""Tidak Ditemukan"")"),699.59)</f>
        <v>699.59</v>
      </c>
      <c r="H456" s="17">
        <f t="shared" si="1"/>
        <v>370</v>
      </c>
      <c r="I456" s="8"/>
    </row>
    <row r="457">
      <c r="A457" s="10" t="s">
        <v>1575</v>
      </c>
      <c r="B457" s="10" t="s">
        <v>1657</v>
      </c>
      <c r="C457" s="10" t="s">
        <v>1663</v>
      </c>
      <c r="D457" s="12" t="s">
        <v>1664</v>
      </c>
      <c r="E457" s="13" t="s">
        <v>1665</v>
      </c>
      <c r="F457" s="15">
        <f>IFERROR(__xludf.DUMMYFUNCTION("XLOOKUP($D457,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(AUTO)'!R6:R""))"),209.4)</f>
        <v>209.4</v>
      </c>
      <c r="G457" s="15">
        <f>IFERROR(__xludf.DUMMYFUNCTION("IFNA(XLOOKUP(""*""&amp;TRIM(REGEXREPLACE($D457, ""(?i)^(PT|CV)\.?\s+"", """"))&amp;""*"", 'DATA TARGET'!$C$2:$C998, 'DATA TARGET'!$D$2:$D998, ""Tidak Ditemukan"", 2), ""Tidak Ditemukan"")"),227.4)</f>
        <v>227.4</v>
      </c>
      <c r="H457" s="17">
        <f t="shared" si="1"/>
        <v>209.4</v>
      </c>
      <c r="I457" s="8"/>
    </row>
    <row r="458">
      <c r="A458" s="10" t="s">
        <v>1575</v>
      </c>
      <c r="B458" s="10" t="s">
        <v>1657</v>
      </c>
      <c r="C458" s="10" t="s">
        <v>1667</v>
      </c>
      <c r="D458" s="12" t="s">
        <v>1668</v>
      </c>
      <c r="E458" s="13" t="s">
        <v>1669</v>
      </c>
      <c r="F458" s="15">
        <f>IFERROR(__xludf.DUMMYFUNCTION("XLOOKUP($D458,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(AUTO)'!R6:R""))"),118.29)</f>
        <v>118.29</v>
      </c>
      <c r="G458" s="15">
        <f>IFERROR(__xludf.DUMMYFUNCTION("IFNA(XLOOKUP(""*""&amp;TRIM(REGEXREPLACE($D458, ""(?i)^(PT|CV)\.?\s+"", """"))&amp;""*"", 'DATA TARGET'!$C$2:$C998, 'DATA TARGET'!$D$2:$D998, ""Tidak Ditemukan"", 2), ""Tidak Ditemukan"")"),218.29)</f>
        <v>218.29</v>
      </c>
      <c r="H458" s="17">
        <f t="shared" si="1"/>
        <v>118.29</v>
      </c>
      <c r="I458" s="8"/>
    </row>
    <row r="459">
      <c r="A459" s="10" t="s">
        <v>1575</v>
      </c>
      <c r="B459" s="10" t="s">
        <v>1671</v>
      </c>
      <c r="C459" s="10" t="s">
        <v>1672</v>
      </c>
      <c r="D459" s="12" t="s">
        <v>1672</v>
      </c>
      <c r="E459" s="13" t="s">
        <v>1674</v>
      </c>
      <c r="F459" s="15">
        <f>IFERROR(__xludf.DUMMYFUNCTION("XLOOKUP($D459,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59" s="15">
        <f>IFERROR(__xludf.DUMMYFUNCTION("IFNA(XLOOKUP(""*""&amp;TRIM(REGEXREPLACE($D459, ""(?i)^(PT|CV)\.?\s+"", """"))&amp;""*"", 'DATA TARGET'!$C$2:$C998, 'DATA TARGET'!$D$2:$D998, ""Tidak Ditemukan"", 2), ""Tidak Ditemukan"")"),0.0)</f>
        <v>0</v>
      </c>
      <c r="H459" s="17">
        <f t="shared" si="1"/>
        <v>0</v>
      </c>
      <c r="I459" s="8"/>
    </row>
    <row r="460">
      <c r="A460" s="10" t="s">
        <v>1575</v>
      </c>
      <c r="B460" s="10" t="s">
        <v>1671</v>
      </c>
      <c r="C460" s="10" t="s">
        <v>1676</v>
      </c>
      <c r="D460" s="12" t="s">
        <v>1676</v>
      </c>
      <c r="E460" s="13" t="s">
        <v>1677</v>
      </c>
      <c r="F460" s="15">
        <f>IFERROR(__xludf.DUMMYFUNCTION("XLOOKUP($D460,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(AUTO)'!R6:R""))"),261.75)</f>
        <v>261.75</v>
      </c>
      <c r="G460" s="15">
        <f>IFERROR(__xludf.DUMMYFUNCTION("IFNA(XLOOKUP(""*""&amp;TRIM(REGEXREPLACE($D460, ""(?i)^(PT|CV)\.?\s+"", """"))&amp;""*"", 'DATA TARGET'!$C$2:$C998, 'DATA TARGET'!$D$2:$D998, ""Tidak Ditemukan"", 2), ""Tidak Ditemukan"")"),218.25)</f>
        <v>218.25</v>
      </c>
      <c r="H460" s="17">
        <f t="shared" si="1"/>
        <v>261.75</v>
      </c>
      <c r="I460" s="8"/>
    </row>
    <row r="461">
      <c r="A461" s="10" t="s">
        <v>1575</v>
      </c>
      <c r="B461" s="10" t="s">
        <v>1671</v>
      </c>
      <c r="C461" s="10" t="s">
        <v>1680</v>
      </c>
      <c r="D461" s="12" t="s">
        <v>1680</v>
      </c>
      <c r="E461" s="13" t="s">
        <v>1682</v>
      </c>
      <c r="F461" s="15">
        <f>IFERROR(__xludf.DUMMYFUNCTION("XLOOKUP($D461,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(AUTO)'!R6:R""))"),97.0)</f>
        <v>97</v>
      </c>
      <c r="G461" s="15" t="str">
        <f>IFERROR(__xludf.DUMMYFUNCTION("IFNA(XLOOKUP(""*""&amp;TRIM(REGEXREPLACE($D461, ""(?i)^(PT|CV)\.?\s+"", """"))&amp;""*"", 'DATA TARGET'!$C$2:$C998, 'DATA TARGET'!$D$2:$D998, ""Tidak Ditemukan"", 2), ""Tidak Ditemukan"")"),"Tidak Ditemukan")</f>
        <v>Tidak Ditemukan</v>
      </c>
      <c r="H461" s="17">
        <f t="shared" si="1"/>
        <v>97</v>
      </c>
      <c r="I461" s="8"/>
    </row>
    <row r="462">
      <c r="A462" s="10" t="s">
        <v>1575</v>
      </c>
      <c r="B462" s="10" t="s">
        <v>1671</v>
      </c>
      <c r="C462" s="10" t="s">
        <v>1685</v>
      </c>
      <c r="D462" s="12" t="s">
        <v>1685</v>
      </c>
      <c r="E462" s="13" t="s">
        <v>1686</v>
      </c>
      <c r="F462" s="15">
        <f>IFERROR(__xludf.DUMMYFUNCTION("XLOOKUP($D462,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2" s="15" t="str">
        <f>IFERROR(__xludf.DUMMYFUNCTION("IFNA(XLOOKUP(""*""&amp;TRIM(REGEXREPLACE($D462, ""(?i)^(PT|CV)\.?\s+"", """"))&amp;""*"", 'DATA TARGET'!$C$2:$C998, 'DATA TARGET'!$D$2:$D998, ""Tidak Ditemukan"", 2), ""Tidak Ditemukan"")"),"Tidak Ditemukan")</f>
        <v>Tidak Ditemukan</v>
      </c>
      <c r="H462" s="17" t="str">
        <f t="shared" si="1"/>
        <v>Tidak Ditemukan</v>
      </c>
      <c r="I462" s="8"/>
    </row>
    <row r="463">
      <c r="A463" s="10" t="s">
        <v>1575</v>
      </c>
      <c r="B463" s="10" t="s">
        <v>1671</v>
      </c>
      <c r="C463" s="10" t="s">
        <v>1689</v>
      </c>
      <c r="D463" s="12" t="s">
        <v>1689</v>
      </c>
      <c r="E463" s="13" t="s">
        <v>1690</v>
      </c>
      <c r="F463" s="15">
        <f>IFERROR(__xludf.DUMMYFUNCTION("XLOOKUP($D463,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3" s="15">
        <f>IFERROR(__xludf.DUMMYFUNCTION("IFNA(XLOOKUP(""*""&amp;TRIM(REGEXREPLACE($D463, ""(?i)^(PT|CV)\.?\s+"", """"))&amp;""*"", 'DATA TARGET'!$C$2:$C998, 'DATA TARGET'!$D$2:$D998, ""Tidak Ditemukan"", 2), ""Tidak Ditemukan"")"),0.0)</f>
        <v>0</v>
      </c>
      <c r="H463" s="17">
        <f t="shared" si="1"/>
        <v>0</v>
      </c>
      <c r="I463" s="8"/>
    </row>
    <row r="464">
      <c r="A464" s="10" t="s">
        <v>1575</v>
      </c>
      <c r="B464" s="10" t="s">
        <v>1671</v>
      </c>
      <c r="C464" s="10" t="s">
        <v>1693</v>
      </c>
      <c r="D464" s="12" t="s">
        <v>1693</v>
      </c>
      <c r="E464" s="13" t="s">
        <v>1694</v>
      </c>
      <c r="F464" s="15">
        <f>IFERROR(__xludf.DUMMYFUNCTION("XLOOKUP($D464,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4" s="15">
        <f>IFERROR(__xludf.DUMMYFUNCTION("IFNA(XLOOKUP(""*""&amp;TRIM(REGEXREPLACE($D464, ""(?i)^(PT|CV)\.?\s+"", """"))&amp;""*"", 'DATA TARGET'!$C$2:$C998, 'DATA TARGET'!$D$2:$D998, ""Tidak Ditemukan"", 2), ""Tidak Ditemukan"")"),0.0)</f>
        <v>0</v>
      </c>
      <c r="H464" s="17">
        <f t="shared" si="1"/>
        <v>0</v>
      </c>
      <c r="I464" s="8"/>
    </row>
    <row r="465">
      <c r="A465" s="10" t="s">
        <v>1575</v>
      </c>
      <c r="B465" s="10" t="s">
        <v>1671</v>
      </c>
      <c r="C465" s="10" t="s">
        <v>1697</v>
      </c>
      <c r="D465" s="12" t="s">
        <v>1697</v>
      </c>
      <c r="E465" s="13" t="s">
        <v>1698</v>
      </c>
      <c r="F465" s="15">
        <f>IFERROR(__xludf.DUMMYFUNCTION("XLOOKUP($D465,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5" s="15">
        <f>IFERROR(__xludf.DUMMYFUNCTION("IFNA(XLOOKUP(""*""&amp;TRIM(REGEXREPLACE($D465, ""(?i)^(PT|CV)\.?\s+"", """"))&amp;""*"", 'DATA TARGET'!$C$2:$C998, 'DATA TARGET'!$D$2:$D998, ""Tidak Ditemukan"", 2), ""Tidak Ditemukan"")"),0.0)</f>
        <v>0</v>
      </c>
      <c r="H465" s="17">
        <f t="shared" si="1"/>
        <v>0</v>
      </c>
      <c r="I465" s="8"/>
    </row>
    <row r="466">
      <c r="A466" s="10" t="s">
        <v>1575</v>
      </c>
      <c r="B466" s="10" t="s">
        <v>1671</v>
      </c>
      <c r="C466" s="10" t="s">
        <v>1701</v>
      </c>
      <c r="D466" s="12" t="s">
        <v>1701</v>
      </c>
      <c r="E466" s="13" t="s">
        <v>1703</v>
      </c>
      <c r="F466" s="15">
        <f>IFERROR(__xludf.DUMMYFUNCTION("XLOOKUP($D466,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6" s="15">
        <f>IFERROR(__xludf.DUMMYFUNCTION("IFNA(XLOOKUP(""*""&amp;TRIM(REGEXREPLACE($D466, ""(?i)^(PT|CV)\.?\s+"", """"))&amp;""*"", 'DATA TARGET'!$C$2:$C998, 'DATA TARGET'!$D$2:$D998, ""Tidak Ditemukan"", 2), ""Tidak Ditemukan"")"),0.0)</f>
        <v>0</v>
      </c>
      <c r="H466" s="17">
        <f t="shared" si="1"/>
        <v>0</v>
      </c>
      <c r="I466" s="8"/>
    </row>
    <row r="467">
      <c r="A467" s="10" t="s">
        <v>1575</v>
      </c>
      <c r="B467" s="10" t="s">
        <v>1671</v>
      </c>
      <c r="C467" s="10" t="s">
        <v>1706</v>
      </c>
      <c r="D467" s="12" t="s">
        <v>1706</v>
      </c>
      <c r="E467" s="13" t="s">
        <v>1707</v>
      </c>
      <c r="F467" s="15">
        <f>IFERROR(__xludf.DUMMYFUNCTION("XLOOKUP($D467,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7" s="15">
        <f>IFERROR(__xludf.DUMMYFUNCTION("IFNA(XLOOKUP(""*""&amp;TRIM(REGEXREPLACE($D467, ""(?i)^(PT|CV)\.?\s+"", """"))&amp;""*"", 'DATA TARGET'!$C$2:$C998, 'DATA TARGET'!$D$2:$D998, ""Tidak Ditemukan"", 2), ""Tidak Ditemukan"")"),0.0)</f>
        <v>0</v>
      </c>
      <c r="H467" s="17">
        <f t="shared" si="1"/>
        <v>0</v>
      </c>
      <c r="I467" s="8"/>
    </row>
    <row r="468">
      <c r="A468" s="10" t="s">
        <v>1575</v>
      </c>
      <c r="B468" s="10" t="s">
        <v>1671</v>
      </c>
      <c r="C468" s="10" t="s">
        <v>1709</v>
      </c>
      <c r="D468" s="12" t="s">
        <v>1709</v>
      </c>
      <c r="E468" s="13" t="s">
        <v>1710</v>
      </c>
      <c r="F468" s="15">
        <f>IFERROR(__xludf.DUMMYFUNCTION("XLOOKUP($D468,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8" s="15">
        <f>IFERROR(__xludf.DUMMYFUNCTION("IFNA(XLOOKUP(""*""&amp;TRIM(REGEXREPLACE($D468, ""(?i)^(PT|CV)\.?\s+"", """"))&amp;""*"", 'DATA TARGET'!$C$2:$C998, 'DATA TARGET'!$D$2:$D998, ""Tidak Ditemukan"", 2), ""Tidak Ditemukan"")"),0.0)</f>
        <v>0</v>
      </c>
      <c r="H468" s="17">
        <f t="shared" si="1"/>
        <v>0</v>
      </c>
      <c r="I468" s="8"/>
    </row>
    <row r="469">
      <c r="A469" s="10" t="s">
        <v>1575</v>
      </c>
      <c r="B469" s="10" t="s">
        <v>1671</v>
      </c>
      <c r="C469" s="10" t="s">
        <v>1713</v>
      </c>
      <c r="D469" s="12" t="s">
        <v>1713</v>
      </c>
      <c r="E469" s="13" t="s">
        <v>1714</v>
      </c>
      <c r="F469" s="15">
        <f>IFERROR(__xludf.DUMMYFUNCTION("XLOOKUP($D469,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69" s="15" t="str">
        <f>IFERROR(__xludf.DUMMYFUNCTION("IFNA(XLOOKUP(""*""&amp;TRIM(REGEXREPLACE($D469, ""(?i)^(PT|CV)\.?\s+"", """"))&amp;""*"", 'DATA TARGET'!$C$2:$C998, 'DATA TARGET'!$D$2:$D998, ""Tidak Ditemukan"", 2), ""Tidak Ditemukan"")"),"Tidak Ditemukan")</f>
        <v>Tidak Ditemukan</v>
      </c>
      <c r="H469" s="17" t="str">
        <f t="shared" si="1"/>
        <v>Tidak Ditemukan</v>
      </c>
      <c r="I469" s="8"/>
    </row>
    <row r="470">
      <c r="A470" s="10" t="s">
        <v>1575</v>
      </c>
      <c r="B470" s="10" t="s">
        <v>1671</v>
      </c>
      <c r="C470" s="10" t="s">
        <v>1716</v>
      </c>
      <c r="D470" s="12" t="s">
        <v>1716</v>
      </c>
      <c r="E470" s="13" t="s">
        <v>1717</v>
      </c>
      <c r="F470" s="15">
        <f>IFERROR(__xludf.DUMMYFUNCTION("XLOOKUP($D470,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0" s="15">
        <f>IFERROR(__xludf.DUMMYFUNCTION("IFNA(XLOOKUP(""*""&amp;TRIM(REGEXREPLACE($D470, ""(?i)^(PT|CV)\.?\s+"", """"))&amp;""*"", 'DATA TARGET'!$C$2:$C998, 'DATA TARGET'!$D$2:$D998, ""Tidak Ditemukan"", 2), ""Tidak Ditemukan"")"),0.0)</f>
        <v>0</v>
      </c>
      <c r="H470" s="17">
        <f t="shared" si="1"/>
        <v>0</v>
      </c>
      <c r="I470" s="8"/>
    </row>
    <row r="471">
      <c r="A471" s="10" t="s">
        <v>1575</v>
      </c>
      <c r="B471" s="10" t="s">
        <v>1671</v>
      </c>
      <c r="C471" s="10" t="s">
        <v>1719</v>
      </c>
      <c r="D471" s="12" t="s">
        <v>1719</v>
      </c>
      <c r="E471" s="13" t="s">
        <v>1721</v>
      </c>
      <c r="F471" s="15">
        <f>IFERROR(__xludf.DUMMYFUNCTION("XLOOKUP($D471,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1" s="15" t="str">
        <f>IFERROR(__xludf.DUMMYFUNCTION("IFNA(XLOOKUP(""*""&amp;TRIM(REGEXREPLACE($D471, ""(?i)^(PT|CV)\.?\s+"", """"))&amp;""*"", 'DATA TARGET'!$C$2:$C998, 'DATA TARGET'!$D$2:$D998, ""Tidak Ditemukan"", 2), ""Tidak Ditemukan"")"),"Tidak Ditemukan")</f>
        <v>Tidak Ditemukan</v>
      </c>
      <c r="H471" s="17" t="str">
        <f t="shared" si="1"/>
        <v>Tidak Ditemukan</v>
      </c>
      <c r="I471" s="8"/>
    </row>
    <row r="472">
      <c r="A472" s="10" t="s">
        <v>1575</v>
      </c>
      <c r="B472" s="10" t="s">
        <v>1671</v>
      </c>
      <c r="C472" s="10" t="s">
        <v>1723</v>
      </c>
      <c r="D472" s="12" t="s">
        <v>1723</v>
      </c>
      <c r="E472" s="13" t="s">
        <v>1724</v>
      </c>
      <c r="F472" s="15">
        <f>IFERROR(__xludf.DUMMYFUNCTION("XLOOKUP($D472,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(AUTO)'!R6:R""))"),130.0)</f>
        <v>130</v>
      </c>
      <c r="G472" s="15">
        <f>IFERROR(__xludf.DUMMYFUNCTION("IFNA(XLOOKUP(""*""&amp;TRIM(REGEXREPLACE($D472, ""(?i)^(PT|CV)\.?\s+"", """"))&amp;""*"", 'DATA TARGET'!$C$2:$C998, 'DATA TARGET'!$D$2:$D998, ""Tidak Ditemukan"", 2), ""Tidak Ditemukan"")"),191.89)</f>
        <v>191.89</v>
      </c>
      <c r="H472" s="17">
        <f t="shared" si="1"/>
        <v>130</v>
      </c>
      <c r="I472" s="8"/>
    </row>
    <row r="473">
      <c r="A473" s="10" t="s">
        <v>1575</v>
      </c>
      <c r="B473" s="10" t="s">
        <v>1671</v>
      </c>
      <c r="C473" s="10" t="s">
        <v>1727</v>
      </c>
      <c r="D473" s="12" t="s">
        <v>1727</v>
      </c>
      <c r="E473" s="13" t="s">
        <v>1728</v>
      </c>
      <c r="F473" s="15">
        <f>IFERROR(__xludf.DUMMYFUNCTION("XLOOKUP($D473,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3" s="15">
        <f>IFERROR(__xludf.DUMMYFUNCTION("IFNA(XLOOKUP(""*""&amp;TRIM(REGEXREPLACE($D473, ""(?i)^(PT|CV)\.?\s+"", """"))&amp;""*"", 'DATA TARGET'!$C$2:$C998, 'DATA TARGET'!$D$2:$D998, ""Tidak Ditemukan"", 2), ""Tidak Ditemukan"")"),0.0)</f>
        <v>0</v>
      </c>
      <c r="H473" s="17">
        <f t="shared" si="1"/>
        <v>0</v>
      </c>
      <c r="I473" s="8"/>
    </row>
    <row r="474">
      <c r="A474" s="10" t="s">
        <v>1575</v>
      </c>
      <c r="B474" s="10" t="s">
        <v>1671</v>
      </c>
      <c r="C474" s="10" t="s">
        <v>1731</v>
      </c>
      <c r="D474" s="12" t="s">
        <v>1731</v>
      </c>
      <c r="E474" s="13" t="s">
        <v>1733</v>
      </c>
      <c r="F474" s="15">
        <f>IFERROR(__xludf.DUMMYFUNCTION("XLOOKUP($D474,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4" s="15">
        <f>IFERROR(__xludf.DUMMYFUNCTION("IFNA(XLOOKUP(""*""&amp;TRIM(REGEXREPLACE($D474, ""(?i)^(PT|CV)\.?\s+"", """"))&amp;""*"", 'DATA TARGET'!$C$2:$C998, 'DATA TARGET'!$D$2:$D998, ""Tidak Ditemukan"", 2), ""Tidak Ditemukan"")"),0.0)</f>
        <v>0</v>
      </c>
      <c r="H474" s="17">
        <f t="shared" si="1"/>
        <v>0</v>
      </c>
      <c r="I474" s="8"/>
    </row>
    <row r="475">
      <c r="A475" s="10" t="s">
        <v>1575</v>
      </c>
      <c r="B475" s="10" t="s">
        <v>1671</v>
      </c>
      <c r="C475" s="10" t="s">
        <v>1736</v>
      </c>
      <c r="D475" s="12" t="s">
        <v>1736</v>
      </c>
      <c r="E475" s="13" t="s">
        <v>1738</v>
      </c>
      <c r="F475" s="15">
        <f>IFERROR(__xludf.DUMMYFUNCTION("XLOOKUP($D475,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5" s="15">
        <f>IFERROR(__xludf.DUMMYFUNCTION("IFNA(XLOOKUP(""*""&amp;TRIM(REGEXREPLACE($D475, ""(?i)^(PT|CV)\.?\s+"", """"))&amp;""*"", 'DATA TARGET'!$C$2:$C998, 'DATA TARGET'!$D$2:$D998, ""Tidak Ditemukan"", 2), ""Tidak Ditemukan"")"),0.0)</f>
        <v>0</v>
      </c>
      <c r="H475" s="17">
        <f t="shared" si="1"/>
        <v>0</v>
      </c>
      <c r="I475" s="8"/>
    </row>
    <row r="476">
      <c r="A476" s="10" t="s">
        <v>1575</v>
      </c>
      <c r="B476" s="10" t="s">
        <v>1671</v>
      </c>
      <c r="C476" s="10" t="s">
        <v>1741</v>
      </c>
      <c r="D476" s="12" t="s">
        <v>1741</v>
      </c>
      <c r="E476" s="13" t="s">
        <v>1742</v>
      </c>
      <c r="F476" s="15">
        <f>IFERROR(__xludf.DUMMYFUNCTION("XLOOKUP($D476,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6" s="15" t="str">
        <f>IFERROR(__xludf.DUMMYFUNCTION("IFNA(XLOOKUP(""*""&amp;TRIM(REGEXREPLACE($D476, ""(?i)^(PT|CV)\.?\s+"", """"))&amp;""*"", 'DATA TARGET'!$C$2:$C998, 'DATA TARGET'!$D$2:$D998, ""Tidak Ditemukan"", 2), ""Tidak Ditemukan"")"),"Tidak Ditemukan")</f>
        <v>Tidak Ditemukan</v>
      </c>
      <c r="H476" s="17" t="str">
        <f t="shared" si="1"/>
        <v>Tidak Ditemukan</v>
      </c>
      <c r="I476" s="8"/>
    </row>
    <row r="477">
      <c r="A477" s="10" t="s">
        <v>1575</v>
      </c>
      <c r="B477" s="10" t="s">
        <v>1671</v>
      </c>
      <c r="C477" s="10" t="s">
        <v>1744</v>
      </c>
      <c r="D477" s="12" t="s">
        <v>1746</v>
      </c>
      <c r="E477" s="13" t="s">
        <v>1747</v>
      </c>
      <c r="F477" s="15">
        <f>IFERROR(__xludf.DUMMYFUNCTION("XLOOKUP($D477,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(AUTO)'!R6:R""))"),136.88)</f>
        <v>136.88</v>
      </c>
      <c r="G477" s="15" t="str">
        <f>IFERROR(__xludf.DUMMYFUNCTION("IFNA(XLOOKUP(""*""&amp;TRIM(REGEXREPLACE($D477, ""(?i)^(PT|CV)\.?\s+"", """"))&amp;""*"", 'DATA TARGET'!$C$2:$C998, 'DATA TARGET'!$D$2:$D998, ""Tidak Ditemukan"", 2), ""Tidak Ditemukan"")"),"Tidak Ditemukan")</f>
        <v>Tidak Ditemukan</v>
      </c>
      <c r="H477" s="17">
        <f t="shared" si="1"/>
        <v>136.88</v>
      </c>
      <c r="I477" s="8"/>
    </row>
    <row r="478">
      <c r="A478" s="10" t="s">
        <v>1575</v>
      </c>
      <c r="B478" s="10" t="s">
        <v>1671</v>
      </c>
      <c r="C478" s="10" t="s">
        <v>1744</v>
      </c>
      <c r="D478" s="12" t="s">
        <v>1752</v>
      </c>
      <c r="E478" s="20"/>
      <c r="F478" s="15">
        <f>IFERROR(__xludf.DUMMYFUNCTION("XLOOKUP($D478,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78" s="15" t="str">
        <f>IFERROR(__xludf.DUMMYFUNCTION("IFNA(XLOOKUP(""*""&amp;TRIM(REGEXREPLACE($D478, ""(?i)^(PT|CV)\.?\s+"", """"))&amp;""*"", 'DATA TARGET'!$C$2:$C998, 'DATA TARGET'!$D$2:$D998, ""Tidak Ditemukan"", 2), ""Tidak Ditemukan"")"),"Tidak Ditemukan")</f>
        <v>Tidak Ditemukan</v>
      </c>
      <c r="H478" s="17" t="str">
        <f t="shared" si="1"/>
        <v>Tidak Ditemukan</v>
      </c>
      <c r="I478" s="8"/>
    </row>
    <row r="479">
      <c r="A479" s="10" t="s">
        <v>1575</v>
      </c>
      <c r="B479" s="10" t="s">
        <v>1671</v>
      </c>
      <c r="C479" s="10" t="s">
        <v>1756</v>
      </c>
      <c r="D479" s="12" t="s">
        <v>1756</v>
      </c>
      <c r="E479" s="13" t="s">
        <v>1758</v>
      </c>
      <c r="F479" s="15">
        <f>IFERROR(__xludf.DUMMYFUNCTION("XLOOKUP($D479,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(AUTO)'!R6:R""))"),665.73)</f>
        <v>665.73</v>
      </c>
      <c r="G479" s="15">
        <f>IFERROR(__xludf.DUMMYFUNCTION("IFNA(XLOOKUP(""*""&amp;TRIM(REGEXREPLACE($D479, ""(?i)^(PT|CV)\.?\s+"", """"))&amp;""*"", 'DATA TARGET'!$C$2:$C998, 'DATA TARGET'!$D$2:$D998, ""Tidak Ditemukan"", 2), ""Tidak Ditemukan"")"),0.0)</f>
        <v>0</v>
      </c>
      <c r="H479" s="17">
        <f t="shared" si="1"/>
        <v>665.73</v>
      </c>
      <c r="I479" s="8"/>
    </row>
    <row r="480">
      <c r="A480" s="10" t="s">
        <v>1575</v>
      </c>
      <c r="B480" s="10" t="s">
        <v>1671</v>
      </c>
      <c r="C480" s="10" t="s">
        <v>1761</v>
      </c>
      <c r="D480" s="12" t="s">
        <v>1761</v>
      </c>
      <c r="E480" s="13" t="s">
        <v>1762</v>
      </c>
      <c r="F480" s="15">
        <f>IFERROR(__xludf.DUMMYFUNCTION("XLOOKUP($D480,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0" s="15" t="str">
        <f>IFERROR(__xludf.DUMMYFUNCTION("IFNA(XLOOKUP(""*""&amp;TRIM(REGEXREPLACE($D480, ""(?i)^(PT|CV)\.?\s+"", """"))&amp;""*"", 'DATA TARGET'!$C$2:$C998, 'DATA TARGET'!$D$2:$D998, ""Tidak Ditemukan"", 2), ""Tidak Ditemukan"")"),"Tidak Ditemukan")</f>
        <v>Tidak Ditemukan</v>
      </c>
      <c r="H480" s="17" t="str">
        <f t="shared" si="1"/>
        <v>Tidak Ditemukan</v>
      </c>
      <c r="I480" s="8"/>
    </row>
    <row r="481">
      <c r="A481" s="10" t="s">
        <v>1575</v>
      </c>
      <c r="B481" s="10" t="s">
        <v>1671</v>
      </c>
      <c r="C481" s="10" t="s">
        <v>1766</v>
      </c>
      <c r="D481" s="12" t="s">
        <v>1766</v>
      </c>
      <c r="E481" s="13" t="s">
        <v>1767</v>
      </c>
      <c r="F481" s="15">
        <f>IFERROR(__xludf.DUMMYFUNCTION("XLOOKUP($D481,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1" s="15" t="str">
        <f>IFERROR(__xludf.DUMMYFUNCTION("IFNA(XLOOKUP(""*""&amp;TRIM(REGEXREPLACE($D481, ""(?i)^(PT|CV)\.?\s+"", """"))&amp;""*"", 'DATA TARGET'!$C$2:$C998, 'DATA TARGET'!$D$2:$D998, ""Tidak Ditemukan"", 2), ""Tidak Ditemukan"")"),"Tidak Ditemukan")</f>
        <v>Tidak Ditemukan</v>
      </c>
      <c r="H481" s="17" t="str">
        <f t="shared" si="1"/>
        <v>Tidak Ditemukan</v>
      </c>
      <c r="I481" s="8"/>
    </row>
    <row r="482">
      <c r="A482" s="10" t="s">
        <v>1575</v>
      </c>
      <c r="B482" s="10" t="s">
        <v>1671</v>
      </c>
      <c r="C482" s="10" t="s">
        <v>1773</v>
      </c>
      <c r="D482" s="12" t="s">
        <v>1773</v>
      </c>
      <c r="E482" s="13" t="s">
        <v>1775</v>
      </c>
      <c r="F482" s="15">
        <f>IFERROR(__xludf.DUMMYFUNCTION("XLOOKUP($D482,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2" s="15" t="str">
        <f>IFERROR(__xludf.DUMMYFUNCTION("IFNA(XLOOKUP(""*""&amp;TRIM(REGEXREPLACE($D482, ""(?i)^(PT|CV)\.?\s+"", """"))&amp;""*"", 'DATA TARGET'!$C$2:$C998, 'DATA TARGET'!$D$2:$D998, ""Tidak Ditemukan"", 2), ""Tidak Ditemukan"")"),"Tidak Ditemukan")</f>
        <v>Tidak Ditemukan</v>
      </c>
      <c r="H482" s="17" t="str">
        <f t="shared" si="1"/>
        <v>Tidak Ditemukan</v>
      </c>
      <c r="I482" s="8"/>
    </row>
    <row r="483">
      <c r="A483" s="10" t="s">
        <v>1575</v>
      </c>
      <c r="B483" s="10" t="s">
        <v>1671</v>
      </c>
      <c r="C483" s="10" t="s">
        <v>1779</v>
      </c>
      <c r="D483" s="12" t="s">
        <v>1779</v>
      </c>
      <c r="E483" s="13" t="s">
        <v>1780</v>
      </c>
      <c r="F483" s="15">
        <f>IFERROR(__xludf.DUMMYFUNCTION("XLOOKUP($D483,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3" s="15">
        <f>IFERROR(__xludf.DUMMYFUNCTION("IFNA(XLOOKUP(""*""&amp;TRIM(REGEXREPLACE($D483, ""(?i)^(PT|CV)\.?\s+"", """"))&amp;""*"", 'DATA TARGET'!$C$2:$C998, 'DATA TARGET'!$D$2:$D998, ""Tidak Ditemukan"", 2), ""Tidak Ditemukan"")"),22.31)</f>
        <v>22.31</v>
      </c>
      <c r="H483" s="17">
        <f t="shared" si="1"/>
        <v>22.31</v>
      </c>
      <c r="I483" s="8"/>
    </row>
    <row r="484">
      <c r="A484" s="10" t="s">
        <v>1575</v>
      </c>
      <c r="B484" s="10" t="s">
        <v>1671</v>
      </c>
      <c r="C484" s="10" t="s">
        <v>1784</v>
      </c>
      <c r="D484" s="12" t="s">
        <v>1784</v>
      </c>
      <c r="E484" s="13" t="s">
        <v>1785</v>
      </c>
      <c r="F484" s="15">
        <f>IFERROR(__xludf.DUMMYFUNCTION("XLOOKUP($D484,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4" s="15">
        <f>IFERROR(__xludf.DUMMYFUNCTION("IFNA(XLOOKUP(""*""&amp;TRIM(REGEXREPLACE($D484, ""(?i)^(PT|CV)\.?\s+"", """"))&amp;""*"", 'DATA TARGET'!$C$2:$C998, 'DATA TARGET'!$D$2:$D998, ""Tidak Ditemukan"", 2), ""Tidak Ditemukan"")"),0.0)</f>
        <v>0</v>
      </c>
      <c r="H484" s="17">
        <f t="shared" si="1"/>
        <v>0</v>
      </c>
      <c r="I484" s="8"/>
    </row>
    <row r="485">
      <c r="A485" s="10" t="s">
        <v>1575</v>
      </c>
      <c r="B485" s="10" t="s">
        <v>1671</v>
      </c>
      <c r="C485" s="10" t="s">
        <v>1789</v>
      </c>
      <c r="D485" s="12" t="s">
        <v>1789</v>
      </c>
      <c r="E485" s="13" t="s">
        <v>1790</v>
      </c>
      <c r="F485" s="15">
        <f>IFERROR(__xludf.DUMMYFUNCTION("XLOOKUP($D485,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5" s="15">
        <f>IFERROR(__xludf.DUMMYFUNCTION("IFNA(XLOOKUP(""*""&amp;TRIM(REGEXREPLACE($D485, ""(?i)^(PT|CV)\.?\s+"", """"))&amp;""*"", 'DATA TARGET'!$C$2:$C998, 'DATA TARGET'!$D$2:$D998, ""Tidak Ditemukan"", 2), ""Tidak Ditemukan"")"),0.0)</f>
        <v>0</v>
      </c>
      <c r="H485" s="17">
        <f t="shared" si="1"/>
        <v>0</v>
      </c>
      <c r="I485" s="8"/>
    </row>
    <row r="486">
      <c r="A486" s="10" t="s">
        <v>1575</v>
      </c>
      <c r="B486" s="10" t="s">
        <v>1671</v>
      </c>
      <c r="C486" s="10" t="s">
        <v>1793</v>
      </c>
      <c r="D486" s="12" t="s">
        <v>1793</v>
      </c>
      <c r="E486" s="13" t="s">
        <v>1794</v>
      </c>
      <c r="F486" s="15">
        <f>IFERROR(__xludf.DUMMYFUNCTION("XLOOKUP($D486,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6" s="15">
        <f>IFERROR(__xludf.DUMMYFUNCTION("IFNA(XLOOKUP(""*""&amp;TRIM(REGEXREPLACE($D486, ""(?i)^(PT|CV)\.?\s+"", """"))&amp;""*"", 'DATA TARGET'!$C$2:$C998, 'DATA TARGET'!$D$2:$D998, ""Tidak Ditemukan"", 2), ""Tidak Ditemukan"")"),13.72)</f>
        <v>13.72</v>
      </c>
      <c r="H486" s="17">
        <f t="shared" si="1"/>
        <v>13.72</v>
      </c>
      <c r="I486" s="8"/>
    </row>
    <row r="487">
      <c r="A487" s="10" t="s">
        <v>1575</v>
      </c>
      <c r="B487" s="10" t="s">
        <v>1671</v>
      </c>
      <c r="C487" s="10" t="s">
        <v>1797</v>
      </c>
      <c r="D487" s="12" t="s">
        <v>1797</v>
      </c>
      <c r="E487" s="13" t="s">
        <v>1798</v>
      </c>
      <c r="F487" s="15">
        <f>IFERROR(__xludf.DUMMYFUNCTION("XLOOKUP($D487,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7" s="15">
        <f>IFERROR(__xludf.DUMMYFUNCTION("IFNA(XLOOKUP(""*""&amp;TRIM(REGEXREPLACE($D487, ""(?i)^(PT|CV)\.?\s+"", """"))&amp;""*"", 'DATA TARGET'!$C$2:$C998, 'DATA TARGET'!$D$2:$D998, ""Tidak Ditemukan"", 2), ""Tidak Ditemukan"")"),0.0)</f>
        <v>0</v>
      </c>
      <c r="H487" s="17">
        <f t="shared" si="1"/>
        <v>0</v>
      </c>
      <c r="I487" s="8"/>
    </row>
    <row r="488">
      <c r="A488" s="10" t="s">
        <v>1575</v>
      </c>
      <c r="B488" s="10" t="s">
        <v>1671</v>
      </c>
      <c r="C488" s="10" t="s">
        <v>1801</v>
      </c>
      <c r="D488" s="12" t="s">
        <v>1801</v>
      </c>
      <c r="E488" s="13" t="s">
        <v>1803</v>
      </c>
      <c r="F488" s="15">
        <f>IFERROR(__xludf.DUMMYFUNCTION("XLOOKUP($D488,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8" s="15">
        <f>IFERROR(__xludf.DUMMYFUNCTION("IFNA(XLOOKUP(""*""&amp;TRIM(REGEXREPLACE($D488, ""(?i)^(PT|CV)\.?\s+"", """"))&amp;""*"", 'DATA TARGET'!$C$2:$C998, 'DATA TARGET'!$D$2:$D998, ""Tidak Ditemukan"", 2), ""Tidak Ditemukan"")"),0.0)</f>
        <v>0</v>
      </c>
      <c r="H488" s="17">
        <f t="shared" si="1"/>
        <v>0</v>
      </c>
      <c r="I488" s="8"/>
    </row>
    <row r="489">
      <c r="A489" s="10" t="s">
        <v>1575</v>
      </c>
      <c r="B489" s="10" t="s">
        <v>1671</v>
      </c>
      <c r="C489" s="10" t="s">
        <v>1807</v>
      </c>
      <c r="D489" s="12" t="s">
        <v>1807</v>
      </c>
      <c r="E489" s="13" t="s">
        <v>1808</v>
      </c>
      <c r="F489" s="15">
        <f>IFERROR(__xludf.DUMMYFUNCTION("XLOOKUP($D489,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89" s="15">
        <f>IFERROR(__xludf.DUMMYFUNCTION("IFNA(XLOOKUP(""*""&amp;TRIM(REGEXREPLACE($D489, ""(?i)^(PT|CV)\.?\s+"", """"))&amp;""*"", 'DATA TARGET'!$C$2:$C998, 'DATA TARGET'!$D$2:$D998, ""Tidak Ditemukan"", 2), ""Tidak Ditemukan"")"),0.0)</f>
        <v>0</v>
      </c>
      <c r="H489" s="17">
        <f t="shared" si="1"/>
        <v>0</v>
      </c>
      <c r="I489" s="8"/>
    </row>
    <row r="490">
      <c r="A490" s="10" t="s">
        <v>1575</v>
      </c>
      <c r="B490" s="10" t="s">
        <v>1671</v>
      </c>
      <c r="C490" s="10" t="s">
        <v>1811</v>
      </c>
      <c r="D490" s="12" t="s">
        <v>1811</v>
      </c>
      <c r="E490" s="13" t="s">
        <v>1812</v>
      </c>
      <c r="F490" s="15">
        <f>IFERROR(__xludf.DUMMYFUNCTION("XLOOKUP($D490,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0" s="15">
        <f>IFERROR(__xludf.DUMMYFUNCTION("IFNA(XLOOKUP(""*""&amp;TRIM(REGEXREPLACE($D490, ""(?i)^(PT|CV)\.?\s+"", """"))&amp;""*"", 'DATA TARGET'!$C$2:$C998, 'DATA TARGET'!$D$2:$D998, ""Tidak Ditemukan"", 2), ""Tidak Ditemukan"")"),7.59)</f>
        <v>7.59</v>
      </c>
      <c r="H490" s="17">
        <f t="shared" si="1"/>
        <v>7.59</v>
      </c>
      <c r="I490" s="8"/>
    </row>
    <row r="491">
      <c r="A491" s="10" t="s">
        <v>1575</v>
      </c>
      <c r="B491" s="10" t="s">
        <v>1671</v>
      </c>
      <c r="C491" s="10" t="s">
        <v>1816</v>
      </c>
      <c r="D491" s="12" t="s">
        <v>1816</v>
      </c>
      <c r="E491" s="13" t="s">
        <v>1817</v>
      </c>
      <c r="F491" s="15">
        <f>IFERROR(__xludf.DUMMYFUNCTION("XLOOKUP($D491,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1" s="15" t="str">
        <f>IFERROR(__xludf.DUMMYFUNCTION("IFNA(XLOOKUP(""*""&amp;TRIM(REGEXREPLACE($D491, ""(?i)^(PT|CV)\.?\s+"", """"))&amp;""*"", 'DATA TARGET'!$C$2:$C998, 'DATA TARGET'!$D$2:$D998, ""Tidak Ditemukan"", 2), ""Tidak Ditemukan"")"),"Tidak Ditemukan")</f>
        <v>Tidak Ditemukan</v>
      </c>
      <c r="H491" s="17" t="str">
        <f t="shared" si="1"/>
        <v>Tidak Ditemukan</v>
      </c>
      <c r="I491" s="8"/>
    </row>
    <row r="492">
      <c r="A492" s="10" t="s">
        <v>1575</v>
      </c>
      <c r="B492" s="10" t="s">
        <v>1671</v>
      </c>
      <c r="C492" s="10" t="s">
        <v>1819</v>
      </c>
      <c r="D492" s="12" t="s">
        <v>1819</v>
      </c>
      <c r="E492" s="13" t="s">
        <v>1821</v>
      </c>
      <c r="F492" s="15">
        <f>IFERROR(__xludf.DUMMYFUNCTION("XLOOKUP($D492,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2" s="15">
        <f>IFERROR(__xludf.DUMMYFUNCTION("IFNA(XLOOKUP(""*""&amp;TRIM(REGEXREPLACE($D492, ""(?i)^(PT|CV)\.?\s+"", """"))&amp;""*"", 'DATA TARGET'!$C$2:$C998, 'DATA TARGET'!$D$2:$D998, ""Tidak Ditemukan"", 2), ""Tidak Ditemukan"")"),0.0)</f>
        <v>0</v>
      </c>
      <c r="H492" s="17">
        <f t="shared" si="1"/>
        <v>0</v>
      </c>
      <c r="I492" s="8"/>
    </row>
    <row r="493">
      <c r="A493" s="10" t="s">
        <v>1575</v>
      </c>
      <c r="B493" s="10" t="s">
        <v>1671</v>
      </c>
      <c r="C493" s="10" t="s">
        <v>1823</v>
      </c>
      <c r="D493" s="12" t="s">
        <v>1823</v>
      </c>
      <c r="E493" s="13" t="s">
        <v>1824</v>
      </c>
      <c r="F493" s="15">
        <f>IFERROR(__xludf.DUMMYFUNCTION("XLOOKUP($D493,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3" s="15">
        <f>IFERROR(__xludf.DUMMYFUNCTION("IFNA(XLOOKUP(""*""&amp;TRIM(REGEXREPLACE($D493, ""(?i)^(PT|CV)\.?\s+"", """"))&amp;""*"", 'DATA TARGET'!$C$2:$C998, 'DATA TARGET'!$D$2:$D998, ""Tidak Ditemukan"", 2), ""Tidak Ditemukan"")"),0.0)</f>
        <v>0</v>
      </c>
      <c r="H493" s="17">
        <f t="shared" si="1"/>
        <v>0</v>
      </c>
      <c r="I493" s="8"/>
    </row>
    <row r="494">
      <c r="A494" s="10" t="s">
        <v>1575</v>
      </c>
      <c r="B494" s="10" t="s">
        <v>1671</v>
      </c>
      <c r="C494" s="10" t="s">
        <v>1825</v>
      </c>
      <c r="D494" s="12" t="s">
        <v>1825</v>
      </c>
      <c r="E494" s="13" t="s">
        <v>1826</v>
      </c>
      <c r="F494" s="15">
        <f>IFERROR(__xludf.DUMMYFUNCTION("XLOOKUP($D494,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4" s="15">
        <f>IFERROR(__xludf.DUMMYFUNCTION("IFNA(XLOOKUP(""*""&amp;TRIM(REGEXREPLACE($D494, ""(?i)^(PT|CV)\.?\s+"", """"))&amp;""*"", 'DATA TARGET'!$C$2:$C998, 'DATA TARGET'!$D$2:$D998, ""Tidak Ditemukan"", 2), ""Tidak Ditemukan"")"),152.34)</f>
        <v>152.34</v>
      </c>
      <c r="H494" s="17">
        <f t="shared" si="1"/>
        <v>152.34</v>
      </c>
      <c r="I494" s="8"/>
    </row>
    <row r="495">
      <c r="A495" s="10" t="s">
        <v>1575</v>
      </c>
      <c r="B495" s="10" t="s">
        <v>1671</v>
      </c>
      <c r="C495" s="10" t="s">
        <v>1827</v>
      </c>
      <c r="D495" s="12" t="s">
        <v>1827</v>
      </c>
      <c r="E495" s="13" t="s">
        <v>1828</v>
      </c>
      <c r="F495" s="15">
        <f>IFERROR(__xludf.DUMMYFUNCTION("XLOOKUP($D495,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5" s="15">
        <f>IFERROR(__xludf.DUMMYFUNCTION("IFNA(XLOOKUP(""*""&amp;TRIM(REGEXREPLACE($D495, ""(?i)^(PT|CV)\.?\s+"", """"))&amp;""*"", 'DATA TARGET'!$C$2:$C998, 'DATA TARGET'!$D$2:$D998, ""Tidak Ditemukan"", 2), ""Tidak Ditemukan"")"),22.31)</f>
        <v>22.31</v>
      </c>
      <c r="H495" s="17">
        <f t="shared" si="1"/>
        <v>22.31</v>
      </c>
      <c r="I495" s="8"/>
    </row>
    <row r="496">
      <c r="A496" s="10" t="s">
        <v>1575</v>
      </c>
      <c r="B496" s="10" t="s">
        <v>1671</v>
      </c>
      <c r="C496" s="10" t="s">
        <v>1829</v>
      </c>
      <c r="D496" s="12" t="s">
        <v>1829</v>
      </c>
      <c r="E496" s="13" t="s">
        <v>1830</v>
      </c>
      <c r="F496" s="15">
        <f>IFERROR(__xludf.DUMMYFUNCTION("XLOOKUP($D496,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6" s="15">
        <f>IFERROR(__xludf.DUMMYFUNCTION("IFNA(XLOOKUP(""*""&amp;TRIM(REGEXREPLACE($D496, ""(?i)^(PT|CV)\.?\s+"", """"))&amp;""*"", 'DATA TARGET'!$C$2:$C998, 'DATA TARGET'!$D$2:$D998, ""Tidak Ditemukan"", 2), ""Tidak Ditemukan"")"),0.0)</f>
        <v>0</v>
      </c>
      <c r="H496" s="17">
        <f t="shared" si="1"/>
        <v>0</v>
      </c>
      <c r="I496" s="8"/>
    </row>
    <row r="497">
      <c r="A497" s="10" t="s">
        <v>1575</v>
      </c>
      <c r="B497" s="10" t="s">
        <v>1671</v>
      </c>
      <c r="C497" s="10" t="s">
        <v>1831</v>
      </c>
      <c r="D497" s="12" t="s">
        <v>1831</v>
      </c>
      <c r="E497" s="13" t="s">
        <v>1832</v>
      </c>
      <c r="F497" s="15">
        <f>IFERROR(__xludf.DUMMYFUNCTION("XLOOKUP($D497,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7" s="15">
        <f>IFERROR(__xludf.DUMMYFUNCTION("IFNA(XLOOKUP(""*""&amp;TRIM(REGEXREPLACE($D497, ""(?i)^(PT|CV)\.?\s+"", """"))&amp;""*"", 'DATA TARGET'!$C$2:$C998, 'DATA TARGET'!$D$2:$D998, ""Tidak Ditemukan"", 2), ""Tidak Ditemukan"")"),396.41)</f>
        <v>396.41</v>
      </c>
      <c r="H497" s="17">
        <f t="shared" si="1"/>
        <v>396.41</v>
      </c>
      <c r="I497" s="8"/>
    </row>
    <row r="498">
      <c r="A498" s="10" t="s">
        <v>1575</v>
      </c>
      <c r="B498" s="10" t="s">
        <v>1671</v>
      </c>
      <c r="C498" s="10" t="s">
        <v>1833</v>
      </c>
      <c r="D498" s="12" t="s">
        <v>1833</v>
      </c>
      <c r="E498" s="13" t="s">
        <v>1834</v>
      </c>
      <c r="F498" s="15">
        <f>IFERROR(__xludf.DUMMYFUNCTION("XLOOKUP($D498,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8" s="15">
        <f>IFERROR(__xludf.DUMMYFUNCTION("IFNA(XLOOKUP(""*""&amp;TRIM(REGEXREPLACE($D498, ""(?i)^(PT|CV)\.?\s+"", """"))&amp;""*"", 'DATA TARGET'!$C$2:$C998, 'DATA TARGET'!$D$2:$D998, ""Tidak Ditemukan"", 2), ""Tidak Ditemukan"")"),0.0)</f>
        <v>0</v>
      </c>
      <c r="H498" s="17">
        <f t="shared" si="1"/>
        <v>0</v>
      </c>
      <c r="I498" s="8"/>
    </row>
    <row r="499">
      <c r="A499" s="10" t="s">
        <v>1575</v>
      </c>
      <c r="B499" s="10" t="s">
        <v>1671</v>
      </c>
      <c r="C499" s="10" t="s">
        <v>1835</v>
      </c>
      <c r="D499" s="12" t="s">
        <v>1835</v>
      </c>
      <c r="E499" s="13" t="s">
        <v>1836</v>
      </c>
      <c r="F499" s="15">
        <f>IFERROR(__xludf.DUMMYFUNCTION("XLOOKUP($D499,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499" s="15" t="str">
        <f>IFERROR(__xludf.DUMMYFUNCTION("IFNA(XLOOKUP(""*""&amp;TRIM(REGEXREPLACE($D499, ""(?i)^(PT|CV)\.?\s+"", """"))&amp;""*"", 'DATA TARGET'!$C$2:$C998, 'DATA TARGET'!$D$2:$D998, ""Tidak Ditemukan"", 2), ""Tidak Ditemukan"")"),"Tidak Ditemukan")</f>
        <v>Tidak Ditemukan</v>
      </c>
      <c r="H499" s="17" t="str">
        <f t="shared" si="1"/>
        <v>Tidak Ditemukan</v>
      </c>
      <c r="I499" s="8"/>
    </row>
    <row r="500">
      <c r="A500" s="10" t="s">
        <v>1575</v>
      </c>
      <c r="B500" s="10" t="s">
        <v>1671</v>
      </c>
      <c r="C500" s="10" t="s">
        <v>1837</v>
      </c>
      <c r="D500" s="12" t="s">
        <v>1837</v>
      </c>
      <c r="E500" s="13" t="s">
        <v>1838</v>
      </c>
      <c r="F500" s="15">
        <f>IFERROR(__xludf.DUMMYFUNCTION("XLOOKUP($D500,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0" s="15">
        <f>IFERROR(__xludf.DUMMYFUNCTION("IFNA(XLOOKUP(""*""&amp;TRIM(REGEXREPLACE($D500, ""(?i)^(PT|CV)\.?\s+"", """"))&amp;""*"", 'DATA TARGET'!$C$2:$C998, 'DATA TARGET'!$D$2:$D998, ""Tidak Ditemukan"", 2), ""Tidak Ditemukan"")"),14.04)</f>
        <v>14.04</v>
      </c>
      <c r="H500" s="17">
        <f t="shared" si="1"/>
        <v>14.04</v>
      </c>
      <c r="I500" s="8"/>
    </row>
    <row r="501">
      <c r="A501" s="10" t="s">
        <v>1575</v>
      </c>
      <c r="B501" s="10" t="s">
        <v>1671</v>
      </c>
      <c r="C501" s="10" t="s">
        <v>1839</v>
      </c>
      <c r="D501" s="12" t="s">
        <v>1839</v>
      </c>
      <c r="E501" s="13" t="s">
        <v>1840</v>
      </c>
      <c r="F501" s="15">
        <f>IFERROR(__xludf.DUMMYFUNCTION("XLOOKUP($D501,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1" s="15" t="str">
        <f>IFERROR(__xludf.DUMMYFUNCTION("IFNA(XLOOKUP(""*""&amp;TRIM(REGEXREPLACE($D501, ""(?i)^(PT|CV)\.?\s+"", """"))&amp;""*"", 'DATA TARGET'!$C$2:$C998, 'DATA TARGET'!$D$2:$D998, ""Tidak Ditemukan"", 2), ""Tidak Ditemukan"")"),"Tidak Ditemukan")</f>
        <v>Tidak Ditemukan</v>
      </c>
      <c r="H501" s="17" t="str">
        <f t="shared" si="1"/>
        <v>Tidak Ditemukan</v>
      </c>
      <c r="I501" s="8"/>
    </row>
    <row r="502">
      <c r="A502" s="10" t="s">
        <v>1575</v>
      </c>
      <c r="B502" s="10" t="s">
        <v>1671</v>
      </c>
      <c r="C502" s="10" t="s">
        <v>1841</v>
      </c>
      <c r="D502" s="12" t="s">
        <v>1841</v>
      </c>
      <c r="E502" s="13" t="s">
        <v>1842</v>
      </c>
      <c r="F502" s="15">
        <f>IFERROR(__xludf.DUMMYFUNCTION("XLOOKUP($D502,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2" s="15">
        <f>IFERROR(__xludf.DUMMYFUNCTION("IFNA(XLOOKUP(""*""&amp;TRIM(REGEXREPLACE($D502, ""(?i)^(PT|CV)\.?\s+"", """"))&amp;""*"", 'DATA TARGET'!$C$2:$C998, 'DATA TARGET'!$D$2:$D998, ""Tidak Ditemukan"", 2), ""Tidak Ditemukan"")"),0.0)</f>
        <v>0</v>
      </c>
      <c r="H502" s="17">
        <f t="shared" si="1"/>
        <v>0</v>
      </c>
      <c r="I502" s="8"/>
    </row>
    <row r="503">
      <c r="A503" s="10" t="s">
        <v>1575</v>
      </c>
      <c r="B503" s="10" t="s">
        <v>1671</v>
      </c>
      <c r="C503" s="10" t="s">
        <v>1843</v>
      </c>
      <c r="D503" s="12" t="s">
        <v>1843</v>
      </c>
      <c r="E503" s="13" t="s">
        <v>1844</v>
      </c>
      <c r="F503" s="15">
        <f>IFERROR(__xludf.DUMMYFUNCTION("XLOOKUP($D503,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3" s="15" t="str">
        <f>IFERROR(__xludf.DUMMYFUNCTION("IFNA(XLOOKUP(""*""&amp;TRIM(REGEXREPLACE($D503, ""(?i)^(PT|CV)\.?\s+"", """"))&amp;""*"", 'DATA TARGET'!$C$2:$C998, 'DATA TARGET'!$D$2:$D998, ""Tidak Ditemukan"", 2), ""Tidak Ditemukan"")"),"Tidak Ditemukan")</f>
        <v>Tidak Ditemukan</v>
      </c>
      <c r="H503" s="17" t="str">
        <f t="shared" si="1"/>
        <v>Tidak Ditemukan</v>
      </c>
      <c r="I503" s="8"/>
    </row>
    <row r="504">
      <c r="A504" s="10" t="s">
        <v>1575</v>
      </c>
      <c r="B504" s="10" t="s">
        <v>1671</v>
      </c>
      <c r="C504" s="10" t="s">
        <v>1845</v>
      </c>
      <c r="D504" s="12" t="s">
        <v>1845</v>
      </c>
      <c r="E504" s="13" t="s">
        <v>1846</v>
      </c>
      <c r="F504" s="15">
        <f>IFERROR(__xludf.DUMMYFUNCTION("XLOOKUP($D504,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4" s="15" t="str">
        <f>IFERROR(__xludf.DUMMYFUNCTION("IFNA(XLOOKUP(""*""&amp;TRIM(REGEXREPLACE($D504, ""(?i)^(PT|CV)\.?\s+"", """"))&amp;""*"", 'DATA TARGET'!$C$2:$C998, 'DATA TARGET'!$D$2:$D998, ""Tidak Ditemukan"", 2), ""Tidak Ditemukan"")"),"Tidak Ditemukan")</f>
        <v>Tidak Ditemukan</v>
      </c>
      <c r="H504" s="17" t="str">
        <f t="shared" si="1"/>
        <v>Tidak Ditemukan</v>
      </c>
      <c r="I504" s="8"/>
    </row>
    <row r="505">
      <c r="A505" s="10" t="s">
        <v>1575</v>
      </c>
      <c r="B505" s="10" t="s">
        <v>1671</v>
      </c>
      <c r="C505" s="10" t="s">
        <v>1847</v>
      </c>
      <c r="D505" s="12" t="s">
        <v>1847</v>
      </c>
      <c r="E505" s="13" t="s">
        <v>1848</v>
      </c>
      <c r="F505" s="15">
        <f>IFERROR(__xludf.DUMMYFUNCTION("XLOOKUP($D505,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5" s="15">
        <f>IFERROR(__xludf.DUMMYFUNCTION("IFNA(XLOOKUP(""*""&amp;TRIM(REGEXREPLACE($D505, ""(?i)^(PT|CV)\.?\s+"", """"))&amp;""*"", 'DATA TARGET'!$C$2:$C998, 'DATA TARGET'!$D$2:$D998, ""Tidak Ditemukan"", 2), ""Tidak Ditemukan"")"),128.95)</f>
        <v>128.95</v>
      </c>
      <c r="H505" s="17">
        <f t="shared" si="1"/>
        <v>128.95</v>
      </c>
      <c r="I505" s="8"/>
    </row>
    <row r="506">
      <c r="A506" s="10" t="s">
        <v>1575</v>
      </c>
      <c r="B506" s="10" t="s">
        <v>1671</v>
      </c>
      <c r="C506" s="10" t="s">
        <v>1849</v>
      </c>
      <c r="D506" s="12" t="s">
        <v>1849</v>
      </c>
      <c r="E506" s="13" t="s">
        <v>1850</v>
      </c>
      <c r="F506" s="15">
        <f>IFERROR(__xludf.DUMMYFUNCTION("XLOOKUP($D506,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6" s="15" t="str">
        <f>IFERROR(__xludf.DUMMYFUNCTION("IFNA(XLOOKUP(""*""&amp;TRIM(REGEXREPLACE($D506, ""(?i)^(PT|CV)\.?\s+"", """"))&amp;""*"", 'DATA TARGET'!$C$2:$C998, 'DATA TARGET'!$D$2:$D998, ""Tidak Ditemukan"", 2), ""Tidak Ditemukan"")"),"Tidak Ditemukan")</f>
        <v>Tidak Ditemukan</v>
      </c>
      <c r="H506" s="17" t="str">
        <f t="shared" si="1"/>
        <v>Tidak Ditemukan</v>
      </c>
      <c r="I506" s="8"/>
    </row>
    <row r="507">
      <c r="A507" s="10" t="s">
        <v>1575</v>
      </c>
      <c r="B507" s="10" t="s">
        <v>1671</v>
      </c>
      <c r="C507" s="10" t="s">
        <v>1851</v>
      </c>
      <c r="D507" s="12" t="s">
        <v>1851</v>
      </c>
      <c r="E507" s="13" t="s">
        <v>1852</v>
      </c>
      <c r="F507" s="15">
        <f>IFERROR(__xludf.DUMMYFUNCTION("XLOOKUP($D507,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7" s="15">
        <f>IFERROR(__xludf.DUMMYFUNCTION("IFNA(XLOOKUP(""*""&amp;TRIM(REGEXREPLACE($D507, ""(?i)^(PT|CV)\.?\s+"", """"))&amp;""*"", 'DATA TARGET'!$C$2:$C998, 'DATA TARGET'!$D$2:$D998, ""Tidak Ditemukan"", 2), ""Tidak Ditemukan"")"),228.82)</f>
        <v>228.82</v>
      </c>
      <c r="H507" s="17">
        <f t="shared" si="1"/>
        <v>228.82</v>
      </c>
      <c r="I507" s="8"/>
    </row>
    <row r="508">
      <c r="A508" s="10" t="s">
        <v>1575</v>
      </c>
      <c r="B508" s="10" t="s">
        <v>1671</v>
      </c>
      <c r="C508" s="10" t="s">
        <v>1853</v>
      </c>
      <c r="D508" s="12" t="s">
        <v>1853</v>
      </c>
      <c r="E508" s="13" t="s">
        <v>1854</v>
      </c>
      <c r="F508" s="15">
        <f>IFERROR(__xludf.DUMMYFUNCTION("XLOOKUP($D508,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8" s="15" t="str">
        <f>IFERROR(__xludf.DUMMYFUNCTION("IFNA(XLOOKUP(""*""&amp;TRIM(REGEXREPLACE($D508, ""(?i)^(PT|CV)\.?\s+"", """"))&amp;""*"", 'DATA TARGET'!$C$2:$C998, 'DATA TARGET'!$D$2:$D998, ""Tidak Ditemukan"", 2), ""Tidak Ditemukan"")"),"Tidak Ditemukan")</f>
        <v>Tidak Ditemukan</v>
      </c>
      <c r="H508" s="17" t="str">
        <f t="shared" si="1"/>
        <v>Tidak Ditemukan</v>
      </c>
      <c r="I508" s="8"/>
    </row>
    <row r="509">
      <c r="A509" s="10" t="s">
        <v>1575</v>
      </c>
      <c r="B509" s="10" t="s">
        <v>1671</v>
      </c>
      <c r="C509" s="10" t="s">
        <v>1855</v>
      </c>
      <c r="D509" s="12" t="s">
        <v>1855</v>
      </c>
      <c r="E509" s="13" t="s">
        <v>1856</v>
      </c>
      <c r="F509" s="15">
        <f>IFERROR(__xludf.DUMMYFUNCTION("XLOOKUP($D509,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09" s="15">
        <f>IFERROR(__xludf.DUMMYFUNCTION("IFNA(XLOOKUP(""*""&amp;TRIM(REGEXREPLACE($D509, ""(?i)^(PT|CV)\.?\s+"", """"))&amp;""*"", 'DATA TARGET'!$C$2:$C998, 'DATA TARGET'!$D$2:$D998, ""Tidak Ditemukan"", 2), ""Tidak Ditemukan"")"),0.0)</f>
        <v>0</v>
      </c>
      <c r="H509" s="17">
        <f t="shared" si="1"/>
        <v>0</v>
      </c>
      <c r="I509" s="8"/>
    </row>
    <row r="510">
      <c r="A510" s="10" t="s">
        <v>1575</v>
      </c>
      <c r="B510" s="10" t="s">
        <v>1671</v>
      </c>
      <c r="C510" s="10" t="s">
        <v>1857</v>
      </c>
      <c r="D510" s="12" t="s">
        <v>1857</v>
      </c>
      <c r="E510" s="13" t="s">
        <v>1858</v>
      </c>
      <c r="F510" s="15">
        <f>IFERROR(__xludf.DUMMYFUNCTION("XLOOKUP($D510,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0" s="15" t="str">
        <f>IFERROR(__xludf.DUMMYFUNCTION("IFNA(XLOOKUP(""*""&amp;TRIM(REGEXREPLACE($D510, ""(?i)^(PT|CV)\.?\s+"", """"))&amp;""*"", 'DATA TARGET'!$C$2:$C998, 'DATA TARGET'!$D$2:$D998, ""Tidak Ditemukan"", 2), ""Tidak Ditemukan"")"),"Tidak Ditemukan")</f>
        <v>Tidak Ditemukan</v>
      </c>
      <c r="H510" s="17" t="str">
        <f t="shared" si="1"/>
        <v>Tidak Ditemukan</v>
      </c>
      <c r="I510" s="8"/>
    </row>
    <row r="511">
      <c r="A511" s="10" t="s">
        <v>1575</v>
      </c>
      <c r="B511" s="10" t="s">
        <v>1671</v>
      </c>
      <c r="C511" s="10" t="s">
        <v>1859</v>
      </c>
      <c r="D511" s="12" t="s">
        <v>1859</v>
      </c>
      <c r="E511" s="13" t="s">
        <v>1860</v>
      </c>
      <c r="F511" s="15">
        <f>IFERROR(__xludf.DUMMYFUNCTION("XLOOKUP($D511,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1" s="15">
        <f>IFERROR(__xludf.DUMMYFUNCTION("IFNA(XLOOKUP(""*""&amp;TRIM(REGEXREPLACE($D511, ""(?i)^(PT|CV)\.?\s+"", """"))&amp;""*"", 'DATA TARGET'!$C$2:$C998, 'DATA TARGET'!$D$2:$D998, ""Tidak Ditemukan"", 2), ""Tidak Ditemukan"")"),0.0)</f>
        <v>0</v>
      </c>
      <c r="H511" s="17">
        <f t="shared" si="1"/>
        <v>0</v>
      </c>
      <c r="I511" s="8"/>
    </row>
    <row r="512">
      <c r="A512" s="10" t="s">
        <v>1575</v>
      </c>
      <c r="B512" s="10" t="s">
        <v>1671</v>
      </c>
      <c r="C512" s="10" t="s">
        <v>1861</v>
      </c>
      <c r="D512" s="12" t="s">
        <v>1861</v>
      </c>
      <c r="E512" s="13" t="s">
        <v>1862</v>
      </c>
      <c r="F512" s="15">
        <f>IFERROR(__xludf.DUMMYFUNCTION("XLOOKUP($D512,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2" s="15">
        <f>IFERROR(__xludf.DUMMYFUNCTION("IFNA(XLOOKUP(""*""&amp;TRIM(REGEXREPLACE($D512, ""(?i)^(PT|CV)\.?\s+"", """"))&amp;""*"", 'DATA TARGET'!$C$2:$C998, 'DATA TARGET'!$D$2:$D998, ""Tidak Ditemukan"", 2), ""Tidak Ditemukan"")"),0.0)</f>
        <v>0</v>
      </c>
      <c r="H512" s="17">
        <f t="shared" si="1"/>
        <v>0</v>
      </c>
      <c r="I512" s="8"/>
    </row>
    <row r="513">
      <c r="A513" s="10" t="s">
        <v>1575</v>
      </c>
      <c r="B513" s="10" t="s">
        <v>1671</v>
      </c>
      <c r="C513" s="10" t="s">
        <v>1863</v>
      </c>
      <c r="D513" s="12" t="s">
        <v>1863</v>
      </c>
      <c r="E513" s="13" t="s">
        <v>1864</v>
      </c>
      <c r="F513" s="15">
        <f>IFERROR(__xludf.DUMMYFUNCTION("XLOOKUP($D513,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3" s="15">
        <f>IFERROR(__xludf.DUMMYFUNCTION("IFNA(XLOOKUP(""*""&amp;TRIM(REGEXREPLACE($D513, ""(?i)^(PT|CV)\.?\s+"", """"))&amp;""*"", 'DATA TARGET'!$C$2:$C998, 'DATA TARGET'!$D$2:$D998, ""Tidak Ditemukan"", 2), ""Tidak Ditemukan"")"),0.0)</f>
        <v>0</v>
      </c>
      <c r="H513" s="17">
        <f t="shared" si="1"/>
        <v>0</v>
      </c>
      <c r="I513" s="8"/>
    </row>
    <row r="514">
      <c r="A514" s="10" t="s">
        <v>1575</v>
      </c>
      <c r="B514" s="10" t="s">
        <v>1671</v>
      </c>
      <c r="C514" s="10" t="s">
        <v>1865</v>
      </c>
      <c r="D514" s="12" t="s">
        <v>1865</v>
      </c>
      <c r="E514" s="13" t="s">
        <v>1866</v>
      </c>
      <c r="F514" s="15">
        <f>IFERROR(__xludf.DUMMYFUNCTION("XLOOKUP($D514,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4" s="15" t="str">
        <f>IFERROR(__xludf.DUMMYFUNCTION("IFNA(XLOOKUP(""*""&amp;TRIM(REGEXREPLACE($D514, ""(?i)^(PT|CV)\.?\s+"", """"))&amp;""*"", 'DATA TARGET'!$C$2:$C998, 'DATA TARGET'!$D$2:$D998, ""Tidak Ditemukan"", 2), ""Tidak Ditemukan"")"),"Tidak Ditemukan")</f>
        <v>Tidak Ditemukan</v>
      </c>
      <c r="H514" s="17" t="str">
        <f t="shared" si="1"/>
        <v>Tidak Ditemukan</v>
      </c>
      <c r="I514" s="8"/>
    </row>
    <row r="515">
      <c r="A515" s="10" t="s">
        <v>1575</v>
      </c>
      <c r="B515" s="10" t="s">
        <v>1671</v>
      </c>
      <c r="C515" s="10" t="s">
        <v>1867</v>
      </c>
      <c r="D515" s="12" t="s">
        <v>1867</v>
      </c>
      <c r="E515" s="13" t="s">
        <v>1868</v>
      </c>
      <c r="F515" s="15">
        <f>IFERROR(__xludf.DUMMYFUNCTION("XLOOKUP($D515,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5" s="15" t="str">
        <f>IFERROR(__xludf.DUMMYFUNCTION("IFNA(XLOOKUP(""*""&amp;TRIM(REGEXREPLACE($D515, ""(?i)^(PT|CV)\.?\s+"", """"))&amp;""*"", 'DATA TARGET'!$C$2:$C998, 'DATA TARGET'!$D$2:$D998, ""Tidak Ditemukan"", 2), ""Tidak Ditemukan"")"),"Tidak Ditemukan")</f>
        <v>Tidak Ditemukan</v>
      </c>
      <c r="H515" s="17" t="str">
        <f t="shared" si="1"/>
        <v>Tidak Ditemukan</v>
      </c>
      <c r="I515" s="8"/>
    </row>
    <row r="516">
      <c r="A516" s="10" t="s">
        <v>1575</v>
      </c>
      <c r="B516" s="10" t="s">
        <v>1671</v>
      </c>
      <c r="C516" s="10" t="s">
        <v>1869</v>
      </c>
      <c r="D516" s="12" t="s">
        <v>1869</v>
      </c>
      <c r="E516" s="13" t="s">
        <v>1870</v>
      </c>
      <c r="F516" s="15">
        <f>IFERROR(__xludf.DUMMYFUNCTION("XLOOKUP($D516,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6" s="15">
        <f>IFERROR(__xludf.DUMMYFUNCTION("IFNA(XLOOKUP(""*""&amp;TRIM(REGEXREPLACE($D516, ""(?i)^(PT|CV)\.?\s+"", """"))&amp;""*"", 'DATA TARGET'!$C$2:$C998, 'DATA TARGET'!$D$2:$D998, ""Tidak Ditemukan"", 2), ""Tidak Ditemukan"")"),50.87)</f>
        <v>50.87</v>
      </c>
      <c r="H516" s="17">
        <f t="shared" si="1"/>
        <v>50.87</v>
      </c>
      <c r="I516" s="8"/>
    </row>
    <row r="517">
      <c r="A517" s="10" t="s">
        <v>1575</v>
      </c>
      <c r="B517" s="10" t="s">
        <v>1671</v>
      </c>
      <c r="C517" s="10" t="s">
        <v>1871</v>
      </c>
      <c r="D517" s="12" t="s">
        <v>1871</v>
      </c>
      <c r="E517" s="13" t="s">
        <v>1872</v>
      </c>
      <c r="F517" s="15">
        <f>IFERROR(__xludf.DUMMYFUNCTION("XLOOKUP($D517,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7" s="15">
        <f>IFERROR(__xludf.DUMMYFUNCTION("IFNA(XLOOKUP(""*""&amp;TRIM(REGEXREPLACE($D517, ""(?i)^(PT|CV)\.?\s+"", """"))&amp;""*"", 'DATA TARGET'!$C$2:$C998, 'DATA TARGET'!$D$2:$D998, ""Tidak Ditemukan"", 2), ""Tidak Ditemukan"")"),0.0)</f>
        <v>0</v>
      </c>
      <c r="H517" s="17">
        <f t="shared" si="1"/>
        <v>0</v>
      </c>
      <c r="I517" s="8"/>
    </row>
    <row r="518">
      <c r="A518" s="10" t="s">
        <v>1575</v>
      </c>
      <c r="B518" s="10" t="s">
        <v>1671</v>
      </c>
      <c r="C518" s="10" t="s">
        <v>1873</v>
      </c>
      <c r="D518" s="12" t="s">
        <v>1873</v>
      </c>
      <c r="E518" s="13" t="s">
        <v>1874</v>
      </c>
      <c r="F518" s="15">
        <f>IFERROR(__xludf.DUMMYFUNCTION("XLOOKUP($D518,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8" s="15">
        <f>IFERROR(__xludf.DUMMYFUNCTION("IFNA(XLOOKUP(""*""&amp;TRIM(REGEXREPLACE($D518, ""(?i)^(PT|CV)\.?\s+"", """"))&amp;""*"", 'DATA TARGET'!$C$2:$C998, 'DATA TARGET'!$D$2:$D998, ""Tidak Ditemukan"", 2), ""Tidak Ditemukan"")"),49.09)</f>
        <v>49.09</v>
      </c>
      <c r="H518" s="17">
        <f t="shared" si="1"/>
        <v>49.09</v>
      </c>
      <c r="I518" s="8"/>
    </row>
    <row r="519">
      <c r="A519" s="10" t="s">
        <v>1575</v>
      </c>
      <c r="B519" s="10" t="s">
        <v>1671</v>
      </c>
      <c r="C519" s="10" t="s">
        <v>1875</v>
      </c>
      <c r="D519" s="12" t="s">
        <v>1875</v>
      </c>
      <c r="E519" s="13" t="s">
        <v>1876</v>
      </c>
      <c r="F519" s="15">
        <f>IFERROR(__xludf.DUMMYFUNCTION("XLOOKUP($D519,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19" s="15" t="str">
        <f>IFERROR(__xludf.DUMMYFUNCTION("IFNA(XLOOKUP(""*""&amp;TRIM(REGEXREPLACE($D519, ""(?i)^(PT|CV)\.?\s+"", """"))&amp;""*"", 'DATA TARGET'!$C$2:$C998, 'DATA TARGET'!$D$2:$D998, ""Tidak Ditemukan"", 2), ""Tidak Ditemukan"")"),"Tidak Ditemukan")</f>
        <v>Tidak Ditemukan</v>
      </c>
      <c r="H519" s="17" t="str">
        <f t="shared" si="1"/>
        <v>Tidak Ditemukan</v>
      </c>
      <c r="I519" s="8"/>
    </row>
    <row r="520">
      <c r="A520" s="10" t="s">
        <v>1575</v>
      </c>
      <c r="B520" s="10" t="s">
        <v>1671</v>
      </c>
      <c r="C520" s="10" t="s">
        <v>1877</v>
      </c>
      <c r="D520" s="12" t="s">
        <v>1877</v>
      </c>
      <c r="E520" s="13" t="s">
        <v>1878</v>
      </c>
      <c r="F520" s="15">
        <f>IFERROR(__xludf.DUMMYFUNCTION("XLOOKUP($D520,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0" s="15" t="str">
        <f>IFERROR(__xludf.DUMMYFUNCTION("IFNA(XLOOKUP(""*""&amp;TRIM(REGEXREPLACE($D520, ""(?i)^(PT|CV)\.?\s+"", """"))&amp;""*"", 'DATA TARGET'!$C$2:$C998, 'DATA TARGET'!$D$2:$D998, ""Tidak Ditemukan"", 2), ""Tidak Ditemukan"")"),"Tidak Ditemukan")</f>
        <v>Tidak Ditemukan</v>
      </c>
      <c r="H520" s="17" t="str">
        <f t="shared" si="1"/>
        <v>Tidak Ditemukan</v>
      </c>
      <c r="I520" s="8"/>
    </row>
    <row r="521">
      <c r="A521" s="10" t="s">
        <v>1575</v>
      </c>
      <c r="B521" s="10" t="s">
        <v>1671</v>
      </c>
      <c r="C521" s="10" t="s">
        <v>1879</v>
      </c>
      <c r="D521" s="12" t="s">
        <v>1879</v>
      </c>
      <c r="E521" s="13" t="s">
        <v>1880</v>
      </c>
      <c r="F521" s="15">
        <f>IFERROR(__xludf.DUMMYFUNCTION("XLOOKUP($D521,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1" s="15" t="str">
        <f>IFERROR(__xludf.DUMMYFUNCTION("IFNA(XLOOKUP(""*""&amp;TRIM(REGEXREPLACE($D521, ""(?i)^(PT|CV)\.?\s+"", """"))&amp;""*"", 'DATA TARGET'!$C$2:$C998, 'DATA TARGET'!$D$2:$D998, ""Tidak Ditemukan"", 2), ""Tidak Ditemukan"")"),"Tidak Ditemukan")</f>
        <v>Tidak Ditemukan</v>
      </c>
      <c r="H521" s="17" t="str">
        <f t="shared" si="1"/>
        <v>Tidak Ditemukan</v>
      </c>
      <c r="I521" s="8"/>
    </row>
    <row r="522">
      <c r="A522" s="10" t="s">
        <v>1575</v>
      </c>
      <c r="B522" s="10" t="s">
        <v>1671</v>
      </c>
      <c r="C522" s="10" t="s">
        <v>1881</v>
      </c>
      <c r="D522" s="12" t="s">
        <v>1882</v>
      </c>
      <c r="E522" s="13" t="s">
        <v>1883</v>
      </c>
      <c r="F522" s="15">
        <f>IFERROR(__xludf.DUMMYFUNCTION("XLOOKUP($D522,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2" s="15" t="str">
        <f>IFERROR(__xludf.DUMMYFUNCTION("IFNA(XLOOKUP(""*""&amp;TRIM(REGEXREPLACE($D522, ""(?i)^(PT|CV)\.?\s+"", """"))&amp;""*"", 'DATA TARGET'!$C$2:$C998, 'DATA TARGET'!$D$2:$D998, ""Tidak Ditemukan"", 2), ""Tidak Ditemukan"")"),"Tidak Ditemukan")</f>
        <v>Tidak Ditemukan</v>
      </c>
      <c r="H522" s="17" t="str">
        <f t="shared" si="1"/>
        <v>Tidak Ditemukan</v>
      </c>
      <c r="I522" s="8"/>
    </row>
    <row r="523">
      <c r="A523" s="10" t="s">
        <v>1575</v>
      </c>
      <c r="B523" s="10" t="s">
        <v>1671</v>
      </c>
      <c r="C523" s="10" t="s">
        <v>1884</v>
      </c>
      <c r="D523" s="12" t="s">
        <v>1884</v>
      </c>
      <c r="E523" s="13" t="s">
        <v>1885</v>
      </c>
      <c r="F523" s="15">
        <f>IFERROR(__xludf.DUMMYFUNCTION("XLOOKUP($D523,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(AUTO)'!R6:R""))"),400.0)</f>
        <v>400</v>
      </c>
      <c r="G523" s="15">
        <f>IFERROR(__xludf.DUMMYFUNCTION("IFNA(XLOOKUP(""*""&amp;TRIM(REGEXREPLACE($D523, ""(?i)^(PT|CV)\.?\s+"", """"))&amp;""*"", 'DATA TARGET'!$C$2:$C998, 'DATA TARGET'!$D$2:$D998, ""Tidak Ditemukan"", 2), ""Tidak Ditemukan"")"),312.23)</f>
        <v>312.23</v>
      </c>
      <c r="H523" s="17">
        <f t="shared" si="1"/>
        <v>400</v>
      </c>
      <c r="I523" s="8"/>
    </row>
    <row r="524">
      <c r="A524" s="10" t="s">
        <v>1575</v>
      </c>
      <c r="B524" s="10" t="s">
        <v>1671</v>
      </c>
      <c r="C524" s="10" t="s">
        <v>1886</v>
      </c>
      <c r="D524" s="12" t="s">
        <v>1886</v>
      </c>
      <c r="E524" s="13" t="s">
        <v>1887</v>
      </c>
      <c r="F524" s="15">
        <f>IFERROR(__xludf.DUMMYFUNCTION("XLOOKUP($D524,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4" s="15">
        <f>IFERROR(__xludf.DUMMYFUNCTION("IFNA(XLOOKUP(""*""&amp;TRIM(REGEXREPLACE($D524, ""(?i)^(PT|CV)\.?\s+"", """"))&amp;""*"", 'DATA TARGET'!$C$2:$C998, 'DATA TARGET'!$D$2:$D998, ""Tidak Ditemukan"", 2), ""Tidak Ditemukan"")"),0.0)</f>
        <v>0</v>
      </c>
      <c r="H524" s="17">
        <f t="shared" si="1"/>
        <v>0</v>
      </c>
      <c r="I524" s="8"/>
    </row>
    <row r="525">
      <c r="A525" s="10" t="s">
        <v>1575</v>
      </c>
      <c r="B525" s="10" t="s">
        <v>1671</v>
      </c>
      <c r="C525" s="10" t="s">
        <v>1888</v>
      </c>
      <c r="D525" s="12" t="s">
        <v>1888</v>
      </c>
      <c r="E525" s="13" t="s">
        <v>1889</v>
      </c>
      <c r="F525" s="15">
        <f>IFERROR(__xludf.DUMMYFUNCTION("XLOOKUP($D525,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5" s="15">
        <f>IFERROR(__xludf.DUMMYFUNCTION("IFNA(XLOOKUP(""*""&amp;TRIM(REGEXREPLACE($D525, ""(?i)^(PT|CV)\.?\s+"", """"))&amp;""*"", 'DATA TARGET'!$C$2:$C998, 'DATA TARGET'!$D$2:$D998, ""Tidak Ditemukan"", 2), ""Tidak Ditemukan"")"),0.0)</f>
        <v>0</v>
      </c>
      <c r="H525" s="17">
        <f t="shared" si="1"/>
        <v>0</v>
      </c>
      <c r="I525" s="8"/>
    </row>
    <row r="526">
      <c r="A526" s="10" t="s">
        <v>1575</v>
      </c>
      <c r="B526" s="10" t="s">
        <v>1671</v>
      </c>
      <c r="C526" s="10" t="s">
        <v>1890</v>
      </c>
      <c r="D526" s="12" t="s">
        <v>1890</v>
      </c>
      <c r="E526" s="13" t="s">
        <v>1891</v>
      </c>
      <c r="F526" s="15">
        <f>IFERROR(__xludf.DUMMYFUNCTION("XLOOKUP($D526,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(AUTO)'!R6:R""))"),1085.0)</f>
        <v>1085</v>
      </c>
      <c r="G526" s="15">
        <f>IFERROR(__xludf.DUMMYFUNCTION("IFNA(XLOOKUP(""*""&amp;TRIM(REGEXREPLACE($D526, ""(?i)^(PT|CV)\.?\s+"", """"))&amp;""*"", 'DATA TARGET'!$C$2:$C998, 'DATA TARGET'!$D$2:$D998, ""Tidak Ditemukan"", 2), ""Tidak Ditemukan"")"),1028.22)</f>
        <v>1028.22</v>
      </c>
      <c r="H526" s="17">
        <f t="shared" si="1"/>
        <v>1085</v>
      </c>
      <c r="I526" s="8"/>
    </row>
    <row r="527">
      <c r="A527" s="10" t="s">
        <v>1575</v>
      </c>
      <c r="B527" s="10" t="s">
        <v>1671</v>
      </c>
      <c r="C527" s="10" t="s">
        <v>1892</v>
      </c>
      <c r="D527" s="12" t="s">
        <v>1892</v>
      </c>
      <c r="E527" s="13" t="s">
        <v>1893</v>
      </c>
      <c r="F527" s="15">
        <f>IFERROR(__xludf.DUMMYFUNCTION("XLOOKUP($D527,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7" s="15">
        <f>IFERROR(__xludf.DUMMYFUNCTION("IFNA(XLOOKUP(""*""&amp;TRIM(REGEXREPLACE($D527, ""(?i)^(PT|CV)\.?\s+"", """"))&amp;""*"", 'DATA TARGET'!$C$2:$C998, 'DATA TARGET'!$D$2:$D998, ""Tidak Ditemukan"", 2), ""Tidak Ditemukan"")"),0.0)</f>
        <v>0</v>
      </c>
      <c r="H527" s="17">
        <f t="shared" si="1"/>
        <v>0</v>
      </c>
      <c r="I527" s="8"/>
    </row>
    <row r="528">
      <c r="A528" s="10" t="s">
        <v>1575</v>
      </c>
      <c r="B528" s="10" t="s">
        <v>1671</v>
      </c>
      <c r="C528" s="10" t="s">
        <v>1894</v>
      </c>
      <c r="D528" s="12" t="s">
        <v>1894</v>
      </c>
      <c r="E528" s="13" t="s">
        <v>1895</v>
      </c>
      <c r="F528" s="15">
        <f>IFERROR(__xludf.DUMMYFUNCTION("XLOOKUP($D528,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8" s="15" t="str">
        <f>IFERROR(__xludf.DUMMYFUNCTION("IFNA(XLOOKUP(""*""&amp;TRIM(REGEXREPLACE($D528, ""(?i)^(PT|CV)\.?\s+"", """"))&amp;""*"", 'DATA TARGET'!$C$2:$C998, 'DATA TARGET'!$D$2:$D998, ""Tidak Ditemukan"", 2), ""Tidak Ditemukan"")"),"Tidak Ditemukan")</f>
        <v>Tidak Ditemukan</v>
      </c>
      <c r="H528" s="17" t="str">
        <f t="shared" si="1"/>
        <v>Tidak Ditemukan</v>
      </c>
      <c r="I528" s="8"/>
    </row>
    <row r="529">
      <c r="A529" s="10" t="s">
        <v>1575</v>
      </c>
      <c r="B529" s="10" t="s">
        <v>1671</v>
      </c>
      <c r="C529" s="10" t="s">
        <v>1896</v>
      </c>
      <c r="D529" s="12" t="s">
        <v>1896</v>
      </c>
      <c r="E529" s="13" t="s">
        <v>1897</v>
      </c>
      <c r="F529" s="15">
        <f>IFERROR(__xludf.DUMMYFUNCTION("XLOOKUP($D529,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529" s="15">
        <f>IFERROR(__xludf.DUMMYFUNCTION("IFNA(XLOOKUP(""*""&amp;TRIM(REGEXREPLACE($D529, ""(?i)^(PT|CV)\.?\s+"", """"))&amp;""*"", 'DATA TARGET'!$C$2:$C998, 'DATA TARGET'!$D$2:$D998, ""Tidak Ditemukan"", 2), ""Tidak Ditemukan"")"),21.51)</f>
        <v>21.51</v>
      </c>
      <c r="H529" s="17">
        <f t="shared" si="1"/>
        <v>21.51</v>
      </c>
      <c r="I529" s="8"/>
    </row>
    <row r="530">
      <c r="A530" s="10" t="s">
        <v>1898</v>
      </c>
      <c r="B530" s="10" t="s">
        <v>1899</v>
      </c>
      <c r="C530" s="10" t="s">
        <v>1380</v>
      </c>
      <c r="D530" s="12" t="s">
        <v>1380</v>
      </c>
      <c r="E530" s="13" t="s">
        <v>1900</v>
      </c>
      <c r="F530" s="15">
        <f>IFERROR(__xludf.DUMMYFUNCTION("XLOOKUP($D530,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(AUTO)'!R6:R""))"),116.52)</f>
        <v>116.52</v>
      </c>
      <c r="G530" s="15">
        <f>IFERROR(__xludf.DUMMYFUNCTION("IFNA(XLOOKUP(""*""&amp;TRIM(REGEXREPLACE($D530, ""(?i)^(PT|CV)\.?\s+"", """"))&amp;""*"", 'DATA TARGET'!$C$2:$C998, 'DATA TARGET'!$D$2:$D998, ""Tidak Ditemukan"", 2), ""Tidak Ditemukan"")"),631.24)</f>
        <v>631.24</v>
      </c>
      <c r="H530" s="17">
        <f t="shared" si="1"/>
        <v>116.52</v>
      </c>
      <c r="I530" s="8"/>
    </row>
    <row r="531">
      <c r="A531" s="10" t="s">
        <v>1898</v>
      </c>
      <c r="B531" s="10" t="s">
        <v>1899</v>
      </c>
      <c r="C531" s="10" t="s">
        <v>1383</v>
      </c>
      <c r="D531" s="12" t="s">
        <v>1383</v>
      </c>
      <c r="E531" s="13" t="s">
        <v>1901</v>
      </c>
      <c r="F531" s="15" t="str">
        <f>IFERROR(__xludf.DUMMYFUNCTION("XLOOKUP($D531,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31" s="15">
        <f>IFERROR(__xludf.DUMMYFUNCTION("IFNA(XLOOKUP(""*""&amp;TRIM(REGEXREPLACE($D531, ""(?i)^(PT|CV)\.?\s+"", """"))&amp;""*"", 'DATA TARGET'!$C$2:$C998, 'DATA TARGET'!$D$2:$D998, ""Tidak Ditemukan"", 2), ""Tidak Ditemukan"")"),0.25)</f>
        <v>0.25</v>
      </c>
      <c r="H531" s="17">
        <f t="shared" si="1"/>
        <v>0.25</v>
      </c>
      <c r="I531" s="8"/>
    </row>
    <row r="532">
      <c r="A532" s="10" t="s">
        <v>1898</v>
      </c>
      <c r="B532" s="10" t="s">
        <v>1899</v>
      </c>
      <c r="C532" s="10" t="s">
        <v>1384</v>
      </c>
      <c r="D532" s="12" t="s">
        <v>1384</v>
      </c>
      <c r="E532" s="13" t="s">
        <v>1902</v>
      </c>
      <c r="F532" s="15">
        <f>IFERROR(__xludf.DUMMYFUNCTION("XLOOKUP($D532,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(AUTO)'!R6:R""))"),791.68)</f>
        <v>791.68</v>
      </c>
      <c r="G532" s="15">
        <f>IFERROR(__xludf.DUMMYFUNCTION("IFNA(XLOOKUP(""*""&amp;TRIM(REGEXREPLACE($D532, ""(?i)^(PT|CV)\.?\s+"", """"))&amp;""*"", 'DATA TARGET'!$C$2:$C998, 'DATA TARGET'!$D$2:$D998, ""Tidak Ditemukan"", 2), ""Tidak Ditemukan"")"),791.66)</f>
        <v>791.66</v>
      </c>
      <c r="H532" s="17">
        <f t="shared" si="1"/>
        <v>791.68</v>
      </c>
      <c r="I532" s="8"/>
    </row>
    <row r="533">
      <c r="A533" s="10" t="s">
        <v>1898</v>
      </c>
      <c r="B533" s="10" t="s">
        <v>1899</v>
      </c>
      <c r="C533" s="10" t="s">
        <v>1387</v>
      </c>
      <c r="D533" s="12" t="s">
        <v>1387</v>
      </c>
      <c r="E533" s="13" t="s">
        <v>1903</v>
      </c>
      <c r="F533" s="15" t="str">
        <f>IFERROR(__xludf.DUMMYFUNCTION("XLOOKUP($D533,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33" s="15">
        <f>IFERROR(__xludf.DUMMYFUNCTION("IFNA(XLOOKUP(""*""&amp;TRIM(REGEXREPLACE($D533, ""(?i)^(PT|CV)\.?\s+"", """"))&amp;""*"", 'DATA TARGET'!$C$2:$C998, 'DATA TARGET'!$D$2:$D998, ""Tidak Ditemukan"", 2), ""Tidak Ditemukan"")"),0.0)</f>
        <v>0</v>
      </c>
      <c r="H533" s="17">
        <f t="shared" si="1"/>
        <v>0</v>
      </c>
      <c r="I533" s="8"/>
    </row>
    <row r="534">
      <c r="A534" s="10" t="s">
        <v>1898</v>
      </c>
      <c r="B534" s="10" t="s">
        <v>1899</v>
      </c>
      <c r="C534" s="10" t="s">
        <v>1390</v>
      </c>
      <c r="D534" s="12" t="s">
        <v>1390</v>
      </c>
      <c r="E534" s="13" t="s">
        <v>1904</v>
      </c>
      <c r="F534" s="15">
        <f>IFERROR(__xludf.DUMMYFUNCTION("XLOOKUP($D534,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(AUTO)'!R6:R""))"),742.19)</f>
        <v>742.19</v>
      </c>
      <c r="G534" s="15">
        <f>IFERROR(__xludf.DUMMYFUNCTION("IFNA(XLOOKUP(""*""&amp;TRIM(REGEXREPLACE($D534, ""(?i)^(PT|CV)\.?\s+"", """"))&amp;""*"", 'DATA TARGET'!$C$2:$C998, 'DATA TARGET'!$D$2:$D998, ""Tidak Ditemukan"", 2), ""Tidak Ditemukan"")"),592.77)</f>
        <v>592.77</v>
      </c>
      <c r="H534" s="17">
        <f t="shared" si="1"/>
        <v>742.19</v>
      </c>
      <c r="I534" s="8"/>
    </row>
    <row r="535">
      <c r="A535" s="10" t="s">
        <v>1898</v>
      </c>
      <c r="B535" s="10" t="s">
        <v>1899</v>
      </c>
      <c r="C535" s="10" t="s">
        <v>1393</v>
      </c>
      <c r="D535" s="12" t="s">
        <v>1393</v>
      </c>
      <c r="E535" s="13" t="s">
        <v>1905</v>
      </c>
      <c r="F535" s="15">
        <f>IFERROR(__xludf.DUMMYFUNCTION("XLOOKUP($D535,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(AUTO)'!R6:R""))"),47.41)</f>
        <v>47.41</v>
      </c>
      <c r="G535" s="15">
        <f>IFERROR(__xludf.DUMMYFUNCTION("IFNA(XLOOKUP(""*""&amp;TRIM(REGEXREPLACE($D535, ""(?i)^(PT|CV)\.?\s+"", """"))&amp;""*"", 'DATA TARGET'!$C$2:$C998, 'DATA TARGET'!$D$2:$D998, ""Tidak Ditemukan"", 2), ""Tidak Ditemukan"")"),48.63)</f>
        <v>48.63</v>
      </c>
      <c r="H535" s="17">
        <f t="shared" si="1"/>
        <v>47.41</v>
      </c>
      <c r="I535" s="8"/>
    </row>
    <row r="536">
      <c r="A536" s="10" t="s">
        <v>1898</v>
      </c>
      <c r="B536" s="10" t="s">
        <v>1899</v>
      </c>
      <c r="C536" s="10" t="s">
        <v>1394</v>
      </c>
      <c r="D536" s="12" t="s">
        <v>1394</v>
      </c>
      <c r="E536" s="13" t="s">
        <v>1906</v>
      </c>
      <c r="F536" s="15" t="str">
        <f>IFERROR(__xludf.DUMMYFUNCTION("XLOOKUP($D536,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36" s="15">
        <f>IFERROR(__xludf.DUMMYFUNCTION("IFNA(XLOOKUP(""*""&amp;TRIM(REGEXREPLACE($D536, ""(?i)^(PT|CV)\.?\s+"", """"))&amp;""*"", 'DATA TARGET'!$C$2:$C998, 'DATA TARGET'!$D$2:$D998, ""Tidak Ditemukan"", 2), ""Tidak Ditemukan"")"),0.21)</f>
        <v>0.21</v>
      </c>
      <c r="H536" s="17">
        <f t="shared" si="1"/>
        <v>0.21</v>
      </c>
      <c r="I536" s="8"/>
    </row>
    <row r="537">
      <c r="A537" s="10" t="s">
        <v>1898</v>
      </c>
      <c r="B537" s="10" t="s">
        <v>1899</v>
      </c>
      <c r="C537" s="10" t="s">
        <v>1398</v>
      </c>
      <c r="D537" s="12" t="s">
        <v>1398</v>
      </c>
      <c r="E537" s="13" t="s">
        <v>1907</v>
      </c>
      <c r="F537" s="15">
        <f>IFERROR(__xludf.DUMMYFUNCTION("XLOOKUP($D537,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(AUTO)'!R6:R""))"),486.59)</f>
        <v>486.59</v>
      </c>
      <c r="G537" s="15">
        <f>IFERROR(__xludf.DUMMYFUNCTION("IFNA(XLOOKUP(""*""&amp;TRIM(REGEXREPLACE($D537, ""(?i)^(PT|CV)\.?\s+"", """"))&amp;""*"", 'DATA TARGET'!$C$2:$C998, 'DATA TARGET'!$D$2:$D998, ""Tidak Ditemukan"", 2), ""Tidak Ditemukan"")"),513.32)</f>
        <v>513.32</v>
      </c>
      <c r="H537" s="17">
        <f t="shared" si="1"/>
        <v>486.59</v>
      </c>
      <c r="I537" s="8"/>
    </row>
    <row r="538">
      <c r="A538" s="10" t="s">
        <v>1898</v>
      </c>
      <c r="B538" s="10" t="s">
        <v>1899</v>
      </c>
      <c r="C538" s="10" t="s">
        <v>1400</v>
      </c>
      <c r="D538" s="12" t="s">
        <v>1400</v>
      </c>
      <c r="E538" s="13" t="s">
        <v>1908</v>
      </c>
      <c r="F538" s="15" t="str">
        <f>IFERROR(__xludf.DUMMYFUNCTION("XLOOKUP($D538,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38" s="15">
        <f>IFERROR(__xludf.DUMMYFUNCTION("IFNA(XLOOKUP(""*""&amp;TRIM(REGEXREPLACE($D538, ""(?i)^(PT|CV)\.?\s+"", """"))&amp;""*"", 'DATA TARGET'!$C$2:$C998, 'DATA TARGET'!$D$2:$D998, ""Tidak Ditemukan"", 2), ""Tidak Ditemukan"")"),175.2)</f>
        <v>175.2</v>
      </c>
      <c r="H538" s="17">
        <f t="shared" si="1"/>
        <v>175.2</v>
      </c>
      <c r="I538" s="8"/>
    </row>
    <row r="539">
      <c r="A539" s="10" t="s">
        <v>1898</v>
      </c>
      <c r="B539" s="10" t="s">
        <v>1899</v>
      </c>
      <c r="C539" s="10" t="s">
        <v>1404</v>
      </c>
      <c r="D539" s="12" t="s">
        <v>1404</v>
      </c>
      <c r="E539" s="13" t="s">
        <v>1909</v>
      </c>
      <c r="F539" s="15">
        <f>IFERROR(__xludf.DUMMYFUNCTION("XLOOKUP($D539,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(AUTO)'!R6:R""))"),110.26)</f>
        <v>110.26</v>
      </c>
      <c r="G539" s="15">
        <f>IFERROR(__xludf.DUMMYFUNCTION("IFNA(XLOOKUP(""*""&amp;TRIM(REGEXREPLACE($D539, ""(?i)^(PT|CV)\.?\s+"", """"))&amp;""*"", 'DATA TARGET'!$C$2:$C998, 'DATA TARGET'!$D$2:$D998, ""Tidak Ditemukan"", 2), ""Tidak Ditemukan"")"),110.41)</f>
        <v>110.41</v>
      </c>
      <c r="H539" s="17">
        <f t="shared" si="1"/>
        <v>110.26</v>
      </c>
      <c r="I539" s="8"/>
    </row>
    <row r="540">
      <c r="A540" s="10" t="s">
        <v>1898</v>
      </c>
      <c r="B540" s="10" t="s">
        <v>1899</v>
      </c>
      <c r="C540" s="10" t="s">
        <v>1408</v>
      </c>
      <c r="D540" s="12" t="s">
        <v>1408</v>
      </c>
      <c r="E540" s="13" t="s">
        <v>1910</v>
      </c>
      <c r="F540" s="15" t="str">
        <f>IFERROR(__xludf.DUMMYFUNCTION("XLOOKUP($D540,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0" s="15">
        <f>IFERROR(__xludf.DUMMYFUNCTION("IFNA(XLOOKUP(""*""&amp;TRIM(REGEXREPLACE($D540, ""(?i)^(PT|CV)\.?\s+"", """"))&amp;""*"", 'DATA TARGET'!$C$2:$C998, 'DATA TARGET'!$D$2:$D998, ""Tidak Ditemukan"", 2), ""Tidak Ditemukan"")"),1.26)</f>
        <v>1.26</v>
      </c>
      <c r="H540" s="17">
        <f t="shared" si="1"/>
        <v>1.26</v>
      </c>
      <c r="I540" s="8"/>
    </row>
    <row r="541">
      <c r="A541" s="10" t="s">
        <v>1898</v>
      </c>
      <c r="B541" s="10" t="s">
        <v>1899</v>
      </c>
      <c r="C541" s="10" t="s">
        <v>1410</v>
      </c>
      <c r="D541" s="12" t="s">
        <v>1410</v>
      </c>
      <c r="E541" s="13" t="s">
        <v>1911</v>
      </c>
      <c r="F541" s="15">
        <f>IFERROR(__xludf.DUMMYFUNCTION("XLOOKUP($D541,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(AUTO)'!R6:R""))"),336.56)</f>
        <v>336.56</v>
      </c>
      <c r="G541" s="15">
        <f>IFERROR(__xludf.DUMMYFUNCTION("IFNA(XLOOKUP(""*""&amp;TRIM(REGEXREPLACE($D541, ""(?i)^(PT|CV)\.?\s+"", """"))&amp;""*"", 'DATA TARGET'!$C$2:$C998, 'DATA TARGET'!$D$2:$D998, ""Tidak Ditemukan"", 2), ""Tidak Ditemukan"")"),350.69)</f>
        <v>350.69</v>
      </c>
      <c r="H541" s="17">
        <f t="shared" si="1"/>
        <v>336.56</v>
      </c>
      <c r="I541" s="8"/>
    </row>
    <row r="542">
      <c r="A542" s="10" t="s">
        <v>1898</v>
      </c>
      <c r="B542" s="10" t="s">
        <v>1899</v>
      </c>
      <c r="C542" s="10" t="s">
        <v>1414</v>
      </c>
      <c r="D542" s="12" t="s">
        <v>1414</v>
      </c>
      <c r="E542" s="13" t="s">
        <v>1912</v>
      </c>
      <c r="F542" s="15" t="str">
        <f>IFERROR(__xludf.DUMMYFUNCTION("XLOOKUP($D542,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2" s="15">
        <f>IFERROR(__xludf.DUMMYFUNCTION("IFNA(XLOOKUP(""*""&amp;TRIM(REGEXREPLACE($D542, ""(?i)^(PT|CV)\.?\s+"", """"))&amp;""*"", 'DATA TARGET'!$C$2:$C998, 'DATA TARGET'!$D$2:$D998, ""Tidak Ditemukan"", 2), ""Tidak Ditemukan"")"),598.91)</f>
        <v>598.91</v>
      </c>
      <c r="H542" s="17">
        <f t="shared" si="1"/>
        <v>598.91</v>
      </c>
      <c r="I542" s="8"/>
    </row>
    <row r="543">
      <c r="A543" s="10" t="s">
        <v>1898</v>
      </c>
      <c r="B543" s="10" t="s">
        <v>1899</v>
      </c>
      <c r="C543" s="10" t="s">
        <v>1417</v>
      </c>
      <c r="D543" s="12" t="s">
        <v>1417</v>
      </c>
      <c r="E543" s="13" t="s">
        <v>1913</v>
      </c>
      <c r="F543" s="15">
        <f>IFERROR(__xludf.DUMMYFUNCTION("XLOOKUP($D543,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(AUTO)'!R6:R""))"),179.89)</f>
        <v>179.89</v>
      </c>
      <c r="G543" s="15">
        <f>IFERROR(__xludf.DUMMYFUNCTION("IFNA(XLOOKUP(""*""&amp;TRIM(REGEXREPLACE($D543, ""(?i)^(PT|CV)\.?\s+"", """"))&amp;""*"", 'DATA TARGET'!$C$2:$C998, 'DATA TARGET'!$D$2:$D998, ""Tidak Ditemukan"", 2), ""Tidak Ditemukan"")"),189.68)</f>
        <v>189.68</v>
      </c>
      <c r="H543" s="17">
        <f t="shared" si="1"/>
        <v>179.89</v>
      </c>
      <c r="I543" s="8"/>
    </row>
    <row r="544">
      <c r="A544" s="10" t="s">
        <v>1898</v>
      </c>
      <c r="B544" s="10" t="s">
        <v>1899</v>
      </c>
      <c r="C544" s="10" t="s">
        <v>1420</v>
      </c>
      <c r="D544" s="12" t="s">
        <v>1420</v>
      </c>
      <c r="E544" s="13" t="s">
        <v>1914</v>
      </c>
      <c r="F544" s="15" t="str">
        <f>IFERROR(__xludf.DUMMYFUNCTION("XLOOKUP($D544,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4" s="15">
        <f>IFERROR(__xludf.DUMMYFUNCTION("IFNA(XLOOKUP(""*""&amp;TRIM(REGEXREPLACE($D544, ""(?i)^(PT|CV)\.?\s+"", """"))&amp;""*"", 'DATA TARGET'!$C$2:$C998, 'DATA TARGET'!$D$2:$D998, ""Tidak Ditemukan"", 2), ""Tidak Ditemukan"")"),315.09)</f>
        <v>315.09</v>
      </c>
      <c r="H544" s="17">
        <f t="shared" si="1"/>
        <v>315.09</v>
      </c>
      <c r="I544" s="8"/>
    </row>
    <row r="545">
      <c r="A545" s="10" t="s">
        <v>1898</v>
      </c>
      <c r="B545" s="10" t="s">
        <v>1899</v>
      </c>
      <c r="C545" s="10" t="s">
        <v>1422</v>
      </c>
      <c r="D545" s="12" t="s">
        <v>1422</v>
      </c>
      <c r="E545" s="13" t="s">
        <v>1915</v>
      </c>
      <c r="F545" s="15" t="str">
        <f>IFERROR(__xludf.DUMMYFUNCTION("XLOOKUP($D545,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5" s="15">
        <f>IFERROR(__xludf.DUMMYFUNCTION("IFNA(XLOOKUP(""*""&amp;TRIM(REGEXREPLACE($D545, ""(?i)^(PT|CV)\.?\s+"", """"))&amp;""*"", 'DATA TARGET'!$C$2:$C998, 'DATA TARGET'!$D$2:$D998, ""Tidak Ditemukan"", 2), ""Tidak Ditemukan"")"),0.0)</f>
        <v>0</v>
      </c>
      <c r="H545" s="17">
        <f t="shared" si="1"/>
        <v>0</v>
      </c>
      <c r="I545" s="8"/>
    </row>
    <row r="546">
      <c r="A546" s="10" t="s">
        <v>1898</v>
      </c>
      <c r="B546" s="10" t="s">
        <v>1899</v>
      </c>
      <c r="C546" s="10" t="s">
        <v>1425</v>
      </c>
      <c r="D546" s="12" t="s">
        <v>1425</v>
      </c>
      <c r="E546" s="13" t="s">
        <v>1916</v>
      </c>
      <c r="F546" s="15" t="str">
        <f>IFERROR(__xludf.DUMMYFUNCTION("XLOOKUP($D546,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6" s="15">
        <f>IFERROR(__xludf.DUMMYFUNCTION("IFNA(XLOOKUP(""*""&amp;TRIM(REGEXREPLACE($D546, ""(?i)^(PT|CV)\.?\s+"", """"))&amp;""*"", 'DATA TARGET'!$C$2:$C998, 'DATA TARGET'!$D$2:$D998, ""Tidak Ditemukan"", 2), ""Tidak Ditemukan"")"),104.0)</f>
        <v>104</v>
      </c>
      <c r="H546" s="17">
        <f t="shared" si="1"/>
        <v>104</v>
      </c>
      <c r="I546" s="8"/>
    </row>
    <row r="547">
      <c r="A547" s="10" t="s">
        <v>1898</v>
      </c>
      <c r="B547" s="10" t="s">
        <v>1899</v>
      </c>
      <c r="C547" s="10" t="s">
        <v>1428</v>
      </c>
      <c r="D547" s="12" t="s">
        <v>1428</v>
      </c>
      <c r="E547" s="13" t="s">
        <v>1917</v>
      </c>
      <c r="F547" s="15" t="str">
        <f>IFERROR(__xludf.DUMMYFUNCTION("XLOOKUP($D547,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7" s="15">
        <f>IFERROR(__xludf.DUMMYFUNCTION("IFNA(XLOOKUP(""*""&amp;TRIM(REGEXREPLACE($D547, ""(?i)^(PT|CV)\.?\s+"", """"))&amp;""*"", 'DATA TARGET'!$C$2:$C998, 'DATA TARGET'!$D$2:$D998, ""Tidak Ditemukan"", 2), ""Tidak Ditemukan"")"),3.39)</f>
        <v>3.39</v>
      </c>
      <c r="H547" s="17">
        <f t="shared" si="1"/>
        <v>3.39</v>
      </c>
      <c r="I547" s="8"/>
    </row>
    <row r="548">
      <c r="A548" s="10" t="s">
        <v>1898</v>
      </c>
      <c r="B548" s="10" t="s">
        <v>1899</v>
      </c>
      <c r="C548" s="10" t="s">
        <v>1429</v>
      </c>
      <c r="D548" s="12" t="s">
        <v>1429</v>
      </c>
      <c r="E548" s="13" t="s">
        <v>1918</v>
      </c>
      <c r="F548" s="15">
        <f>IFERROR(__xludf.DUMMYFUNCTION("XLOOKUP($D548,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(AUTO)'!R6:R""))"),118.18)</f>
        <v>118.18</v>
      </c>
      <c r="G548" s="15">
        <f>IFERROR(__xludf.DUMMYFUNCTION("IFNA(XLOOKUP(""*""&amp;TRIM(REGEXREPLACE($D548, ""(?i)^(PT|CV)\.?\s+"", """"))&amp;""*"", 'DATA TARGET'!$C$2:$C998, 'DATA TARGET'!$D$2:$D998, ""Tidak Ditemukan"", 2), ""Tidak Ditemukan"")"),90.05)</f>
        <v>90.05</v>
      </c>
      <c r="H548" s="17">
        <f t="shared" si="1"/>
        <v>118.18</v>
      </c>
      <c r="I548" s="8"/>
    </row>
    <row r="549">
      <c r="A549" s="10" t="s">
        <v>1898</v>
      </c>
      <c r="B549" s="10" t="s">
        <v>1899</v>
      </c>
      <c r="C549" s="10" t="s">
        <v>1432</v>
      </c>
      <c r="D549" s="12" t="s">
        <v>1432</v>
      </c>
      <c r="E549" s="13" t="s">
        <v>1919</v>
      </c>
      <c r="F549" s="15" t="str">
        <f>IFERROR(__xludf.DUMMYFUNCTION("XLOOKUP($D549,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49" s="15">
        <f>IFERROR(__xludf.DUMMYFUNCTION("IFNA(XLOOKUP(""*""&amp;TRIM(REGEXREPLACE($D549, ""(?i)^(PT|CV)\.?\s+"", """"))&amp;""*"", 'DATA TARGET'!$C$2:$C998, 'DATA TARGET'!$D$2:$D998, ""Tidak Ditemukan"", 2), ""Tidak Ditemukan"")"),0.02)</f>
        <v>0.02</v>
      </c>
      <c r="H549" s="17">
        <f t="shared" si="1"/>
        <v>0.02</v>
      </c>
      <c r="I549" s="8"/>
    </row>
    <row r="550">
      <c r="A550" s="10" t="s">
        <v>1898</v>
      </c>
      <c r="B550" s="10" t="s">
        <v>1899</v>
      </c>
      <c r="C550" s="10" t="s">
        <v>1435</v>
      </c>
      <c r="D550" s="12" t="s">
        <v>1435</v>
      </c>
      <c r="E550" s="13" t="s">
        <v>1920</v>
      </c>
      <c r="F550" s="15">
        <f>IFERROR(__xludf.DUMMYFUNCTION("XLOOKUP($D550,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(AUTO)'!R6:R""))"),92.0)</f>
        <v>92</v>
      </c>
      <c r="G550" s="15">
        <f>IFERROR(__xludf.DUMMYFUNCTION("IFNA(XLOOKUP(""*""&amp;TRIM(REGEXREPLACE($D550, ""(?i)^(PT|CV)\.?\s+"", """"))&amp;""*"", 'DATA TARGET'!$C$2:$C998, 'DATA TARGET'!$D$2:$D998, ""Tidak Ditemukan"", 2), ""Tidak Ditemukan"")"),149.5)</f>
        <v>149.5</v>
      </c>
      <c r="H550" s="17">
        <f t="shared" si="1"/>
        <v>92</v>
      </c>
      <c r="I550" s="8"/>
    </row>
    <row r="551">
      <c r="A551" s="10" t="s">
        <v>1898</v>
      </c>
      <c r="B551" s="10" t="s">
        <v>1899</v>
      </c>
      <c r="C551" s="10" t="s">
        <v>1438</v>
      </c>
      <c r="D551" s="12" t="s">
        <v>1438</v>
      </c>
      <c r="E551" s="13" t="s">
        <v>1921</v>
      </c>
      <c r="F551" s="15" t="str">
        <f>IFERROR(__xludf.DUMMYFUNCTION("XLOOKUP($D551,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1" s="15">
        <f>IFERROR(__xludf.DUMMYFUNCTION("IFNA(XLOOKUP(""*""&amp;TRIM(REGEXREPLACE($D551, ""(?i)^(PT|CV)\.?\s+"", """"))&amp;""*"", 'DATA TARGET'!$C$2:$C998, 'DATA TARGET'!$D$2:$D998, ""Tidak Ditemukan"", 2), ""Tidak Ditemukan"")"),0.0)</f>
        <v>0</v>
      </c>
      <c r="H551" s="17">
        <f t="shared" si="1"/>
        <v>0</v>
      </c>
      <c r="I551" s="8"/>
    </row>
    <row r="552">
      <c r="A552" s="10" t="s">
        <v>1898</v>
      </c>
      <c r="B552" s="10" t="s">
        <v>1899</v>
      </c>
      <c r="C552" s="10" t="s">
        <v>1441</v>
      </c>
      <c r="D552" s="12" t="s">
        <v>1441</v>
      </c>
      <c r="E552" s="13" t="s">
        <v>1922</v>
      </c>
      <c r="F552" s="15">
        <f>IFERROR(__xludf.DUMMYFUNCTION("XLOOKUP($D552,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(AUTO)'!R6:R""))"),199.12)</f>
        <v>199.12</v>
      </c>
      <c r="G552" s="15">
        <f>IFERROR(__xludf.DUMMYFUNCTION("IFNA(XLOOKUP(""*""&amp;TRIM(REGEXREPLACE($D552, ""(?i)^(PT|CV)\.?\s+"", """"))&amp;""*"", 'DATA TARGET'!$C$2:$C998, 'DATA TARGET'!$D$2:$D998, ""Tidak Ditemukan"", 2), ""Tidak Ditemukan"")"),214.89)</f>
        <v>214.89</v>
      </c>
      <c r="H552" s="17">
        <f t="shared" si="1"/>
        <v>199.12</v>
      </c>
      <c r="I552" s="8"/>
    </row>
    <row r="553">
      <c r="A553" s="10" t="s">
        <v>1898</v>
      </c>
      <c r="B553" s="10" t="s">
        <v>1899</v>
      </c>
      <c r="C553" s="10" t="s">
        <v>1444</v>
      </c>
      <c r="D553" s="12" t="s">
        <v>1444</v>
      </c>
      <c r="E553" s="13" t="s">
        <v>1923</v>
      </c>
      <c r="F553" s="15">
        <f>IFERROR(__xludf.DUMMYFUNCTION("XLOOKUP($D553,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(AUTO)'!R6:R""))"),62.21)</f>
        <v>62.21</v>
      </c>
      <c r="G553" s="15">
        <f>IFERROR(__xludf.DUMMYFUNCTION("IFNA(XLOOKUP(""*""&amp;TRIM(REGEXREPLACE($D553, ""(?i)^(PT|CV)\.?\s+"", """"))&amp;""*"", 'DATA TARGET'!$C$2:$C998, 'DATA TARGET'!$D$2:$D998, ""Tidak Ditemukan"", 2), ""Tidak Ditemukan"")"),62.0)</f>
        <v>62</v>
      </c>
      <c r="H553" s="17">
        <f t="shared" si="1"/>
        <v>62.21</v>
      </c>
      <c r="I553" s="8"/>
    </row>
    <row r="554">
      <c r="A554" s="10" t="s">
        <v>1898</v>
      </c>
      <c r="B554" s="10" t="s">
        <v>1899</v>
      </c>
      <c r="C554" s="10" t="s">
        <v>1346</v>
      </c>
      <c r="D554" s="12" t="s">
        <v>1346</v>
      </c>
      <c r="E554" s="13" t="s">
        <v>1924</v>
      </c>
      <c r="F554" s="15" t="str">
        <f>IFERROR(__xludf.DUMMYFUNCTION("XLOOKUP($D554,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4" s="15">
        <f>IFERROR(__xludf.DUMMYFUNCTION("IFNA(XLOOKUP(""*""&amp;TRIM(REGEXREPLACE($D554, ""(?i)^(PT|CV)\.?\s+"", """"))&amp;""*"", 'DATA TARGET'!$C$2:$C998, 'DATA TARGET'!$D$2:$D998, ""Tidak Ditemukan"", 2), ""Tidak Ditemukan"")"),0.0)</f>
        <v>0</v>
      </c>
      <c r="H554" s="17">
        <f t="shared" si="1"/>
        <v>0</v>
      </c>
      <c r="I554" s="8"/>
    </row>
    <row r="555">
      <c r="A555" s="10" t="s">
        <v>1898</v>
      </c>
      <c r="B555" s="10" t="s">
        <v>1899</v>
      </c>
      <c r="C555" s="10" t="s">
        <v>1447</v>
      </c>
      <c r="D555" s="12" t="s">
        <v>1447</v>
      </c>
      <c r="E555" s="13" t="s">
        <v>1925</v>
      </c>
      <c r="F555" s="15">
        <f>IFERROR(__xludf.DUMMYFUNCTION("XLOOKUP($D555,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(AUTO)'!R6:R""))"),448.72)</f>
        <v>448.72</v>
      </c>
      <c r="G555" s="15">
        <f>IFERROR(__xludf.DUMMYFUNCTION("IFNA(XLOOKUP(""*""&amp;TRIM(REGEXREPLACE($D555, ""(?i)^(PT|CV)\.?\s+"", """"))&amp;""*"", 'DATA TARGET'!$C$2:$C998, 'DATA TARGET'!$D$2:$D998, ""Tidak Ditemukan"", 2), ""Tidak Ditemukan"")"),462.73)</f>
        <v>462.73</v>
      </c>
      <c r="H555" s="17">
        <f t="shared" si="1"/>
        <v>448.72</v>
      </c>
      <c r="I555" s="8"/>
    </row>
    <row r="556">
      <c r="A556" s="10" t="s">
        <v>1898</v>
      </c>
      <c r="B556" s="10" t="s">
        <v>1899</v>
      </c>
      <c r="C556" s="10" t="s">
        <v>1449</v>
      </c>
      <c r="D556" s="12" t="s">
        <v>1449</v>
      </c>
      <c r="E556" s="13" t="s">
        <v>1926</v>
      </c>
      <c r="F556" s="15" t="str">
        <f>IFERROR(__xludf.DUMMYFUNCTION("XLOOKUP($D556,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6" s="15">
        <f>IFERROR(__xludf.DUMMYFUNCTION("IFNA(XLOOKUP(""*""&amp;TRIM(REGEXREPLACE($D556, ""(?i)^(PT|CV)\.?\s+"", """"))&amp;""*"", 'DATA TARGET'!$C$2:$C998, 'DATA TARGET'!$D$2:$D998, ""Tidak Ditemukan"", 2), ""Tidak Ditemukan"")"),0.04)</f>
        <v>0.04</v>
      </c>
      <c r="H556" s="17">
        <f t="shared" si="1"/>
        <v>0.04</v>
      </c>
      <c r="I556" s="8"/>
    </row>
    <row r="557">
      <c r="A557" s="10" t="s">
        <v>1898</v>
      </c>
      <c r="B557" s="10" t="s">
        <v>1899</v>
      </c>
      <c r="C557" s="10" t="s">
        <v>1451</v>
      </c>
      <c r="D557" s="12" t="s">
        <v>1451</v>
      </c>
      <c r="E557" s="13" t="s">
        <v>1927</v>
      </c>
      <c r="F557" s="15" t="str">
        <f>IFERROR(__xludf.DUMMYFUNCTION("XLOOKUP($D557,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7" s="15">
        <f>IFERROR(__xludf.DUMMYFUNCTION("IFNA(XLOOKUP(""*""&amp;TRIM(REGEXREPLACE($D557, ""(?i)^(PT|CV)\.?\s+"", """"))&amp;""*"", 'DATA TARGET'!$C$2:$C998, 'DATA TARGET'!$D$2:$D998, ""Tidak Ditemukan"", 2), ""Tidak Ditemukan"")"),0.02)</f>
        <v>0.02</v>
      </c>
      <c r="H557" s="17">
        <f t="shared" si="1"/>
        <v>0.02</v>
      </c>
      <c r="I557" s="8"/>
    </row>
    <row r="558">
      <c r="A558" s="10" t="s">
        <v>1898</v>
      </c>
      <c r="B558" s="10" t="s">
        <v>1899</v>
      </c>
      <c r="C558" s="10" t="s">
        <v>1453</v>
      </c>
      <c r="D558" s="12" t="s">
        <v>1453</v>
      </c>
      <c r="E558" s="13" t="s">
        <v>1928</v>
      </c>
      <c r="F558" s="15" t="str">
        <f>IFERROR(__xludf.DUMMYFUNCTION("XLOOKUP($D558,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8" s="15">
        <f>IFERROR(__xludf.DUMMYFUNCTION("IFNA(XLOOKUP(""*""&amp;TRIM(REGEXREPLACE($D558, ""(?i)^(PT|CV)\.?\s+"", """"))&amp;""*"", 'DATA TARGET'!$C$2:$C998, 'DATA TARGET'!$D$2:$D998, ""Tidak Ditemukan"", 2), ""Tidak Ditemukan"")"),231.76)</f>
        <v>231.76</v>
      </c>
      <c r="H558" s="17">
        <f t="shared" si="1"/>
        <v>231.76</v>
      </c>
      <c r="I558" s="8"/>
    </row>
    <row r="559">
      <c r="A559" s="10" t="s">
        <v>1898</v>
      </c>
      <c r="B559" s="10" t="s">
        <v>1899</v>
      </c>
      <c r="C559" s="10" t="s">
        <v>1457</v>
      </c>
      <c r="D559" s="12" t="s">
        <v>1457</v>
      </c>
      <c r="E559" s="13" t="s">
        <v>1929</v>
      </c>
      <c r="F559" s="15" t="str">
        <f>IFERROR(__xludf.DUMMYFUNCTION("XLOOKUP($D559,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59" s="15">
        <f>IFERROR(__xludf.DUMMYFUNCTION("IFNA(XLOOKUP(""*""&amp;TRIM(REGEXREPLACE($D559, ""(?i)^(PT|CV)\.?\s+"", """"))&amp;""*"", 'DATA TARGET'!$C$2:$C998, 'DATA TARGET'!$D$2:$D998, ""Tidak Ditemukan"", 2), ""Tidak Ditemukan"")"),7.64)</f>
        <v>7.64</v>
      </c>
      <c r="H559" s="17">
        <f t="shared" si="1"/>
        <v>7.64</v>
      </c>
      <c r="I559" s="8"/>
    </row>
    <row r="560">
      <c r="A560" s="10" t="s">
        <v>1898</v>
      </c>
      <c r="B560" s="10" t="s">
        <v>1899</v>
      </c>
      <c r="C560" s="10" t="s">
        <v>1458</v>
      </c>
      <c r="D560" s="12" t="s">
        <v>1458</v>
      </c>
      <c r="E560" s="13" t="s">
        <v>1930</v>
      </c>
      <c r="F560" s="15" t="str">
        <f>IFERROR(__xludf.DUMMYFUNCTION("XLOOKUP($D560,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60" s="15">
        <f>IFERROR(__xludf.DUMMYFUNCTION("IFNA(XLOOKUP(""*""&amp;TRIM(REGEXREPLACE($D560, ""(?i)^(PT|CV)\.?\s+"", """"))&amp;""*"", 'DATA TARGET'!$C$2:$C998, 'DATA TARGET'!$D$2:$D998, ""Tidak Ditemukan"", 2), ""Tidak Ditemukan"")"),6.46)</f>
        <v>6.46</v>
      </c>
      <c r="H560" s="17">
        <f t="shared" si="1"/>
        <v>6.46</v>
      </c>
      <c r="I560" s="8"/>
    </row>
    <row r="561">
      <c r="A561" s="10" t="s">
        <v>1898</v>
      </c>
      <c r="B561" s="10" t="s">
        <v>1899</v>
      </c>
      <c r="C561" s="10" t="s">
        <v>1931</v>
      </c>
      <c r="D561" s="12" t="s">
        <v>1931</v>
      </c>
      <c r="E561" s="13" t="s">
        <v>1932</v>
      </c>
      <c r="F561" s="15">
        <f>IFERROR(__xludf.DUMMYFUNCTION("XLOOKUP($D561,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(AUTO)'!R6:R""))"),349.74)</f>
        <v>349.74</v>
      </c>
      <c r="G561" s="15">
        <f>IFERROR(__xludf.DUMMYFUNCTION("IFNA(XLOOKUP(""*""&amp;TRIM(REGEXREPLACE($D561, ""(?i)^(PT|CV)\.?\s+"", """"))&amp;""*"", 'DATA TARGET'!$C$2:$C998, 'DATA TARGET'!$D$2:$D998, ""Tidak Ditemukan"", 2), ""Tidak Ditemukan"")"),349.74)</f>
        <v>349.74</v>
      </c>
      <c r="H561" s="17">
        <f t="shared" si="1"/>
        <v>349.74</v>
      </c>
      <c r="I561" s="8"/>
    </row>
    <row r="562">
      <c r="A562" s="10" t="s">
        <v>1898</v>
      </c>
      <c r="B562" s="10" t="s">
        <v>1899</v>
      </c>
      <c r="C562" s="10" t="s">
        <v>1933</v>
      </c>
      <c r="D562" s="12" t="s">
        <v>1933</v>
      </c>
      <c r="E562" s="13" t="s">
        <v>1934</v>
      </c>
      <c r="F562" s="15">
        <f>IFERROR(__xludf.DUMMYFUNCTION("XLOOKUP($D562,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(AUTO)'!R6:R""))"),2416.23)</f>
        <v>2416.23</v>
      </c>
      <c r="G562" s="15">
        <f>IFERROR(__xludf.DUMMYFUNCTION("IFNA(XLOOKUP(""*""&amp;TRIM(REGEXREPLACE($D562, ""(?i)^(PT|CV)\.?\s+"", """"))&amp;""*"", 'DATA TARGET'!$C$2:$C998, 'DATA TARGET'!$D$2:$D998, ""Tidak Ditemukan"", 2), ""Tidak Ditemukan"")"),2252.0)</f>
        <v>2252</v>
      </c>
      <c r="H562" s="17">
        <f t="shared" si="1"/>
        <v>2416.23</v>
      </c>
      <c r="I562" s="8"/>
    </row>
    <row r="563">
      <c r="A563" s="10" t="s">
        <v>1898</v>
      </c>
      <c r="B563" s="10" t="s">
        <v>1899</v>
      </c>
      <c r="C563" s="10" t="s">
        <v>1935</v>
      </c>
      <c r="D563" s="12" t="s">
        <v>1935</v>
      </c>
      <c r="E563" s="13" t="s">
        <v>1936</v>
      </c>
      <c r="F563" s="15" t="str">
        <f>IFERROR(__xludf.DUMMYFUNCTION("XLOOKUP($D563,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63" s="15">
        <f>IFERROR(__xludf.DUMMYFUNCTION("IFNA(XLOOKUP(""*""&amp;TRIM(REGEXREPLACE($D563, ""(?i)^(PT|CV)\.?\s+"", """"))&amp;""*"", 'DATA TARGET'!$C$2:$C998, 'DATA TARGET'!$D$2:$D998, ""Tidak Ditemukan"", 2), ""Tidak Ditemukan"")"),6466.2)</f>
        <v>6466.2</v>
      </c>
      <c r="H563" s="17">
        <f t="shared" si="1"/>
        <v>6466.2</v>
      </c>
      <c r="I563" s="8"/>
    </row>
    <row r="564">
      <c r="A564" s="10" t="s">
        <v>1898</v>
      </c>
      <c r="B564" s="10" t="s">
        <v>1899</v>
      </c>
      <c r="C564" s="10" t="s">
        <v>1937</v>
      </c>
      <c r="D564" s="12" t="s">
        <v>1937</v>
      </c>
      <c r="E564" s="13" t="s">
        <v>1938</v>
      </c>
      <c r="F564" s="15">
        <f>IFERROR(__xludf.DUMMYFUNCTION("XLOOKUP($D564,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(AUTO)'!R6:R""))"),49.73)</f>
        <v>49.73</v>
      </c>
      <c r="G564" s="15">
        <f>IFERROR(__xludf.DUMMYFUNCTION("IFNA(XLOOKUP(""*""&amp;TRIM(REGEXREPLACE($D564, ""(?i)^(PT|CV)\.?\s+"", """"))&amp;""*"", 'DATA TARGET'!$C$2:$C998, 'DATA TARGET'!$D$2:$D998, ""Tidak Ditemukan"", 2), ""Tidak Ditemukan"")"),37.63)</f>
        <v>37.63</v>
      </c>
      <c r="H564" s="17">
        <f t="shared" si="1"/>
        <v>49.73</v>
      </c>
      <c r="I564" s="8"/>
    </row>
    <row r="565">
      <c r="A565" s="10" t="s">
        <v>1898</v>
      </c>
      <c r="B565" s="10" t="s">
        <v>1899</v>
      </c>
      <c r="C565" s="10" t="s">
        <v>1939</v>
      </c>
      <c r="D565" s="12" t="s">
        <v>1939</v>
      </c>
      <c r="E565" s="13" t="s">
        <v>1940</v>
      </c>
      <c r="F565" s="15" t="str">
        <f>IFERROR(__xludf.DUMMYFUNCTION("XLOOKUP($D565,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65" s="15">
        <f>IFERROR(__xludf.DUMMYFUNCTION("IFNA(XLOOKUP(""*""&amp;TRIM(REGEXREPLACE($D565, ""(?i)^(PT|CV)\.?\s+"", """"))&amp;""*"", 'DATA TARGET'!$C$2:$C998, 'DATA TARGET'!$D$2:$D998, ""Tidak Ditemukan"", 2), ""Tidak Ditemukan"")"),1.27)</f>
        <v>1.27</v>
      </c>
      <c r="H565" s="17">
        <f t="shared" si="1"/>
        <v>1.27</v>
      </c>
      <c r="I565" s="8"/>
    </row>
    <row r="566">
      <c r="A566" s="10" t="s">
        <v>1898</v>
      </c>
      <c r="B566" s="10" t="s">
        <v>1899</v>
      </c>
      <c r="C566" s="10" t="s">
        <v>1941</v>
      </c>
      <c r="D566" s="12" t="s">
        <v>1941</v>
      </c>
      <c r="E566" s="13" t="s">
        <v>1942</v>
      </c>
      <c r="F566" s="15" t="str">
        <f>IFERROR(__xludf.DUMMYFUNCTION("XLOOKUP($D566,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66" s="15">
        <f>IFERROR(__xludf.DUMMYFUNCTION("IFNA(XLOOKUP(""*""&amp;TRIM(REGEXREPLACE($D566, ""(?i)^(PT|CV)\.?\s+"", """"))&amp;""*"", 'DATA TARGET'!$C$2:$C998, 'DATA TARGET'!$D$2:$D998, ""Tidak Ditemukan"", 2), ""Tidak Ditemukan"")"),785.54)</f>
        <v>785.54</v>
      </c>
      <c r="H566" s="17">
        <f t="shared" si="1"/>
        <v>785.54</v>
      </c>
      <c r="I566" s="8"/>
    </row>
    <row r="567">
      <c r="A567" s="10" t="s">
        <v>1898</v>
      </c>
      <c r="B567" s="10" t="s">
        <v>1899</v>
      </c>
      <c r="C567" s="10" t="s">
        <v>1943</v>
      </c>
      <c r="D567" s="12" t="s">
        <v>1943</v>
      </c>
      <c r="E567" s="13" t="s">
        <v>1944</v>
      </c>
      <c r="F567" s="15">
        <f>IFERROR(__xludf.DUMMYFUNCTION("XLOOKUP($D567,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(AUTO)'!R6:R""))"),835.93)</f>
        <v>835.93</v>
      </c>
      <c r="G567" s="15">
        <f>IFERROR(__xludf.DUMMYFUNCTION("IFNA(XLOOKUP(""*""&amp;TRIM(REGEXREPLACE($D567, ""(?i)^(PT|CV)\.?\s+"", """"))&amp;""*"", 'DATA TARGET'!$C$2:$C998, 'DATA TARGET'!$D$2:$D998, ""Tidak Ditemukan"", 2), ""Tidak Ditemukan"")"),835.93)</f>
        <v>835.93</v>
      </c>
      <c r="H567" s="17">
        <f t="shared" si="1"/>
        <v>835.93</v>
      </c>
      <c r="I567" s="8"/>
    </row>
    <row r="568">
      <c r="A568" s="10" t="s">
        <v>1898</v>
      </c>
      <c r="B568" s="10" t="s">
        <v>1899</v>
      </c>
      <c r="C568" s="10" t="s">
        <v>1945</v>
      </c>
      <c r="D568" s="12" t="s">
        <v>1945</v>
      </c>
      <c r="E568" s="13" t="s">
        <v>1946</v>
      </c>
      <c r="F568" s="15" t="str">
        <f>IFERROR(__xludf.DUMMYFUNCTION("XLOOKUP($D568,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68" s="15">
        <f>IFERROR(__xludf.DUMMYFUNCTION("IFNA(XLOOKUP(""*""&amp;TRIM(REGEXREPLACE($D568, ""(?i)^(PT|CV)\.?\s+"", """"))&amp;""*"", 'DATA TARGET'!$C$2:$C998, 'DATA TARGET'!$D$2:$D998, ""Tidak Ditemukan"", 2), ""Tidak Ditemukan"")"),5.8)</f>
        <v>5.8</v>
      </c>
      <c r="H568" s="17">
        <f t="shared" si="1"/>
        <v>5.8</v>
      </c>
      <c r="I568" s="8"/>
    </row>
    <row r="569">
      <c r="A569" s="10" t="s">
        <v>1898</v>
      </c>
      <c r="B569" s="10" t="s">
        <v>1899</v>
      </c>
      <c r="C569" s="10" t="s">
        <v>1947</v>
      </c>
      <c r="D569" s="12" t="s">
        <v>1947</v>
      </c>
      <c r="E569" s="13" t="s">
        <v>1948</v>
      </c>
      <c r="F569" s="15">
        <f>IFERROR(__xludf.DUMMYFUNCTION("XLOOKUP($D569,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(AUTO)'!R6:R""))"),2948.0)</f>
        <v>2948</v>
      </c>
      <c r="G569" s="15">
        <f>IFERROR(__xludf.DUMMYFUNCTION("IFNA(XLOOKUP(""*""&amp;TRIM(REGEXREPLACE($D569, ""(?i)^(PT|CV)\.?\s+"", """"))&amp;""*"", 'DATA TARGET'!$C$2:$C998, 'DATA TARGET'!$D$2:$D998, ""Tidak Ditemukan"", 2), ""Tidak Ditemukan"")"),4236.03)</f>
        <v>4236.03</v>
      </c>
      <c r="H569" s="17">
        <f t="shared" si="1"/>
        <v>2948</v>
      </c>
      <c r="I569" s="8"/>
    </row>
    <row r="570">
      <c r="A570" s="10" t="s">
        <v>1898</v>
      </c>
      <c r="B570" s="10" t="s">
        <v>1899</v>
      </c>
      <c r="C570" s="10" t="s">
        <v>1949</v>
      </c>
      <c r="D570" s="12" t="s">
        <v>1949</v>
      </c>
      <c r="E570" s="13" t="s">
        <v>1950</v>
      </c>
      <c r="F570" s="15">
        <f>IFERROR(__xludf.DUMMYFUNCTION("XLOOKUP($D570,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(AUTO)'!R6:R""))"),1312.44)</f>
        <v>1312.44</v>
      </c>
      <c r="G570" s="15">
        <f>IFERROR(__xludf.DUMMYFUNCTION("IFNA(XLOOKUP(""*""&amp;TRIM(REGEXREPLACE($D570, ""(?i)^(PT|CV)\.?\s+"", """"))&amp;""*"", 'DATA TARGET'!$C$2:$C998, 'DATA TARGET'!$D$2:$D998, ""Tidak Ditemukan"", 2), ""Tidak Ditemukan"")"),1312.42)</f>
        <v>1312.42</v>
      </c>
      <c r="H570" s="17">
        <f t="shared" si="1"/>
        <v>1312.44</v>
      </c>
      <c r="I570" s="8"/>
    </row>
    <row r="571">
      <c r="A571" s="10" t="s">
        <v>1898</v>
      </c>
      <c r="B571" s="10" t="s">
        <v>1899</v>
      </c>
      <c r="C571" s="10" t="s">
        <v>1951</v>
      </c>
      <c r="D571" s="12" t="s">
        <v>1951</v>
      </c>
      <c r="E571" s="13" t="s">
        <v>1952</v>
      </c>
      <c r="F571" s="15" t="str">
        <f>IFERROR(__xludf.DUMMYFUNCTION("XLOOKUP($D571,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1" s="15">
        <f>IFERROR(__xludf.DUMMYFUNCTION("IFNA(XLOOKUP(""*""&amp;TRIM(REGEXREPLACE($D571, ""(?i)^(PT|CV)\.?\s+"", """"))&amp;""*"", 'DATA TARGET'!$C$2:$C998, 'DATA TARGET'!$D$2:$D998, ""Tidak Ditemukan"", 2), ""Tidak Ditemukan"")"),0.0)</f>
        <v>0</v>
      </c>
      <c r="H571" s="17">
        <f t="shared" si="1"/>
        <v>0</v>
      </c>
      <c r="I571" s="8"/>
    </row>
    <row r="572">
      <c r="A572" s="10" t="s">
        <v>1898</v>
      </c>
      <c r="B572" s="10" t="s">
        <v>1899</v>
      </c>
      <c r="C572" s="10" t="s">
        <v>1953</v>
      </c>
      <c r="D572" s="12" t="s">
        <v>1953</v>
      </c>
      <c r="E572" s="13" t="s">
        <v>1954</v>
      </c>
      <c r="F572" s="15" t="str">
        <f>IFERROR(__xludf.DUMMYFUNCTION("XLOOKUP($D572,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2" s="15">
        <f>IFERROR(__xludf.DUMMYFUNCTION("IFNA(XLOOKUP(""*""&amp;TRIM(REGEXREPLACE($D572, ""(?i)^(PT|CV)\.?\s+"", """"))&amp;""*"", 'DATA TARGET'!$C$2:$C998, 'DATA TARGET'!$D$2:$D998, ""Tidak Ditemukan"", 2), ""Tidak Ditemukan"")"),0.0)</f>
        <v>0</v>
      </c>
      <c r="H572" s="17">
        <f t="shared" si="1"/>
        <v>0</v>
      </c>
      <c r="I572" s="8"/>
    </row>
    <row r="573">
      <c r="A573" s="10" t="s">
        <v>1898</v>
      </c>
      <c r="B573" s="10" t="s">
        <v>1899</v>
      </c>
      <c r="C573" s="10" t="s">
        <v>1955</v>
      </c>
      <c r="D573" s="12" t="s">
        <v>1955</v>
      </c>
      <c r="E573" s="13" t="s">
        <v>1956</v>
      </c>
      <c r="F573" s="15">
        <f>IFERROR(__xludf.DUMMYFUNCTION("XLOOKUP($D573,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(AUTO)'!R6:R""))"),169.0)</f>
        <v>169</v>
      </c>
      <c r="G573" s="15">
        <f>IFERROR(__xludf.DUMMYFUNCTION("IFNA(XLOOKUP(""*""&amp;TRIM(REGEXREPLACE($D573, ""(?i)^(PT|CV)\.?\s+"", """"))&amp;""*"", 'DATA TARGET'!$C$2:$C998, 'DATA TARGET'!$D$2:$D998, ""Tidak Ditemukan"", 2), ""Tidak Ditemukan"")"),169.0)</f>
        <v>169</v>
      </c>
      <c r="H573" s="17">
        <f t="shared" si="1"/>
        <v>169</v>
      </c>
      <c r="I573" s="8"/>
    </row>
    <row r="574">
      <c r="A574" s="10" t="s">
        <v>1898</v>
      </c>
      <c r="B574" s="10" t="s">
        <v>1899</v>
      </c>
      <c r="C574" s="10" t="s">
        <v>1957</v>
      </c>
      <c r="D574" s="12" t="s">
        <v>1957</v>
      </c>
      <c r="E574" s="13" t="s">
        <v>1958</v>
      </c>
      <c r="F574" s="15" t="str">
        <f>IFERROR(__xludf.DUMMYFUNCTION("XLOOKUP($D574,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4" s="15">
        <f>IFERROR(__xludf.DUMMYFUNCTION("IFNA(XLOOKUP(""*""&amp;TRIM(REGEXREPLACE($D574, ""(?i)^(PT|CV)\.?\s+"", """"))&amp;""*"", 'DATA TARGET'!$C$2:$C998, 'DATA TARGET'!$D$2:$D998, ""Tidak Ditemukan"", 2), ""Tidak Ditemukan"")"),1374.81)</f>
        <v>1374.81</v>
      </c>
      <c r="H574" s="17">
        <f t="shared" si="1"/>
        <v>1374.81</v>
      </c>
      <c r="I574" s="8"/>
    </row>
    <row r="575">
      <c r="A575" s="10" t="s">
        <v>1898</v>
      </c>
      <c r="B575" s="10" t="s">
        <v>1899</v>
      </c>
      <c r="C575" s="10" t="s">
        <v>1959</v>
      </c>
      <c r="D575" s="12" t="s">
        <v>1959</v>
      </c>
      <c r="E575" s="13" t="s">
        <v>1960</v>
      </c>
      <c r="F575" s="15" t="str">
        <f>IFERROR(__xludf.DUMMYFUNCTION("XLOOKUP($D575,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5" s="15">
        <f>IFERROR(__xludf.DUMMYFUNCTION("IFNA(XLOOKUP(""*""&amp;TRIM(REGEXREPLACE($D575, ""(?i)^(PT|CV)\.?\s+"", """"))&amp;""*"", 'DATA TARGET'!$C$2:$C998, 'DATA TARGET'!$D$2:$D998, ""Tidak Ditemukan"", 2), ""Tidak Ditemukan"")"),165.32)</f>
        <v>165.32</v>
      </c>
      <c r="H575" s="17">
        <f t="shared" si="1"/>
        <v>165.32</v>
      </c>
      <c r="I575" s="8"/>
    </row>
    <row r="576">
      <c r="A576" s="10" t="s">
        <v>1898</v>
      </c>
      <c r="B576" s="10" t="s">
        <v>1899</v>
      </c>
      <c r="C576" s="10" t="s">
        <v>1961</v>
      </c>
      <c r="D576" s="12" t="s">
        <v>1961</v>
      </c>
      <c r="E576" s="13" t="s">
        <v>1962</v>
      </c>
      <c r="F576" s="15" t="str">
        <f>IFERROR(__xludf.DUMMYFUNCTION("XLOOKUP($D576,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6" s="15">
        <f>IFERROR(__xludf.DUMMYFUNCTION("IFNA(XLOOKUP(""*""&amp;TRIM(REGEXREPLACE($D576, ""(?i)^(PT|CV)\.?\s+"", """"))&amp;""*"", 'DATA TARGET'!$C$2:$C998, 'DATA TARGET'!$D$2:$D998, ""Tidak Ditemukan"", 2), ""Tidak Ditemukan"")"),581.47)</f>
        <v>581.47</v>
      </c>
      <c r="H576" s="17">
        <f t="shared" si="1"/>
        <v>581.47</v>
      </c>
      <c r="I576" s="8"/>
    </row>
    <row r="577">
      <c r="A577" s="10" t="s">
        <v>1898</v>
      </c>
      <c r="B577" s="10" t="s">
        <v>1899</v>
      </c>
      <c r="C577" s="10" t="s">
        <v>1963</v>
      </c>
      <c r="D577" s="12" t="s">
        <v>1963</v>
      </c>
      <c r="E577" s="13" t="s">
        <v>1964</v>
      </c>
      <c r="F577" s="15">
        <f>IFERROR(__xludf.DUMMYFUNCTION("XLOOKUP($D577,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(AUTO)'!R6:R""))"),225.73)</f>
        <v>225.73</v>
      </c>
      <c r="G577" s="15">
        <f>IFERROR(__xludf.DUMMYFUNCTION("IFNA(XLOOKUP(""*""&amp;TRIM(REGEXREPLACE($D577, ""(?i)^(PT|CV)\.?\s+"", """"))&amp;""*"", 'DATA TARGET'!$C$2:$C998, 'DATA TARGET'!$D$2:$D998, ""Tidak Ditemukan"", 2), ""Tidak Ditemukan"")"),211.44)</f>
        <v>211.44</v>
      </c>
      <c r="H577" s="17">
        <f t="shared" si="1"/>
        <v>225.73</v>
      </c>
      <c r="I577" s="8"/>
    </row>
    <row r="578">
      <c r="A578" s="10" t="s">
        <v>1898</v>
      </c>
      <c r="B578" s="10" t="s">
        <v>1899</v>
      </c>
      <c r="C578" s="10" t="s">
        <v>1965</v>
      </c>
      <c r="D578" s="12" t="s">
        <v>1965</v>
      </c>
      <c r="E578" s="13" t="s">
        <v>1966</v>
      </c>
      <c r="F578" s="15">
        <f>IFERROR(__xludf.DUMMYFUNCTION("XLOOKUP($D578,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(AUTO)'!R6:R""))"),129.61)</f>
        <v>129.61</v>
      </c>
      <c r="G578" s="15">
        <f>IFERROR(__xludf.DUMMYFUNCTION("IFNA(XLOOKUP(""*""&amp;TRIM(REGEXREPLACE($D578, ""(?i)^(PT|CV)\.?\s+"", """"))&amp;""*"", 'DATA TARGET'!$C$2:$C998, 'DATA TARGET'!$D$2:$D998, ""Tidak Ditemukan"", 2), ""Tidak Ditemukan"")"),129.61)</f>
        <v>129.61</v>
      </c>
      <c r="H578" s="17">
        <f t="shared" si="1"/>
        <v>129.61</v>
      </c>
      <c r="I578" s="8"/>
    </row>
    <row r="579">
      <c r="A579" s="10" t="s">
        <v>1898</v>
      </c>
      <c r="B579" s="10" t="s">
        <v>1899</v>
      </c>
      <c r="C579" s="10" t="s">
        <v>1967</v>
      </c>
      <c r="D579" s="12" t="s">
        <v>1967</v>
      </c>
      <c r="E579" s="13" t="s">
        <v>1968</v>
      </c>
      <c r="F579" s="15" t="str">
        <f>IFERROR(__xludf.DUMMYFUNCTION("XLOOKUP($D579,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79" s="15">
        <f>IFERROR(__xludf.DUMMYFUNCTION("IFNA(XLOOKUP(""*""&amp;TRIM(REGEXREPLACE($D579, ""(?i)^(PT|CV)\.?\s+"", """"))&amp;""*"", 'DATA TARGET'!$C$2:$C998, 'DATA TARGET'!$D$2:$D998, ""Tidak Ditemukan"", 2), ""Tidak Ditemukan"")"),8.15)</f>
        <v>8.15</v>
      </c>
      <c r="H579" s="17">
        <f t="shared" si="1"/>
        <v>8.15</v>
      </c>
      <c r="I579" s="8"/>
    </row>
    <row r="580">
      <c r="A580" s="10" t="s">
        <v>1898</v>
      </c>
      <c r="B580" s="10" t="s">
        <v>1899</v>
      </c>
      <c r="C580" s="10" t="s">
        <v>1969</v>
      </c>
      <c r="D580" s="12" t="s">
        <v>1969</v>
      </c>
      <c r="E580" s="13" t="s">
        <v>1970</v>
      </c>
      <c r="F580" s="15" t="str">
        <f>IFERROR(__xludf.DUMMYFUNCTION("XLOOKUP($D580,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0" s="15">
        <f>IFERROR(__xludf.DUMMYFUNCTION("IFNA(XLOOKUP(""*""&amp;TRIM(REGEXREPLACE($D580, ""(?i)^(PT|CV)\.?\s+"", """"))&amp;""*"", 'DATA TARGET'!$C$2:$C998, 'DATA TARGET'!$D$2:$D998, ""Tidak Ditemukan"", 2), ""Tidak Ditemukan"")"),2.47)</f>
        <v>2.47</v>
      </c>
      <c r="H580" s="17">
        <f t="shared" si="1"/>
        <v>2.47</v>
      </c>
      <c r="I580" s="8"/>
    </row>
    <row r="581">
      <c r="A581" s="10" t="s">
        <v>1898</v>
      </c>
      <c r="B581" s="10" t="s">
        <v>1899</v>
      </c>
      <c r="C581" s="10" t="s">
        <v>1971</v>
      </c>
      <c r="D581" s="12" t="s">
        <v>1971</v>
      </c>
      <c r="E581" s="13" t="s">
        <v>1972</v>
      </c>
      <c r="F581" s="15">
        <f>IFERROR(__xludf.DUMMYFUNCTION("XLOOKUP($D581,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(AUTO)'!R6:R""))"),4106.0)</f>
        <v>4106</v>
      </c>
      <c r="G581" s="15">
        <f>IFERROR(__xludf.DUMMYFUNCTION("IFNA(XLOOKUP(""*""&amp;TRIM(REGEXREPLACE($D581, ""(?i)^(PT|CV)\.?\s+"", """"))&amp;""*"", 'DATA TARGET'!$C$2:$C998, 'DATA TARGET'!$D$2:$D998, ""Tidak Ditemukan"", 2), ""Tidak Ditemukan"")"),4106.0)</f>
        <v>4106</v>
      </c>
      <c r="H581" s="17">
        <f t="shared" si="1"/>
        <v>4106</v>
      </c>
      <c r="I581" s="8"/>
    </row>
    <row r="582">
      <c r="A582" s="10" t="s">
        <v>1898</v>
      </c>
      <c r="B582" s="10" t="s">
        <v>1899</v>
      </c>
      <c r="C582" s="10" t="s">
        <v>1973</v>
      </c>
      <c r="D582" s="12" t="s">
        <v>1973</v>
      </c>
      <c r="E582" s="13" t="s">
        <v>1974</v>
      </c>
      <c r="F582" s="15" t="str">
        <f>IFERROR(__xludf.DUMMYFUNCTION("XLOOKUP($D582,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2" s="15">
        <f>IFERROR(__xludf.DUMMYFUNCTION("IFNA(XLOOKUP(""*""&amp;TRIM(REGEXREPLACE($D582, ""(?i)^(PT|CV)\.?\s+"", """"))&amp;""*"", 'DATA TARGET'!$C$2:$C998, 'DATA TARGET'!$D$2:$D998, ""Tidak Ditemukan"", 2), ""Tidak Ditemukan"")"),0.0)</f>
        <v>0</v>
      </c>
      <c r="H582" s="17">
        <f t="shared" si="1"/>
        <v>0</v>
      </c>
      <c r="I582" s="8"/>
    </row>
    <row r="583">
      <c r="A583" s="10" t="s">
        <v>1898</v>
      </c>
      <c r="B583" s="10" t="s">
        <v>1899</v>
      </c>
      <c r="C583" s="10" t="s">
        <v>1975</v>
      </c>
      <c r="D583" s="12" t="s">
        <v>1975</v>
      </c>
      <c r="E583" s="13" t="s">
        <v>1976</v>
      </c>
      <c r="F583" s="15" t="str">
        <f>IFERROR(__xludf.DUMMYFUNCTION("XLOOKUP($D583,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3" s="15">
        <f>IFERROR(__xludf.DUMMYFUNCTION("IFNA(XLOOKUP(""*""&amp;TRIM(REGEXREPLACE($D583, ""(?i)^(PT|CV)\.?\s+"", """"))&amp;""*"", 'DATA TARGET'!$C$2:$C998, 'DATA TARGET'!$D$2:$D998, ""Tidak Ditemukan"", 2), ""Tidak Ditemukan"")"),5.28)</f>
        <v>5.28</v>
      </c>
      <c r="H583" s="17">
        <f t="shared" si="1"/>
        <v>5.28</v>
      </c>
      <c r="I583" s="8"/>
    </row>
    <row r="584">
      <c r="A584" s="10" t="s">
        <v>1898</v>
      </c>
      <c r="B584" s="10" t="s">
        <v>1899</v>
      </c>
      <c r="C584" s="10" t="s">
        <v>1977</v>
      </c>
      <c r="D584" s="12" t="s">
        <v>1977</v>
      </c>
      <c r="E584" s="13" t="s">
        <v>1978</v>
      </c>
      <c r="F584" s="15" t="str">
        <f>IFERROR(__xludf.DUMMYFUNCTION("XLOOKUP($D584,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4" s="15">
        <f>IFERROR(__xludf.DUMMYFUNCTION("IFNA(XLOOKUP(""*""&amp;TRIM(REGEXREPLACE($D584, ""(?i)^(PT|CV)\.?\s+"", """"))&amp;""*"", 'DATA TARGET'!$C$2:$C998, 'DATA TARGET'!$D$2:$D998, ""Tidak Ditemukan"", 2), ""Tidak Ditemukan"")"),1085.89)</f>
        <v>1085.89</v>
      </c>
      <c r="H584" s="17">
        <f t="shared" si="1"/>
        <v>1085.89</v>
      </c>
      <c r="I584" s="8"/>
    </row>
    <row r="585">
      <c r="A585" s="10" t="s">
        <v>1898</v>
      </c>
      <c r="B585" s="10" t="s">
        <v>1899</v>
      </c>
      <c r="C585" s="10" t="s">
        <v>1979</v>
      </c>
      <c r="D585" s="12" t="s">
        <v>1979</v>
      </c>
      <c r="E585" s="13" t="s">
        <v>1980</v>
      </c>
      <c r="F585" s="15" t="str">
        <f>IFERROR(__xludf.DUMMYFUNCTION("XLOOKUP($D585,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5" s="15">
        <f>IFERROR(__xludf.DUMMYFUNCTION("IFNA(XLOOKUP(""*""&amp;TRIM(REGEXREPLACE($D585, ""(?i)^(PT|CV)\.?\s+"", """"))&amp;""*"", 'DATA TARGET'!$C$2:$C998, 'DATA TARGET'!$D$2:$D998, ""Tidak Ditemukan"", 2), ""Tidak Ditemukan"")"),58.91)</f>
        <v>58.91</v>
      </c>
      <c r="H585" s="17">
        <f t="shared" si="1"/>
        <v>58.91</v>
      </c>
      <c r="I585" s="8"/>
    </row>
    <row r="586">
      <c r="A586" s="10" t="s">
        <v>1898</v>
      </c>
      <c r="B586" s="10" t="s">
        <v>1899</v>
      </c>
      <c r="C586" s="10" t="s">
        <v>1981</v>
      </c>
      <c r="D586" s="12" t="s">
        <v>1981</v>
      </c>
      <c r="E586" s="13" t="s">
        <v>1982</v>
      </c>
      <c r="F586" s="15" t="str">
        <f>IFERROR(__xludf.DUMMYFUNCTION("XLOOKUP($D586,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6" s="15">
        <f>IFERROR(__xludf.DUMMYFUNCTION("IFNA(XLOOKUP(""*""&amp;TRIM(REGEXREPLACE($D586, ""(?i)^(PT|CV)\.?\s+"", """"))&amp;""*"", 'DATA TARGET'!$C$2:$C998, 'DATA TARGET'!$D$2:$D998, ""Tidak Ditemukan"", 2), ""Tidak Ditemukan"")"),51.52)</f>
        <v>51.52</v>
      </c>
      <c r="H586" s="17">
        <f t="shared" si="1"/>
        <v>51.52</v>
      </c>
      <c r="I586" s="8"/>
    </row>
    <row r="587">
      <c r="A587" s="10" t="s">
        <v>1898</v>
      </c>
      <c r="B587" s="10" t="s">
        <v>1899</v>
      </c>
      <c r="C587" s="10" t="s">
        <v>1983</v>
      </c>
      <c r="D587" s="12" t="s">
        <v>1983</v>
      </c>
      <c r="E587" s="13" t="s">
        <v>1984</v>
      </c>
      <c r="F587" s="15" t="str">
        <f>IFERROR(__xludf.DUMMYFUNCTION("XLOOKUP($D587,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7" s="15">
        <f>IFERROR(__xludf.DUMMYFUNCTION("IFNA(XLOOKUP(""*""&amp;TRIM(REGEXREPLACE($D587, ""(?i)^(PT|CV)\.?\s+"", """"))&amp;""*"", 'DATA TARGET'!$C$2:$C998, 'DATA TARGET'!$D$2:$D998, ""Tidak Ditemukan"", 2), ""Tidak Ditemukan"")"),0.0)</f>
        <v>0</v>
      </c>
      <c r="H587" s="17">
        <f t="shared" si="1"/>
        <v>0</v>
      </c>
      <c r="I587" s="8"/>
    </row>
    <row r="588">
      <c r="A588" s="10" t="s">
        <v>1898</v>
      </c>
      <c r="B588" s="10" t="s">
        <v>1899</v>
      </c>
      <c r="C588" s="10" t="s">
        <v>1985</v>
      </c>
      <c r="D588" s="12" t="s">
        <v>1985</v>
      </c>
      <c r="E588" s="13" t="s">
        <v>1986</v>
      </c>
      <c r="F588" s="15">
        <f>IFERROR(__xludf.DUMMYFUNCTION("XLOOKUP($D588,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(AUTO)'!R6:R""))"),264.5)</f>
        <v>264.5</v>
      </c>
      <c r="G588" s="15">
        <f>IFERROR(__xludf.DUMMYFUNCTION("IFNA(XLOOKUP(""*""&amp;TRIM(REGEXREPLACE($D588, ""(?i)^(PT|CV)\.?\s+"", """"))&amp;""*"", 'DATA TARGET'!$C$2:$C998, 'DATA TARGET'!$D$2:$D998, ""Tidak Ditemukan"", 2), ""Tidak Ditemukan"")"),207.0)</f>
        <v>207</v>
      </c>
      <c r="H588" s="17">
        <f t="shared" si="1"/>
        <v>264.5</v>
      </c>
      <c r="I588" s="8"/>
    </row>
    <row r="589">
      <c r="A589" s="10" t="s">
        <v>1898</v>
      </c>
      <c r="B589" s="10" t="s">
        <v>1899</v>
      </c>
      <c r="C589" s="10" t="s">
        <v>1987</v>
      </c>
      <c r="D589" s="12" t="s">
        <v>1987</v>
      </c>
      <c r="E589" s="13" t="s">
        <v>1988</v>
      </c>
      <c r="F589" s="15" t="str">
        <f>IFERROR(__xludf.DUMMYFUNCTION("XLOOKUP($D589,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89" s="15">
        <f>IFERROR(__xludf.DUMMYFUNCTION("IFNA(XLOOKUP(""*""&amp;TRIM(REGEXREPLACE($D589, ""(?i)^(PT|CV)\.?\s+"", """"))&amp;""*"", 'DATA TARGET'!$C$2:$C998, 'DATA TARGET'!$D$2:$D998, ""Tidak Ditemukan"", 2), ""Tidak Ditemukan"")"),1009.98)</f>
        <v>1009.98</v>
      </c>
      <c r="H589" s="17">
        <f t="shared" si="1"/>
        <v>1009.98</v>
      </c>
      <c r="I589" s="8"/>
    </row>
    <row r="590">
      <c r="A590" s="10" t="s">
        <v>1898</v>
      </c>
      <c r="B590" s="10" t="s">
        <v>1899</v>
      </c>
      <c r="C590" s="10" t="s">
        <v>1989</v>
      </c>
      <c r="D590" s="12" t="s">
        <v>1989</v>
      </c>
      <c r="E590" s="13" t="s">
        <v>1990</v>
      </c>
      <c r="F590" s="15" t="str">
        <f>IFERROR(__xludf.DUMMYFUNCTION("XLOOKUP($D590,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90" s="15">
        <f>IFERROR(__xludf.DUMMYFUNCTION("IFNA(XLOOKUP(""*""&amp;TRIM(REGEXREPLACE($D590, ""(?i)^(PT|CV)\.?\s+"", """"))&amp;""*"", 'DATA TARGET'!$C$2:$C998, 'DATA TARGET'!$D$2:$D998, ""Tidak Ditemukan"", 2), ""Tidak Ditemukan"")"),2.79)</f>
        <v>2.79</v>
      </c>
      <c r="H590" s="17">
        <f t="shared" si="1"/>
        <v>2.79</v>
      </c>
      <c r="I590" s="8"/>
    </row>
    <row r="591">
      <c r="A591" s="10" t="s">
        <v>1898</v>
      </c>
      <c r="B591" s="10" t="s">
        <v>1899</v>
      </c>
      <c r="C591" s="10" t="s">
        <v>1991</v>
      </c>
      <c r="D591" s="12" t="s">
        <v>1991</v>
      </c>
      <c r="E591" s="13" t="s">
        <v>1992</v>
      </c>
      <c r="F591" s="15">
        <f>IFERROR(__xludf.DUMMYFUNCTION("XLOOKUP($D591,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(AUTO)'!R6:R""))"),1070.94)</f>
        <v>1070.94</v>
      </c>
      <c r="G591" s="15">
        <f>IFERROR(__xludf.DUMMYFUNCTION("IFNA(XLOOKUP(""*""&amp;TRIM(REGEXREPLACE($D591, ""(?i)^(PT|CV)\.?\s+"", """"))&amp;""*"", 'DATA TARGET'!$C$2:$C998, 'DATA TARGET'!$D$2:$D998, ""Tidak Ditemukan"", 2), ""Tidak Ditemukan"")"),1070.94)</f>
        <v>1070.94</v>
      </c>
      <c r="H591" s="17">
        <f t="shared" si="1"/>
        <v>1070.94</v>
      </c>
      <c r="I591" s="8"/>
    </row>
    <row r="592">
      <c r="A592" s="10" t="s">
        <v>1898</v>
      </c>
      <c r="B592" s="10" t="s">
        <v>1899</v>
      </c>
      <c r="C592" s="10" t="s">
        <v>1993</v>
      </c>
      <c r="D592" s="12" t="s">
        <v>1993</v>
      </c>
      <c r="E592" s="13" t="s">
        <v>1994</v>
      </c>
      <c r="F592" s="15">
        <f>IFERROR(__xludf.DUMMYFUNCTION("XLOOKUP($D592,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(AUTO)'!R6:R""))"),1761.66)</f>
        <v>1761.66</v>
      </c>
      <c r="G592" s="15">
        <f>IFERROR(__xludf.DUMMYFUNCTION("IFNA(XLOOKUP(""*""&amp;TRIM(REGEXREPLACE($D592, ""(?i)^(PT|CV)\.?\s+"", """"))&amp;""*"", 'DATA TARGET'!$C$2:$C998, 'DATA TARGET'!$D$2:$D998, ""Tidak Ditemukan"", 2), ""Tidak Ditemukan"")"),1761.74)</f>
        <v>1761.74</v>
      </c>
      <c r="H592" s="17">
        <f t="shared" si="1"/>
        <v>1761.66</v>
      </c>
      <c r="I592" s="8"/>
    </row>
    <row r="593">
      <c r="A593" s="10" t="s">
        <v>1898</v>
      </c>
      <c r="B593" s="10" t="s">
        <v>1899</v>
      </c>
      <c r="C593" s="10" t="s">
        <v>1995</v>
      </c>
      <c r="D593" s="12" t="s">
        <v>1995</v>
      </c>
      <c r="E593" s="13" t="s">
        <v>1996</v>
      </c>
      <c r="F593" s="15" t="str">
        <f>IFERROR(__xludf.DUMMYFUNCTION("XLOOKUP($D593,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93" s="15">
        <f>IFERROR(__xludf.DUMMYFUNCTION("IFNA(XLOOKUP(""*""&amp;TRIM(REGEXREPLACE($D593, ""(?i)^(PT|CV)\.?\s+"", """"))&amp;""*"", 'DATA TARGET'!$C$2:$C998, 'DATA TARGET'!$D$2:$D998, ""Tidak Ditemukan"", 2), ""Tidak Ditemukan"")"),4.58)</f>
        <v>4.58</v>
      </c>
      <c r="H593" s="17">
        <f t="shared" si="1"/>
        <v>4.58</v>
      </c>
      <c r="I593" s="8"/>
    </row>
    <row r="594">
      <c r="A594" s="10" t="s">
        <v>1898</v>
      </c>
      <c r="B594" s="10" t="s">
        <v>1899</v>
      </c>
      <c r="C594" s="10" t="s">
        <v>1997</v>
      </c>
      <c r="D594" s="12" t="s">
        <v>1997</v>
      </c>
      <c r="E594" s="13" t="s">
        <v>1998</v>
      </c>
      <c r="F594" s="15">
        <f>IFERROR(__xludf.DUMMYFUNCTION("XLOOKUP($D594,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(AUTO)'!R6:R""))"),925.05)</f>
        <v>925.05</v>
      </c>
      <c r="G594" s="15">
        <f>IFERROR(__xludf.DUMMYFUNCTION("IFNA(XLOOKUP(""*""&amp;TRIM(REGEXREPLACE($D594, ""(?i)^(PT|CV)\.?\s+"", """"))&amp;""*"", 'DATA TARGET'!$C$2:$C998, 'DATA TARGET'!$D$2:$D998, ""Tidak Ditemukan"", 2), ""Tidak Ditemukan"")"),873.21)</f>
        <v>873.21</v>
      </c>
      <c r="H594" s="17">
        <f t="shared" si="1"/>
        <v>925.05</v>
      </c>
      <c r="I594" s="8"/>
    </row>
    <row r="595">
      <c r="A595" s="10" t="s">
        <v>1898</v>
      </c>
      <c r="B595" s="10" t="s">
        <v>1899</v>
      </c>
      <c r="C595" s="10" t="s">
        <v>1999</v>
      </c>
      <c r="D595" s="12" t="s">
        <v>1999</v>
      </c>
      <c r="E595" s="13" t="s">
        <v>2000</v>
      </c>
      <c r="F595" s="15" t="str">
        <f>IFERROR(__xludf.DUMMYFUNCTION("XLOOKUP($D595,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95" s="15">
        <f>IFERROR(__xludf.DUMMYFUNCTION("IFNA(XLOOKUP(""*""&amp;TRIM(REGEXREPLACE($D595, ""(?i)^(PT|CV)\.?\s+"", """"))&amp;""*"", 'DATA TARGET'!$C$2:$C998, 'DATA TARGET'!$D$2:$D998, ""Tidak Ditemukan"", 2), ""Tidak Ditemukan"")"),0.0)</f>
        <v>0</v>
      </c>
      <c r="H595" s="17">
        <f t="shared" si="1"/>
        <v>0</v>
      </c>
      <c r="I595" s="8"/>
    </row>
    <row r="596">
      <c r="A596" s="10" t="s">
        <v>1898</v>
      </c>
      <c r="B596" s="10" t="s">
        <v>1899</v>
      </c>
      <c r="C596" s="10" t="s">
        <v>2001</v>
      </c>
      <c r="D596" s="12" t="s">
        <v>2001</v>
      </c>
      <c r="E596" s="13" t="s">
        <v>2002</v>
      </c>
      <c r="F596" s="15">
        <f>IFERROR(__xludf.DUMMYFUNCTION("XLOOKUP($D596,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(AUTO)'!R6:R""))"),1601.88)</f>
        <v>1601.88</v>
      </c>
      <c r="G596" s="15">
        <f>IFERROR(__xludf.DUMMYFUNCTION("IFNA(XLOOKUP(""*""&amp;TRIM(REGEXREPLACE($D596, ""(?i)^(PT|CV)\.?\s+"", """"))&amp;""*"", 'DATA TARGET'!$C$2:$C998, 'DATA TARGET'!$D$2:$D998, ""Tidak Ditemukan"", 2), ""Tidak Ditemukan"")"),1527.0)</f>
        <v>1527</v>
      </c>
      <c r="H596" s="17">
        <f t="shared" si="1"/>
        <v>1601.88</v>
      </c>
      <c r="I596" s="8"/>
    </row>
    <row r="597">
      <c r="A597" s="10" t="s">
        <v>1898</v>
      </c>
      <c r="B597" s="10" t="s">
        <v>1899</v>
      </c>
      <c r="C597" s="10" t="s">
        <v>2003</v>
      </c>
      <c r="D597" s="12" t="s">
        <v>2003</v>
      </c>
      <c r="E597" s="13" t="s">
        <v>2004</v>
      </c>
      <c r="F597" s="15" t="str">
        <f>IFERROR(__xludf.DUMMYFUNCTION("XLOOKUP($D597,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597" s="15">
        <f>IFERROR(__xludf.DUMMYFUNCTION("IFNA(XLOOKUP(""*""&amp;TRIM(REGEXREPLACE($D597, ""(?i)^(PT|CV)\.?\s+"", """"))&amp;""*"", 'DATA TARGET'!$C$2:$C998, 'DATA TARGET'!$D$2:$D998, ""Tidak Ditemukan"", 2), ""Tidak Ditemukan"")"),1623.3)</f>
        <v>1623.3</v>
      </c>
      <c r="H597" s="17">
        <f t="shared" si="1"/>
        <v>1623.3</v>
      </c>
      <c r="I597" s="8"/>
    </row>
    <row r="598">
      <c r="A598" s="10" t="s">
        <v>1898</v>
      </c>
      <c r="B598" s="10" t="s">
        <v>1899</v>
      </c>
      <c r="C598" s="10" t="s">
        <v>2005</v>
      </c>
      <c r="D598" s="12" t="s">
        <v>2005</v>
      </c>
      <c r="E598" s="13" t="s">
        <v>2006</v>
      </c>
      <c r="F598" s="15">
        <f>IFERROR(__xludf.DUMMYFUNCTION("XLOOKUP($D598,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(AUTO)'!R6:R""))"),1321.0)</f>
        <v>1321</v>
      </c>
      <c r="G598" s="15">
        <f>IFERROR(__xludf.DUMMYFUNCTION("IFNA(XLOOKUP(""*""&amp;TRIM(REGEXREPLACE($D598, ""(?i)^(PT|CV)\.?\s+"", """"))&amp;""*"", 'DATA TARGET'!$C$2:$C998, 'DATA TARGET'!$D$2:$D998, ""Tidak Ditemukan"", 2), ""Tidak Ditemukan"")"),563.29)</f>
        <v>563.29</v>
      </c>
      <c r="H598" s="17">
        <f t="shared" si="1"/>
        <v>1321</v>
      </c>
      <c r="I598" s="8"/>
    </row>
    <row r="599">
      <c r="A599" s="10" t="s">
        <v>1898</v>
      </c>
      <c r="B599" s="10" t="s">
        <v>1899</v>
      </c>
      <c r="C599" s="10" t="s">
        <v>2007</v>
      </c>
      <c r="D599" s="12" t="s">
        <v>2007</v>
      </c>
      <c r="E599" s="13" t="s">
        <v>2008</v>
      </c>
      <c r="F599" s="15">
        <f>IFERROR(__xludf.DUMMYFUNCTION("XLOOKUP($D599,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(AUTO)'!R6:R""))"),1318.0)</f>
        <v>1318</v>
      </c>
      <c r="G599" s="15">
        <f>IFERROR(__xludf.DUMMYFUNCTION("IFNA(XLOOKUP(""*""&amp;TRIM(REGEXREPLACE($D599, ""(?i)^(PT|CV)\.?\s+"", """"))&amp;""*"", 'DATA TARGET'!$C$2:$C998, 'DATA TARGET'!$D$2:$D998, ""Tidak Ditemukan"", 2), ""Tidak Ditemukan"")"),1305.0)</f>
        <v>1305</v>
      </c>
      <c r="H599" s="17">
        <f t="shared" si="1"/>
        <v>1318</v>
      </c>
      <c r="I599" s="8"/>
    </row>
    <row r="600">
      <c r="A600" s="10" t="s">
        <v>1898</v>
      </c>
      <c r="B600" s="10" t="s">
        <v>1899</v>
      </c>
      <c r="C600" s="10" t="s">
        <v>2009</v>
      </c>
      <c r="D600" s="12" t="s">
        <v>2009</v>
      </c>
      <c r="E600" s="13" t="s">
        <v>2010</v>
      </c>
      <c r="F600" s="15" t="str">
        <f>IFERROR(__xludf.DUMMYFUNCTION("XLOOKUP($D600,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0" s="15">
        <f>IFERROR(__xludf.DUMMYFUNCTION("IFNA(XLOOKUP(""*""&amp;TRIM(REGEXREPLACE($D600, ""(?i)^(PT|CV)\.?\s+"", """"))&amp;""*"", 'DATA TARGET'!$C$2:$C998, 'DATA TARGET'!$D$2:$D998, ""Tidak Ditemukan"", 2), ""Tidak Ditemukan"")"),0.0)</f>
        <v>0</v>
      </c>
      <c r="H600" s="17">
        <f t="shared" si="1"/>
        <v>0</v>
      </c>
      <c r="I600" s="8"/>
    </row>
    <row r="601">
      <c r="A601" s="10" t="s">
        <v>1898</v>
      </c>
      <c r="B601" s="10" t="s">
        <v>1899</v>
      </c>
      <c r="C601" s="10" t="s">
        <v>2011</v>
      </c>
      <c r="D601" s="12" t="s">
        <v>2011</v>
      </c>
      <c r="E601" s="13" t="s">
        <v>2012</v>
      </c>
      <c r="F601" s="15" t="str">
        <f>IFERROR(__xludf.DUMMYFUNCTION("XLOOKUP($D601,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1" s="15">
        <f>IFERROR(__xludf.DUMMYFUNCTION("IFNA(XLOOKUP(""*""&amp;TRIM(REGEXREPLACE($D601, ""(?i)^(PT|CV)\.?\s+"", """"))&amp;""*"", 'DATA TARGET'!$C$2:$C998, 'DATA TARGET'!$D$2:$D998, ""Tidak Ditemukan"", 2), ""Tidak Ditemukan"")"),94.64)</f>
        <v>94.64</v>
      </c>
      <c r="H601" s="17">
        <f t="shared" si="1"/>
        <v>94.64</v>
      </c>
      <c r="I601" s="8"/>
    </row>
    <row r="602">
      <c r="A602" s="10" t="s">
        <v>1898</v>
      </c>
      <c r="B602" s="10" t="s">
        <v>1899</v>
      </c>
      <c r="C602" s="10" t="s">
        <v>2013</v>
      </c>
      <c r="D602" s="12" t="s">
        <v>2013</v>
      </c>
      <c r="E602" s="13" t="s">
        <v>2014</v>
      </c>
      <c r="F602" s="15">
        <f>IFERROR(__xludf.DUMMYFUNCTION("XLOOKUP($D602,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(AUTO)'!R6:R""))"),121.0)</f>
        <v>121</v>
      </c>
      <c r="G602" s="15">
        <f>IFERROR(__xludf.DUMMYFUNCTION("IFNA(XLOOKUP(""*""&amp;TRIM(REGEXREPLACE($D602, ""(?i)^(PT|CV)\.?\s+"", """"))&amp;""*"", 'DATA TARGET'!$C$2:$C998, 'DATA TARGET'!$D$2:$D998, ""Tidak Ditemukan"", 2), ""Tidak Ditemukan"")"),121.0)</f>
        <v>121</v>
      </c>
      <c r="H602" s="17">
        <f t="shared" si="1"/>
        <v>121</v>
      </c>
      <c r="I602" s="8"/>
    </row>
    <row r="603">
      <c r="A603" s="10" t="s">
        <v>1898</v>
      </c>
      <c r="B603" s="10" t="s">
        <v>1899</v>
      </c>
      <c r="C603" s="10" t="s">
        <v>2015</v>
      </c>
      <c r="D603" s="12" t="s">
        <v>2015</v>
      </c>
      <c r="E603" s="13" t="s">
        <v>2016</v>
      </c>
      <c r="F603" s="15" t="str">
        <f>IFERROR(__xludf.DUMMYFUNCTION("XLOOKUP($D603,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3" s="15">
        <f>IFERROR(__xludf.DUMMYFUNCTION("IFNA(XLOOKUP(""*""&amp;TRIM(REGEXREPLACE($D603, ""(?i)^(PT|CV)\.?\s+"", """"))&amp;""*"", 'DATA TARGET'!$C$2:$C998, 'DATA TARGET'!$D$2:$D998, ""Tidak Ditemukan"", 2), ""Tidak Ditemukan"")"),857.31)</f>
        <v>857.31</v>
      </c>
      <c r="H603" s="17">
        <f t="shared" si="1"/>
        <v>857.31</v>
      </c>
      <c r="I603" s="8"/>
    </row>
    <row r="604">
      <c r="A604" s="10" t="s">
        <v>1898</v>
      </c>
      <c r="B604" s="10" t="s">
        <v>1899</v>
      </c>
      <c r="C604" s="10" t="s">
        <v>2017</v>
      </c>
      <c r="D604" s="12" t="s">
        <v>2017</v>
      </c>
      <c r="E604" s="13" t="s">
        <v>2018</v>
      </c>
      <c r="F604" s="15" t="str">
        <f>IFERROR(__xludf.DUMMYFUNCTION("XLOOKUP($D604,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4" s="15">
        <f>IFERROR(__xludf.DUMMYFUNCTION("IFNA(XLOOKUP(""*""&amp;TRIM(REGEXREPLACE($D604, ""(?i)^(PT|CV)\.?\s+"", """"))&amp;""*"", 'DATA TARGET'!$C$2:$C998, 'DATA TARGET'!$D$2:$D998, ""Tidak Ditemukan"", 2), ""Tidak Ditemukan"")"),1463.81)</f>
        <v>1463.81</v>
      </c>
      <c r="H604" s="17">
        <f t="shared" si="1"/>
        <v>1463.81</v>
      </c>
      <c r="I604" s="8"/>
    </row>
    <row r="605">
      <c r="A605" s="10" t="s">
        <v>1898</v>
      </c>
      <c r="B605" s="10" t="s">
        <v>1899</v>
      </c>
      <c r="C605" s="10" t="s">
        <v>2019</v>
      </c>
      <c r="D605" s="12" t="s">
        <v>2019</v>
      </c>
      <c r="E605" s="13" t="s">
        <v>2020</v>
      </c>
      <c r="F605" s="15" t="str">
        <f>IFERROR(__xludf.DUMMYFUNCTION("XLOOKUP($D605,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5" s="15">
        <f>IFERROR(__xludf.DUMMYFUNCTION("IFNA(XLOOKUP(""*""&amp;TRIM(REGEXREPLACE($D605, ""(?i)^(PT|CV)\.?\s+"", """"))&amp;""*"", 'DATA TARGET'!$C$2:$C998, 'DATA TARGET'!$D$2:$D998, ""Tidak Ditemukan"", 2), ""Tidak Ditemukan"")"),0.0)</f>
        <v>0</v>
      </c>
      <c r="H605" s="17">
        <f t="shared" si="1"/>
        <v>0</v>
      </c>
      <c r="I605" s="8"/>
    </row>
    <row r="606">
      <c r="A606" s="10" t="s">
        <v>1898</v>
      </c>
      <c r="B606" s="10" t="s">
        <v>1899</v>
      </c>
      <c r="C606" s="10" t="s">
        <v>2021</v>
      </c>
      <c r="D606" s="12" t="s">
        <v>2021</v>
      </c>
      <c r="E606" s="13" t="s">
        <v>2022</v>
      </c>
      <c r="F606" s="15">
        <f>IFERROR(__xludf.DUMMYFUNCTION("XLOOKUP($D606,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(AUTO)'!R6:R""))"),193.0)</f>
        <v>193</v>
      </c>
      <c r="G606" s="15">
        <f>IFERROR(__xludf.DUMMYFUNCTION("IFNA(XLOOKUP(""*""&amp;TRIM(REGEXREPLACE($D606, ""(?i)^(PT|CV)\.?\s+"", """"))&amp;""*"", 'DATA TARGET'!$C$2:$C998, 'DATA TARGET'!$D$2:$D998, ""Tidak Ditemukan"", 2), ""Tidak Ditemukan"")"),268.0)</f>
        <v>268</v>
      </c>
      <c r="H606" s="17">
        <f t="shared" si="1"/>
        <v>193</v>
      </c>
      <c r="I606" s="8"/>
    </row>
    <row r="607">
      <c r="A607" s="10" t="s">
        <v>1898</v>
      </c>
      <c r="B607" s="10" t="s">
        <v>1899</v>
      </c>
      <c r="C607" s="10" t="s">
        <v>2023</v>
      </c>
      <c r="D607" s="12" t="s">
        <v>2023</v>
      </c>
      <c r="E607" s="13" t="s">
        <v>2024</v>
      </c>
      <c r="F607" s="15" t="str">
        <f>IFERROR(__xludf.DUMMYFUNCTION("XLOOKUP($D607,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7" s="15">
        <f>IFERROR(__xludf.DUMMYFUNCTION("IFNA(XLOOKUP(""*""&amp;TRIM(REGEXREPLACE($D607, ""(?i)^(PT|CV)\.?\s+"", """"))&amp;""*"", 'DATA TARGET'!$C$2:$C998, 'DATA TARGET'!$D$2:$D998, ""Tidak Ditemukan"", 2), ""Tidak Ditemukan"")"),170.04)</f>
        <v>170.04</v>
      </c>
      <c r="H607" s="17">
        <f t="shared" si="1"/>
        <v>170.04</v>
      </c>
      <c r="I607" s="8"/>
    </row>
    <row r="608">
      <c r="A608" s="10" t="s">
        <v>1898</v>
      </c>
      <c r="B608" s="10" t="s">
        <v>1899</v>
      </c>
      <c r="C608" s="10" t="s">
        <v>2025</v>
      </c>
      <c r="D608" s="12" t="s">
        <v>2025</v>
      </c>
      <c r="E608" s="13" t="s">
        <v>2026</v>
      </c>
      <c r="F608" s="15" t="str">
        <f>IFERROR(__xludf.DUMMYFUNCTION("XLOOKUP($D608,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08" s="15">
        <f>IFERROR(__xludf.DUMMYFUNCTION("IFNA(XLOOKUP(""*""&amp;TRIM(REGEXREPLACE($D608, ""(?i)^(PT|CV)\.?\s+"", """"))&amp;""*"", 'DATA TARGET'!$C$2:$C998, 'DATA TARGET'!$D$2:$D998, ""Tidak Ditemukan"", 2), ""Tidak Ditemukan"")"),6.46)</f>
        <v>6.46</v>
      </c>
      <c r="H608" s="17">
        <f t="shared" si="1"/>
        <v>6.46</v>
      </c>
      <c r="I608" s="8"/>
    </row>
    <row r="609">
      <c r="A609" s="10" t="s">
        <v>1898</v>
      </c>
      <c r="B609" s="10" t="s">
        <v>1899</v>
      </c>
      <c r="C609" s="10" t="s">
        <v>2027</v>
      </c>
      <c r="D609" s="12" t="s">
        <v>2027</v>
      </c>
      <c r="E609" s="13" t="s">
        <v>2028</v>
      </c>
      <c r="F609" s="15">
        <f>IFERROR(__xludf.DUMMYFUNCTION("XLOOKUP($D609,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(AUTO)'!R6:R""))"),1633.0)</f>
        <v>1633</v>
      </c>
      <c r="G609" s="15">
        <f>IFERROR(__xludf.DUMMYFUNCTION("IFNA(XLOOKUP(""*""&amp;TRIM(REGEXREPLACE($D609, ""(?i)^(PT|CV)\.?\s+"", """"))&amp;""*"", 'DATA TARGET'!$C$2:$C998, 'DATA TARGET'!$D$2:$D998, ""Tidak Ditemukan"", 2), ""Tidak Ditemukan"")"),1633.0)</f>
        <v>1633</v>
      </c>
      <c r="H609" s="17">
        <f t="shared" si="1"/>
        <v>1633</v>
      </c>
      <c r="I609" s="8"/>
    </row>
    <row r="610">
      <c r="A610" s="10" t="s">
        <v>1898</v>
      </c>
      <c r="B610" s="10" t="s">
        <v>1899</v>
      </c>
      <c r="C610" s="10" t="s">
        <v>2029</v>
      </c>
      <c r="D610" s="12" t="s">
        <v>2029</v>
      </c>
      <c r="E610" s="13" t="s">
        <v>2030</v>
      </c>
      <c r="F610" s="15" t="str">
        <f>IFERROR(__xludf.DUMMYFUNCTION("XLOOKUP($D610,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0" s="15">
        <f>IFERROR(__xludf.DUMMYFUNCTION("IFNA(XLOOKUP(""*""&amp;TRIM(REGEXREPLACE($D610, ""(?i)^(PT|CV)\.?\s+"", """"))&amp;""*"", 'DATA TARGET'!$C$2:$C998, 'DATA TARGET'!$D$2:$D998, ""Tidak Ditemukan"", 2), ""Tidak Ditemukan"")"),5463.88)</f>
        <v>5463.88</v>
      </c>
      <c r="H610" s="17">
        <f t="shared" si="1"/>
        <v>5463.88</v>
      </c>
      <c r="I610" s="8"/>
    </row>
    <row r="611">
      <c r="A611" s="10" t="s">
        <v>1898</v>
      </c>
      <c r="B611" s="10" t="s">
        <v>1899</v>
      </c>
      <c r="C611" s="10" t="s">
        <v>2031</v>
      </c>
      <c r="D611" s="12" t="s">
        <v>2031</v>
      </c>
      <c r="E611" s="13" t="s">
        <v>2032</v>
      </c>
      <c r="F611" s="15" t="str">
        <f>IFERROR(__xludf.DUMMYFUNCTION("XLOOKUP($D611,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1" s="15">
        <f>IFERROR(__xludf.DUMMYFUNCTION("IFNA(XLOOKUP(""*""&amp;TRIM(REGEXREPLACE($D611, ""(?i)^(PT|CV)\.?\s+"", """"))&amp;""*"", 'DATA TARGET'!$C$2:$C998, 'DATA TARGET'!$D$2:$D998, ""Tidak Ditemukan"", 2), ""Tidak Ditemukan"")"),213.6)</f>
        <v>213.6</v>
      </c>
      <c r="H611" s="17">
        <f t="shared" si="1"/>
        <v>213.6</v>
      </c>
      <c r="I611" s="8"/>
    </row>
    <row r="612">
      <c r="A612" s="10" t="s">
        <v>1898</v>
      </c>
      <c r="B612" s="10" t="s">
        <v>1899</v>
      </c>
      <c r="C612" s="10" t="s">
        <v>2033</v>
      </c>
      <c r="D612" s="12" t="s">
        <v>2033</v>
      </c>
      <c r="E612" s="13" t="s">
        <v>2034</v>
      </c>
      <c r="F612" s="15" t="str">
        <f>IFERROR(__xludf.DUMMYFUNCTION("XLOOKUP($D612,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2" s="15">
        <f>IFERROR(__xludf.DUMMYFUNCTION("IFNA(XLOOKUP(""*""&amp;TRIM(REGEXREPLACE($D612, ""(?i)^(PT|CV)\.?\s+"", """"))&amp;""*"", 'DATA TARGET'!$C$2:$C998, 'DATA TARGET'!$D$2:$D998, ""Tidak Ditemukan"", 2), ""Tidak Ditemukan"")"),2696.97)</f>
        <v>2696.97</v>
      </c>
      <c r="H612" s="17">
        <f t="shared" si="1"/>
        <v>2696.97</v>
      </c>
      <c r="I612" s="8"/>
    </row>
    <row r="613">
      <c r="A613" s="10" t="s">
        <v>1898</v>
      </c>
      <c r="B613" s="10" t="s">
        <v>1899</v>
      </c>
      <c r="C613" s="10" t="s">
        <v>2035</v>
      </c>
      <c r="D613" s="12" t="s">
        <v>2035</v>
      </c>
      <c r="E613" s="13" t="s">
        <v>2036</v>
      </c>
      <c r="F613" s="15" t="str">
        <f>IFERROR(__xludf.DUMMYFUNCTION("XLOOKUP($D613,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3" s="15">
        <f>IFERROR(__xludf.DUMMYFUNCTION("IFNA(XLOOKUP(""*""&amp;TRIM(REGEXREPLACE($D613, ""(?i)^(PT|CV)\.?\s+"", """"))&amp;""*"", 'DATA TARGET'!$C$2:$C998, 'DATA TARGET'!$D$2:$D998, ""Tidak Ditemukan"", 2), ""Tidak Ditemukan"")"),37.72)</f>
        <v>37.72</v>
      </c>
      <c r="H613" s="17">
        <f t="shared" si="1"/>
        <v>37.72</v>
      </c>
      <c r="I613" s="8"/>
    </row>
    <row r="614">
      <c r="A614" s="10" t="s">
        <v>1898</v>
      </c>
      <c r="B614" s="10" t="s">
        <v>1899</v>
      </c>
      <c r="C614" s="10" t="s">
        <v>2037</v>
      </c>
      <c r="D614" s="12" t="s">
        <v>2037</v>
      </c>
      <c r="E614" s="13" t="s">
        <v>2038</v>
      </c>
      <c r="F614" s="15" t="str">
        <f>IFERROR(__xludf.DUMMYFUNCTION("XLOOKUP($D614,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4" s="15">
        <f>IFERROR(__xludf.DUMMYFUNCTION("IFNA(XLOOKUP(""*""&amp;TRIM(REGEXREPLACE($D614, ""(?i)^(PT|CV)\.?\s+"", """"))&amp;""*"", 'DATA TARGET'!$C$2:$C998, 'DATA TARGET'!$D$2:$D998, ""Tidak Ditemukan"", 2), ""Tidak Ditemukan"")"),34.9)</f>
        <v>34.9</v>
      </c>
      <c r="H614" s="17">
        <f t="shared" si="1"/>
        <v>34.9</v>
      </c>
      <c r="I614" s="8"/>
    </row>
    <row r="615">
      <c r="A615" s="10" t="s">
        <v>1898</v>
      </c>
      <c r="B615" s="10" t="s">
        <v>1899</v>
      </c>
      <c r="C615" s="10" t="s">
        <v>2039</v>
      </c>
      <c r="D615" s="12" t="s">
        <v>2039</v>
      </c>
      <c r="E615" s="13" t="s">
        <v>2040</v>
      </c>
      <c r="F615" s="15">
        <f>IFERROR(__xludf.DUMMYFUNCTION("XLOOKUP($D615,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(AUTO)'!R6:R""))"),388.55)</f>
        <v>388.55</v>
      </c>
      <c r="G615" s="15">
        <f>IFERROR(__xludf.DUMMYFUNCTION("IFNA(XLOOKUP(""*""&amp;TRIM(REGEXREPLACE($D615, ""(?i)^(PT|CV)\.?\s+"", """"))&amp;""*"", 'DATA TARGET'!$C$2:$C998, 'DATA TARGET'!$D$2:$D998, ""Tidak Ditemukan"", 2), ""Tidak Ditemukan"")"),52.51)</f>
        <v>52.51</v>
      </c>
      <c r="H615" s="17">
        <f t="shared" si="1"/>
        <v>388.55</v>
      </c>
      <c r="I615" s="8"/>
    </row>
    <row r="616">
      <c r="A616" s="10" t="s">
        <v>1898</v>
      </c>
      <c r="B616" s="10" t="s">
        <v>1899</v>
      </c>
      <c r="C616" s="10" t="s">
        <v>2041</v>
      </c>
      <c r="D616" s="12" t="s">
        <v>2041</v>
      </c>
      <c r="E616" s="13" t="s">
        <v>2042</v>
      </c>
      <c r="F616" s="15" t="str">
        <f>IFERROR(__xludf.DUMMYFUNCTION("XLOOKUP($D616,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6" s="15">
        <f>IFERROR(__xludf.DUMMYFUNCTION("IFNA(XLOOKUP(""*""&amp;TRIM(REGEXREPLACE($D616, ""(?i)^(PT|CV)\.?\s+"", """"))&amp;""*"", 'DATA TARGET'!$C$2:$C998, 'DATA TARGET'!$D$2:$D998, ""Tidak Ditemukan"", 2), ""Tidak Ditemukan"")"),0.0)</f>
        <v>0</v>
      </c>
      <c r="H616" s="17">
        <f t="shared" si="1"/>
        <v>0</v>
      </c>
      <c r="I616" s="8"/>
    </row>
    <row r="617">
      <c r="A617" s="10" t="s">
        <v>1898</v>
      </c>
      <c r="B617" s="10" t="s">
        <v>1899</v>
      </c>
      <c r="C617" s="10" t="s">
        <v>2043</v>
      </c>
      <c r="D617" s="12" t="s">
        <v>2043</v>
      </c>
      <c r="E617" s="13" t="s">
        <v>2044</v>
      </c>
      <c r="F617" s="15" t="str">
        <f>IFERROR(__xludf.DUMMYFUNCTION("XLOOKUP($D617,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17" s="15">
        <f>IFERROR(__xludf.DUMMYFUNCTION("IFNA(XLOOKUP(""*""&amp;TRIM(REGEXREPLACE($D617, ""(?i)^(PT|CV)\.?\s+"", """"))&amp;""*"", 'DATA TARGET'!$C$2:$C998, 'DATA TARGET'!$D$2:$D998, ""Tidak Ditemukan"", 2), ""Tidak Ditemukan"")"),1346.08)</f>
        <v>1346.08</v>
      </c>
      <c r="H617" s="17">
        <f t="shared" si="1"/>
        <v>1346.08</v>
      </c>
      <c r="I617" s="8"/>
    </row>
    <row r="618">
      <c r="A618" s="10" t="s">
        <v>1898</v>
      </c>
      <c r="B618" s="10" t="s">
        <v>1899</v>
      </c>
      <c r="C618" s="10" t="s">
        <v>2045</v>
      </c>
      <c r="D618" s="12" t="s">
        <v>2045</v>
      </c>
      <c r="E618" s="13" t="s">
        <v>2046</v>
      </c>
      <c r="F618" s="15">
        <f>IFERROR(__xludf.DUMMYFUNCTION("XLOOKUP($D618,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(AUTO)'!R6:R""))"),1251.0)</f>
        <v>1251</v>
      </c>
      <c r="G618" s="15">
        <f>IFERROR(__xludf.DUMMYFUNCTION("IFNA(XLOOKUP(""*""&amp;TRIM(REGEXREPLACE($D618, ""(?i)^(PT|CV)\.?\s+"", """"))&amp;""*"", 'DATA TARGET'!$C$2:$C998, 'DATA TARGET'!$D$2:$D998, ""Tidak Ditemukan"", 2), ""Tidak Ditemukan"")"),303.27)</f>
        <v>303.27</v>
      </c>
      <c r="H618" s="17">
        <f t="shared" si="1"/>
        <v>1251</v>
      </c>
      <c r="I618" s="8"/>
    </row>
    <row r="619">
      <c r="A619" s="10" t="s">
        <v>1898</v>
      </c>
      <c r="B619" s="10" t="s">
        <v>1899</v>
      </c>
      <c r="C619" s="10" t="s">
        <v>2047</v>
      </c>
      <c r="D619" s="12" t="s">
        <v>2047</v>
      </c>
      <c r="E619" s="13" t="s">
        <v>2048</v>
      </c>
      <c r="F619" s="15">
        <f>IFERROR(__xludf.DUMMYFUNCTION("XLOOKUP($D619,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(AUTO)'!R6:R""))"),46.0)</f>
        <v>46</v>
      </c>
      <c r="G619" s="15">
        <f>IFERROR(__xludf.DUMMYFUNCTION("IFNA(XLOOKUP(""*""&amp;TRIM(REGEXREPLACE($D619, ""(?i)^(PT|CV)\.?\s+"", """"))&amp;""*"", 'DATA TARGET'!$C$2:$C998, 'DATA TARGET'!$D$2:$D998, ""Tidak Ditemukan"", 2), ""Tidak Ditemukan"")"),43.85)</f>
        <v>43.85</v>
      </c>
      <c r="H619" s="17">
        <f t="shared" si="1"/>
        <v>46</v>
      </c>
      <c r="I619" s="8"/>
    </row>
    <row r="620">
      <c r="A620" s="10" t="s">
        <v>1898</v>
      </c>
      <c r="B620" s="10" t="s">
        <v>1899</v>
      </c>
      <c r="C620" s="10" t="s">
        <v>2049</v>
      </c>
      <c r="D620" s="12" t="s">
        <v>2049</v>
      </c>
      <c r="E620" s="13" t="s">
        <v>2050</v>
      </c>
      <c r="F620" s="15">
        <f>IFERROR(__xludf.DUMMYFUNCTION("XLOOKUP($D620,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(AUTO)'!R6:R""))"),2302.0)</f>
        <v>2302</v>
      </c>
      <c r="G620" s="15">
        <f>IFERROR(__xludf.DUMMYFUNCTION("IFNA(XLOOKUP(""*""&amp;TRIM(REGEXREPLACE($D620, ""(?i)^(PT|CV)\.?\s+"", """"))&amp;""*"", 'DATA TARGET'!$C$2:$C998, 'DATA TARGET'!$D$2:$D998, ""Tidak Ditemukan"", 2), ""Tidak Ditemukan"")"),1655.71)</f>
        <v>1655.71</v>
      </c>
      <c r="H620" s="17">
        <f t="shared" si="1"/>
        <v>2302</v>
      </c>
      <c r="I620" s="8"/>
    </row>
    <row r="621">
      <c r="A621" s="10" t="s">
        <v>1898</v>
      </c>
      <c r="B621" s="10" t="s">
        <v>1899</v>
      </c>
      <c r="C621" s="10" t="s">
        <v>2051</v>
      </c>
      <c r="D621" s="12" t="s">
        <v>2051</v>
      </c>
      <c r="E621" s="13" t="s">
        <v>2052</v>
      </c>
      <c r="F621" s="15">
        <f>IFERROR(__xludf.DUMMYFUNCTION("XLOOKUP($D621,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(AUTO)'!R6:R""))"),179.0)</f>
        <v>179</v>
      </c>
      <c r="G621" s="15">
        <f>IFERROR(__xludf.DUMMYFUNCTION("IFNA(XLOOKUP(""*""&amp;TRIM(REGEXREPLACE($D621, ""(?i)^(PT|CV)\.?\s+"", """"))&amp;""*"", 'DATA TARGET'!$C$2:$C998, 'DATA TARGET'!$D$2:$D998, ""Tidak Ditemukan"", 2), ""Tidak Ditemukan"")"),113.76)</f>
        <v>113.76</v>
      </c>
      <c r="H621" s="17">
        <f t="shared" si="1"/>
        <v>179</v>
      </c>
      <c r="I621" s="8"/>
    </row>
    <row r="622">
      <c r="A622" s="10" t="s">
        <v>1898</v>
      </c>
      <c r="B622" s="10" t="s">
        <v>1899</v>
      </c>
      <c r="C622" s="10" t="s">
        <v>2053</v>
      </c>
      <c r="D622" s="12" t="s">
        <v>2053</v>
      </c>
      <c r="E622" s="13" t="s">
        <v>2054</v>
      </c>
      <c r="F622" s="15">
        <f>IFERROR(__xludf.DUMMYFUNCTION("XLOOKUP($D622,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(AUTO)'!R6:R""))"),10.0)</f>
        <v>10</v>
      </c>
      <c r="G622" s="15">
        <f>IFERROR(__xludf.DUMMYFUNCTION("IFNA(XLOOKUP(""*""&amp;TRIM(REGEXREPLACE($D622, ""(?i)^(PT|CV)\.?\s+"", """"))&amp;""*"", 'DATA TARGET'!$C$2:$C998, 'DATA TARGET'!$D$2:$D998, ""Tidak Ditemukan"", 2), ""Tidak Ditemukan"")"),10.21)</f>
        <v>10.21</v>
      </c>
      <c r="H622" s="17">
        <f t="shared" si="1"/>
        <v>10</v>
      </c>
      <c r="I622" s="8"/>
    </row>
    <row r="623">
      <c r="A623" s="10" t="s">
        <v>1898</v>
      </c>
      <c r="B623" s="10" t="s">
        <v>1899</v>
      </c>
      <c r="C623" s="10" t="s">
        <v>2055</v>
      </c>
      <c r="D623" s="12" t="s">
        <v>2055</v>
      </c>
      <c r="E623" s="13" t="s">
        <v>2056</v>
      </c>
      <c r="F623" s="15" t="str">
        <f>IFERROR(__xludf.DUMMYFUNCTION("XLOOKUP($D623,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23" s="15">
        <f>IFERROR(__xludf.DUMMYFUNCTION("IFNA(XLOOKUP(""*""&amp;TRIM(REGEXREPLACE($D623, ""(?i)^(PT|CV)\.?\s+"", """"))&amp;""*"", 'DATA TARGET'!$C$2:$C998, 'DATA TARGET'!$D$2:$D998, ""Tidak Ditemukan"", 2), ""Tidak Ditemukan"")"),3052.28)</f>
        <v>3052.28</v>
      </c>
      <c r="H623" s="17">
        <f t="shared" si="1"/>
        <v>3052.28</v>
      </c>
      <c r="I623" s="8"/>
    </row>
    <row r="624">
      <c r="A624" s="10" t="s">
        <v>1898</v>
      </c>
      <c r="B624" s="10" t="s">
        <v>1899</v>
      </c>
      <c r="C624" s="10" t="s">
        <v>2057</v>
      </c>
      <c r="D624" s="12" t="s">
        <v>2057</v>
      </c>
      <c r="E624" s="13" t="s">
        <v>2058</v>
      </c>
      <c r="F624" s="15">
        <f>IFERROR(__xludf.DUMMYFUNCTION("XLOOKUP($D624,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(AUTO)'!R6:R""))"),1915.06)</f>
        <v>1915.06</v>
      </c>
      <c r="G624" s="15">
        <f>IFERROR(__xludf.DUMMYFUNCTION("IFNA(XLOOKUP(""*""&amp;TRIM(REGEXREPLACE($D624, ""(?i)^(PT|CV)\.?\s+"", """"))&amp;""*"", 'DATA TARGET'!$C$2:$C998, 'DATA TARGET'!$D$2:$D998, ""Tidak Ditemukan"", 2), ""Tidak Ditemukan"")"),1588.14)</f>
        <v>1588.14</v>
      </c>
      <c r="H624" s="17">
        <f t="shared" si="1"/>
        <v>1915.06</v>
      </c>
      <c r="I624" s="8"/>
    </row>
    <row r="625">
      <c r="A625" s="10" t="s">
        <v>1898</v>
      </c>
      <c r="B625" s="10" t="s">
        <v>1899</v>
      </c>
      <c r="C625" s="10" t="s">
        <v>2059</v>
      </c>
      <c r="D625" s="12" t="s">
        <v>2059</v>
      </c>
      <c r="E625" s="13" t="s">
        <v>2060</v>
      </c>
      <c r="F625" s="15" t="str">
        <f>IFERROR(__xludf.DUMMYFUNCTION("XLOOKUP($D625,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25" s="15">
        <f>IFERROR(__xludf.DUMMYFUNCTION("IFNA(XLOOKUP(""*""&amp;TRIM(REGEXREPLACE($D625, ""(?i)^(PT|CV)\.?\s+"", """"))&amp;""*"", 'DATA TARGET'!$C$2:$C998, 'DATA TARGET'!$D$2:$D998, ""Tidak Ditemukan"", 2), ""Tidak Ditemukan"")"),445.57)</f>
        <v>445.57</v>
      </c>
      <c r="H625" s="17">
        <f t="shared" si="1"/>
        <v>445.57</v>
      </c>
      <c r="I625" s="8"/>
    </row>
    <row r="626">
      <c r="A626" s="10" t="s">
        <v>1898</v>
      </c>
      <c r="B626" s="10" t="s">
        <v>1899</v>
      </c>
      <c r="C626" s="10" t="s">
        <v>2061</v>
      </c>
      <c r="D626" s="12" t="s">
        <v>2061</v>
      </c>
      <c r="E626" s="13" t="s">
        <v>2062</v>
      </c>
      <c r="F626" s="15" t="str">
        <f>IFERROR(__xludf.DUMMYFUNCTION("XLOOKUP($D626,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26" s="15">
        <f>IFERROR(__xludf.DUMMYFUNCTION("IFNA(XLOOKUP(""*""&amp;TRIM(REGEXREPLACE($D626, ""(?i)^(PT|CV)\.?\s+"", """"))&amp;""*"", 'DATA TARGET'!$C$2:$C998, 'DATA TARGET'!$D$2:$D998, ""Tidak Ditemukan"", 2), ""Tidak Ditemukan"")"),0.0)</f>
        <v>0</v>
      </c>
      <c r="H626" s="17">
        <f t="shared" si="1"/>
        <v>0</v>
      </c>
      <c r="I626" s="8"/>
    </row>
    <row r="627">
      <c r="A627" s="10" t="s">
        <v>1898</v>
      </c>
      <c r="B627" s="10" t="s">
        <v>1899</v>
      </c>
      <c r="C627" s="10" t="s">
        <v>2063</v>
      </c>
      <c r="D627" s="12" t="s">
        <v>2063</v>
      </c>
      <c r="E627" s="13" t="s">
        <v>2064</v>
      </c>
      <c r="F627" s="15" t="str">
        <f>IFERROR(__xludf.DUMMYFUNCTION("XLOOKUP($D627,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27" s="15">
        <f>IFERROR(__xludf.DUMMYFUNCTION("IFNA(XLOOKUP(""*""&amp;TRIM(REGEXREPLACE($D627, ""(?i)^(PT|CV)\.?\s+"", """"))&amp;""*"", 'DATA TARGET'!$C$2:$C998, 'DATA TARGET'!$D$2:$D998, ""Tidak Ditemukan"", 2), ""Tidak Ditemukan"")"),365.52)</f>
        <v>365.52</v>
      </c>
      <c r="H627" s="17">
        <f t="shared" si="1"/>
        <v>365.52</v>
      </c>
      <c r="I627" s="8"/>
    </row>
    <row r="628">
      <c r="A628" s="10" t="s">
        <v>1898</v>
      </c>
      <c r="B628" s="10" t="s">
        <v>1899</v>
      </c>
      <c r="C628" s="10" t="s">
        <v>2065</v>
      </c>
      <c r="D628" s="12" t="s">
        <v>2065</v>
      </c>
      <c r="E628" s="13" t="s">
        <v>2066</v>
      </c>
      <c r="F628" s="15">
        <f>IFERROR(__xludf.DUMMYFUNCTION("XLOOKUP($D628,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(AUTO)'!R6:R""))"),350.0)</f>
        <v>350</v>
      </c>
      <c r="G628" s="15">
        <f>IFERROR(__xludf.DUMMYFUNCTION("IFNA(XLOOKUP(""*""&amp;TRIM(REGEXREPLACE($D628, ""(?i)^(PT|CV)\.?\s+"", """"))&amp;""*"", 'DATA TARGET'!$C$2:$C998, 'DATA TARGET'!$D$2:$D998, ""Tidak Ditemukan"", 2), ""Tidak Ditemukan"")"),345.26)</f>
        <v>345.26</v>
      </c>
      <c r="H628" s="17">
        <f t="shared" si="1"/>
        <v>350</v>
      </c>
      <c r="I628" s="8"/>
    </row>
    <row r="629">
      <c r="A629" s="10" t="s">
        <v>1898</v>
      </c>
      <c r="B629" s="10" t="s">
        <v>1899</v>
      </c>
      <c r="C629" s="10" t="s">
        <v>2067</v>
      </c>
      <c r="D629" s="12" t="s">
        <v>2067</v>
      </c>
      <c r="E629" s="13" t="s">
        <v>2068</v>
      </c>
      <c r="F629" s="15">
        <f>IFERROR(__xludf.DUMMYFUNCTION("XLOOKUP($D629,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(AUTO)'!R6:R""))"),35.0)</f>
        <v>35</v>
      </c>
      <c r="G629" s="15">
        <f>IFERROR(__xludf.DUMMYFUNCTION("IFNA(XLOOKUP(""*""&amp;TRIM(REGEXREPLACE($D629, ""(?i)^(PT|CV)\.?\s+"", """"))&amp;""*"", 'DATA TARGET'!$C$2:$C998, 'DATA TARGET'!$D$2:$D998, ""Tidak Ditemukan"", 2), ""Tidak Ditemukan"")"),34.97)</f>
        <v>34.97</v>
      </c>
      <c r="H629" s="17">
        <f t="shared" si="1"/>
        <v>35</v>
      </c>
      <c r="I629" s="8"/>
    </row>
    <row r="630">
      <c r="A630" s="10" t="s">
        <v>1898</v>
      </c>
      <c r="B630" s="10" t="s">
        <v>1899</v>
      </c>
      <c r="C630" s="10" t="s">
        <v>2069</v>
      </c>
      <c r="D630" s="12" t="s">
        <v>2069</v>
      </c>
      <c r="E630" s="13" t="s">
        <v>2070</v>
      </c>
      <c r="F630" s="15" t="str">
        <f>IFERROR(__xludf.DUMMYFUNCTION("XLOOKUP($D630,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0" s="15">
        <f>IFERROR(__xludf.DUMMYFUNCTION("IFNA(XLOOKUP(""*""&amp;TRIM(REGEXREPLACE($D630, ""(?i)^(PT|CV)\.?\s+"", """"))&amp;""*"", 'DATA TARGET'!$C$2:$C998, 'DATA TARGET'!$D$2:$D998, ""Tidak Ditemukan"", 2), ""Tidak Ditemukan"")"),15.11)</f>
        <v>15.11</v>
      </c>
      <c r="H630" s="17">
        <f t="shared" si="1"/>
        <v>15.11</v>
      </c>
      <c r="I630" s="8"/>
    </row>
    <row r="631">
      <c r="A631" s="10" t="s">
        <v>1898</v>
      </c>
      <c r="B631" s="10" t="s">
        <v>1899</v>
      </c>
      <c r="C631" s="10" t="s">
        <v>2071</v>
      </c>
      <c r="D631" s="12" t="s">
        <v>2071</v>
      </c>
      <c r="E631" s="13" t="s">
        <v>2072</v>
      </c>
      <c r="F631" s="15">
        <f>IFERROR(__xludf.DUMMYFUNCTION("XLOOKUP($D631,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(AUTO)'!R6:R""))"),338.0)</f>
        <v>338</v>
      </c>
      <c r="G631" s="15">
        <f>IFERROR(__xludf.DUMMYFUNCTION("IFNA(XLOOKUP(""*""&amp;TRIM(REGEXREPLACE($D631, ""(?i)^(PT|CV)\.?\s+"", """"))&amp;""*"", 'DATA TARGET'!$C$2:$C998, 'DATA TARGET'!$D$2:$D998, ""Tidak Ditemukan"", 2), ""Tidak Ditemukan"")"),335.29)</f>
        <v>335.29</v>
      </c>
      <c r="H631" s="17">
        <f t="shared" si="1"/>
        <v>338</v>
      </c>
      <c r="I631" s="8"/>
    </row>
    <row r="632">
      <c r="A632" s="10" t="s">
        <v>1898</v>
      </c>
      <c r="B632" s="10" t="s">
        <v>2073</v>
      </c>
      <c r="C632" s="10" t="s">
        <v>1544</v>
      </c>
      <c r="D632" s="12" t="s">
        <v>1544</v>
      </c>
      <c r="E632" s="13" t="s">
        <v>2074</v>
      </c>
      <c r="F632" s="15" t="str">
        <f>IFERROR(__xludf.DUMMYFUNCTION("XLOOKUP($D632,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2" s="15">
        <f>IFERROR(__xludf.DUMMYFUNCTION("IFNA(XLOOKUP(""*""&amp;TRIM(REGEXREPLACE($D632, ""(?i)^(PT|CV)\.?\s+"", """"))&amp;""*"", 'DATA TARGET'!$C$2:$C998, 'DATA TARGET'!$D$2:$D998, ""Tidak Ditemukan"", 2), ""Tidak Ditemukan"")"),22.19)</f>
        <v>22.19</v>
      </c>
      <c r="H632" s="17">
        <f t="shared" si="1"/>
        <v>22.19</v>
      </c>
      <c r="I632" s="8"/>
    </row>
    <row r="633">
      <c r="A633" s="10" t="s">
        <v>1898</v>
      </c>
      <c r="B633" s="10" t="s">
        <v>2073</v>
      </c>
      <c r="C633" s="10" t="s">
        <v>1547</v>
      </c>
      <c r="D633" s="12" t="s">
        <v>1547</v>
      </c>
      <c r="E633" s="13" t="s">
        <v>2075</v>
      </c>
      <c r="F633" s="15" t="str">
        <f>IFERROR(__xludf.DUMMYFUNCTION("XLOOKUP($D633,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3" s="15">
        <f>IFERROR(__xludf.DUMMYFUNCTION("IFNA(XLOOKUP(""*""&amp;TRIM(REGEXREPLACE($D633, ""(?i)^(PT|CV)\.?\s+"", """"))&amp;""*"", 'DATA TARGET'!$C$2:$C998, 'DATA TARGET'!$D$2:$D998, ""Tidak Ditemukan"", 2), ""Tidak Ditemukan"")"),54.09)</f>
        <v>54.09</v>
      </c>
      <c r="H633" s="17">
        <f t="shared" si="1"/>
        <v>54.09</v>
      </c>
      <c r="I633" s="8"/>
    </row>
    <row r="634">
      <c r="A634" s="10" t="s">
        <v>1898</v>
      </c>
      <c r="B634" s="10" t="s">
        <v>2073</v>
      </c>
      <c r="C634" s="10" t="s">
        <v>2076</v>
      </c>
      <c r="D634" s="12" t="s">
        <v>2076</v>
      </c>
      <c r="E634" s="13" t="s">
        <v>2077</v>
      </c>
      <c r="F634" s="15" t="str">
        <f>IFERROR(__xludf.DUMMYFUNCTION("XLOOKUP($D634,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4" s="15" t="str">
        <f>IFERROR(__xludf.DUMMYFUNCTION("IFNA(XLOOKUP(""*""&amp;TRIM(REGEXREPLACE($D634, ""(?i)^(PT|CV)\.?\s+"", """"))&amp;""*"", 'DATA TARGET'!$C$2:$C998, 'DATA TARGET'!$D$2:$D998, ""Tidak Ditemukan"", 2), ""Tidak Ditemukan"")"),"Tidak Ditemukan")</f>
        <v>Tidak Ditemukan</v>
      </c>
      <c r="H634" s="17" t="str">
        <f t="shared" si="1"/>
        <v>Tidak Ditemukan</v>
      </c>
      <c r="I634" s="8"/>
    </row>
    <row r="635">
      <c r="A635" s="10" t="s">
        <v>1898</v>
      </c>
      <c r="B635" s="10" t="s">
        <v>2073</v>
      </c>
      <c r="C635" s="10" t="s">
        <v>1599</v>
      </c>
      <c r="D635" s="12" t="s">
        <v>1599</v>
      </c>
      <c r="E635" s="13" t="s">
        <v>2078</v>
      </c>
      <c r="F635" s="15" t="str">
        <f>IFERROR(__xludf.DUMMYFUNCTION("XLOOKUP($D635,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5" s="15">
        <f>IFERROR(__xludf.DUMMYFUNCTION("IFNA(XLOOKUP(""*""&amp;TRIM(REGEXREPLACE($D635, ""(?i)^(PT|CV)\.?\s+"", """"))&amp;""*"", 'DATA TARGET'!$C$2:$C998, 'DATA TARGET'!$D$2:$D998, ""Tidak Ditemukan"", 2), ""Tidak Ditemukan"")"),2370.45)</f>
        <v>2370.45</v>
      </c>
      <c r="H635" s="17">
        <f t="shared" si="1"/>
        <v>2370.45</v>
      </c>
      <c r="I635" s="8"/>
    </row>
    <row r="636">
      <c r="A636" s="10" t="s">
        <v>1898</v>
      </c>
      <c r="B636" s="10" t="s">
        <v>2073</v>
      </c>
      <c r="C636" s="10" t="s">
        <v>1602</v>
      </c>
      <c r="D636" s="12" t="s">
        <v>1602</v>
      </c>
      <c r="E636" s="13" t="s">
        <v>2079</v>
      </c>
      <c r="F636" s="15" t="str">
        <f>IFERROR(__xludf.DUMMYFUNCTION("XLOOKUP($D636,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6" s="15">
        <f>IFERROR(__xludf.DUMMYFUNCTION("IFNA(XLOOKUP(""*""&amp;TRIM(REGEXREPLACE($D636, ""(?i)^(PT|CV)\.?\s+"", """"))&amp;""*"", 'DATA TARGET'!$C$2:$C998, 'DATA TARGET'!$D$2:$D998, ""Tidak Ditemukan"", 2), ""Tidak Ditemukan"")"),594.95)</f>
        <v>594.95</v>
      </c>
      <c r="H636" s="17">
        <f t="shared" si="1"/>
        <v>594.95</v>
      </c>
      <c r="I636" s="8"/>
    </row>
    <row r="637">
      <c r="A637" s="10" t="s">
        <v>1898</v>
      </c>
      <c r="B637" s="10" t="s">
        <v>2073</v>
      </c>
      <c r="C637" s="10" t="s">
        <v>2080</v>
      </c>
      <c r="D637" s="12" t="s">
        <v>2080</v>
      </c>
      <c r="E637" s="13" t="s">
        <v>2081</v>
      </c>
      <c r="F637" s="15">
        <f>IFERROR(__xludf.DUMMYFUNCTION("XLOOKUP($D637,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(AUTO)'!R6:R""))"),324.46)</f>
        <v>324.46</v>
      </c>
      <c r="G637" s="15" t="str">
        <f>IFERROR(__xludf.DUMMYFUNCTION("IFNA(XLOOKUP(""*""&amp;TRIM(REGEXREPLACE($D637, ""(?i)^(PT|CV)\.?\s+"", """"))&amp;""*"", 'DATA TARGET'!$C$2:$C998, 'DATA TARGET'!$D$2:$D998, ""Tidak Ditemukan"", 2), ""Tidak Ditemukan"")"),"Tidak Ditemukan")</f>
        <v>Tidak Ditemukan</v>
      </c>
      <c r="H637" s="17">
        <f t="shared" si="1"/>
        <v>324.46</v>
      </c>
      <c r="I637" s="8"/>
    </row>
    <row r="638">
      <c r="A638" s="10" t="s">
        <v>1898</v>
      </c>
      <c r="B638" s="10" t="s">
        <v>2073</v>
      </c>
      <c r="C638" s="10" t="s">
        <v>1548</v>
      </c>
      <c r="D638" s="12" t="s">
        <v>1548</v>
      </c>
      <c r="E638" s="13" t="s">
        <v>2082</v>
      </c>
      <c r="F638" s="15" t="str">
        <f>IFERROR(__xludf.DUMMYFUNCTION("XLOOKUP($D638,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8" s="15">
        <f>IFERROR(__xludf.DUMMYFUNCTION("IFNA(XLOOKUP(""*""&amp;TRIM(REGEXREPLACE($D638, ""(?i)^(PT|CV)\.?\s+"", """"))&amp;""*"", 'DATA TARGET'!$C$2:$C998, 'DATA TARGET'!$D$2:$D998, ""Tidak Ditemukan"", 2), ""Tidak Ditemukan"")"),10.44)</f>
        <v>10.44</v>
      </c>
      <c r="H638" s="17">
        <f t="shared" si="1"/>
        <v>10.44</v>
      </c>
      <c r="I638" s="8"/>
    </row>
    <row r="639">
      <c r="A639" s="10" t="s">
        <v>1898</v>
      </c>
      <c r="B639" s="10" t="s">
        <v>2073</v>
      </c>
      <c r="C639" s="10" t="s">
        <v>1603</v>
      </c>
      <c r="D639" s="12" t="s">
        <v>1603</v>
      </c>
      <c r="E639" s="13" t="s">
        <v>2083</v>
      </c>
      <c r="F639" s="15" t="str">
        <f>IFERROR(__xludf.DUMMYFUNCTION("XLOOKUP($D639,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39" s="15">
        <f>IFERROR(__xludf.DUMMYFUNCTION("IFNA(XLOOKUP(""*""&amp;TRIM(REGEXREPLACE($D639, ""(?i)^(PT|CV)\.?\s+"", """"))&amp;""*"", 'DATA TARGET'!$C$2:$C998, 'DATA TARGET'!$D$2:$D998, ""Tidak Ditemukan"", 2), ""Tidak Ditemukan"")"),286.09)</f>
        <v>286.09</v>
      </c>
      <c r="H639" s="17">
        <f t="shared" si="1"/>
        <v>286.09</v>
      </c>
      <c r="I639" s="8"/>
    </row>
    <row r="640">
      <c r="A640" s="10" t="s">
        <v>1898</v>
      </c>
      <c r="B640" s="10" t="s">
        <v>2073</v>
      </c>
      <c r="C640" s="10" t="s">
        <v>1606</v>
      </c>
      <c r="D640" s="12" t="s">
        <v>1606</v>
      </c>
      <c r="E640" s="13" t="s">
        <v>2084</v>
      </c>
      <c r="F640" s="15" t="str">
        <f>IFERROR(__xludf.DUMMYFUNCTION("XLOOKUP($D640,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0" s="15">
        <f>IFERROR(__xludf.DUMMYFUNCTION("IFNA(XLOOKUP(""*""&amp;TRIM(REGEXREPLACE($D640, ""(?i)^(PT|CV)\.?\s+"", """"))&amp;""*"", 'DATA TARGET'!$C$2:$C998, 'DATA TARGET'!$D$2:$D998, ""Tidak Ditemukan"", 2), ""Tidak Ditemukan"")"),257.42)</f>
        <v>257.42</v>
      </c>
      <c r="H640" s="17">
        <f t="shared" si="1"/>
        <v>257.42</v>
      </c>
      <c r="I640" s="8"/>
    </row>
    <row r="641">
      <c r="A641" s="10" t="s">
        <v>1898</v>
      </c>
      <c r="B641" s="10" t="s">
        <v>2073</v>
      </c>
      <c r="C641" s="10" t="s">
        <v>1608</v>
      </c>
      <c r="D641" s="12" t="s">
        <v>1608</v>
      </c>
      <c r="E641" s="13" t="s">
        <v>2085</v>
      </c>
      <c r="F641" s="15" t="str">
        <f>IFERROR(__xludf.DUMMYFUNCTION("XLOOKUP($D641,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1" s="15">
        <f>IFERROR(__xludf.DUMMYFUNCTION("IFNA(XLOOKUP(""*""&amp;TRIM(REGEXREPLACE($D641, ""(?i)^(PT|CV)\.?\s+"", """"))&amp;""*"", 'DATA TARGET'!$C$2:$C998, 'DATA TARGET'!$D$2:$D998, ""Tidak Ditemukan"", 2), ""Tidak Ditemukan"")"),709.3)</f>
        <v>709.3</v>
      </c>
      <c r="H641" s="17">
        <f t="shared" si="1"/>
        <v>709.3</v>
      </c>
      <c r="I641" s="8"/>
    </row>
    <row r="642">
      <c r="A642" s="10" t="s">
        <v>1898</v>
      </c>
      <c r="B642" s="10" t="s">
        <v>2073</v>
      </c>
      <c r="C642" s="10" t="s">
        <v>2086</v>
      </c>
      <c r="D642" s="12" t="s">
        <v>2086</v>
      </c>
      <c r="E642" s="13" t="s">
        <v>2087</v>
      </c>
      <c r="F642" s="15" t="str">
        <f>IFERROR(__xludf.DUMMYFUNCTION("XLOOKUP($D642,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2" s="15">
        <f>IFERROR(__xludf.DUMMYFUNCTION("IFNA(XLOOKUP(""*""&amp;TRIM(REGEXREPLACE($D642, ""(?i)^(PT|CV)\.?\s+"", """"))&amp;""*"", 'DATA TARGET'!$C$2:$C998, 'DATA TARGET'!$D$2:$D998, ""Tidak Ditemukan"", 2), ""Tidak Ditemukan"")"),0.0)</f>
        <v>0</v>
      </c>
      <c r="H642" s="17">
        <f t="shared" si="1"/>
        <v>0</v>
      </c>
      <c r="I642" s="8"/>
    </row>
    <row r="643">
      <c r="A643" s="10" t="s">
        <v>1898</v>
      </c>
      <c r="B643" s="10" t="s">
        <v>2073</v>
      </c>
      <c r="C643" s="10" t="s">
        <v>2088</v>
      </c>
      <c r="D643" s="12" t="s">
        <v>2088</v>
      </c>
      <c r="E643" s="13" t="s">
        <v>2089</v>
      </c>
      <c r="F643" s="15" t="str">
        <f>IFERROR(__xludf.DUMMYFUNCTION("XLOOKUP($D643,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3" s="15">
        <f>IFERROR(__xludf.DUMMYFUNCTION("IFNA(XLOOKUP(""*""&amp;TRIM(REGEXREPLACE($D643, ""(?i)^(PT|CV)\.?\s+"", """"))&amp;""*"", 'DATA TARGET'!$C$2:$C998, 'DATA TARGET'!$D$2:$D998, ""Tidak Ditemukan"", 2), ""Tidak Ditemukan"")"),28.0)</f>
        <v>28</v>
      </c>
      <c r="H643" s="17">
        <f t="shared" si="1"/>
        <v>28</v>
      </c>
      <c r="I643" s="8"/>
    </row>
    <row r="644">
      <c r="A644" s="10" t="s">
        <v>1898</v>
      </c>
      <c r="B644" s="10" t="s">
        <v>2073</v>
      </c>
      <c r="C644" s="10" t="s">
        <v>2090</v>
      </c>
      <c r="D644" s="12" t="s">
        <v>2090</v>
      </c>
      <c r="E644" s="13" t="s">
        <v>2091</v>
      </c>
      <c r="F644" s="15" t="str">
        <f>IFERROR(__xludf.DUMMYFUNCTION("XLOOKUP($D644,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4" s="15">
        <f>IFERROR(__xludf.DUMMYFUNCTION("IFNA(XLOOKUP(""*""&amp;TRIM(REGEXREPLACE($D644, ""(?i)^(PT|CV)\.?\s+"", """"))&amp;""*"", 'DATA TARGET'!$C$2:$C998, 'DATA TARGET'!$D$2:$D998, ""Tidak Ditemukan"", 2), ""Tidak Ditemukan"")"),0.0)</f>
        <v>0</v>
      </c>
      <c r="H644" s="17">
        <f t="shared" si="1"/>
        <v>0</v>
      </c>
      <c r="I644" s="8"/>
    </row>
    <row r="645">
      <c r="A645" s="10" t="s">
        <v>1898</v>
      </c>
      <c r="B645" s="10" t="s">
        <v>2073</v>
      </c>
      <c r="C645" s="10" t="s">
        <v>2092</v>
      </c>
      <c r="D645" s="12" t="s">
        <v>2092</v>
      </c>
      <c r="E645" s="13" t="s">
        <v>2093</v>
      </c>
      <c r="F645" s="15" t="str">
        <f>IFERROR(__xludf.DUMMYFUNCTION("XLOOKUP($D645,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5" s="15">
        <f>IFERROR(__xludf.DUMMYFUNCTION("IFNA(XLOOKUP(""*""&amp;TRIM(REGEXREPLACE($D645, ""(?i)^(PT|CV)\.?\s+"", """"))&amp;""*"", 'DATA TARGET'!$C$2:$C998, 'DATA TARGET'!$D$2:$D998, ""Tidak Ditemukan"", 2), ""Tidak Ditemukan"")"),0.19)</f>
        <v>0.19</v>
      </c>
      <c r="H645" s="17">
        <f t="shared" si="1"/>
        <v>0.19</v>
      </c>
      <c r="I645" s="8"/>
    </row>
    <row r="646">
      <c r="A646" s="10" t="s">
        <v>1898</v>
      </c>
      <c r="B646" s="10" t="s">
        <v>2073</v>
      </c>
      <c r="C646" s="10" t="s">
        <v>2094</v>
      </c>
      <c r="D646" s="12" t="s">
        <v>2094</v>
      </c>
      <c r="E646" s="13" t="s">
        <v>2095</v>
      </c>
      <c r="F646" s="15">
        <f>IFERROR(__xludf.DUMMYFUNCTION("XLOOKUP($D646,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(AUTO)'!R6:R""))"),3197.75)</f>
        <v>3197.75</v>
      </c>
      <c r="G646" s="15">
        <f>IFERROR(__xludf.DUMMYFUNCTION("IFNA(XLOOKUP(""*""&amp;TRIM(REGEXREPLACE($D646, ""(?i)^(PT|CV)\.?\s+"", """"))&amp;""*"", 'DATA TARGET'!$C$2:$C998, 'DATA TARGET'!$D$2:$D998, ""Tidak Ditemukan"", 2), ""Tidak Ditemukan"")"),9541.71)</f>
        <v>9541.71</v>
      </c>
      <c r="H646" s="17">
        <f t="shared" si="1"/>
        <v>3197.75</v>
      </c>
      <c r="I646" s="8"/>
    </row>
    <row r="647">
      <c r="A647" s="10" t="s">
        <v>1898</v>
      </c>
      <c r="B647" s="10" t="s">
        <v>2073</v>
      </c>
      <c r="C647" s="10" t="s">
        <v>2096</v>
      </c>
      <c r="D647" s="12" t="s">
        <v>2096</v>
      </c>
      <c r="E647" s="13" t="s">
        <v>2097</v>
      </c>
      <c r="F647" s="15" t="str">
        <f>IFERROR(__xludf.DUMMYFUNCTION("XLOOKUP($D647,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7" s="15">
        <f>IFERROR(__xludf.DUMMYFUNCTION("IFNA(XLOOKUP(""*""&amp;TRIM(REGEXREPLACE($D647, ""(?i)^(PT|CV)\.?\s+"", """"))&amp;""*"", 'DATA TARGET'!$C$2:$C998, 'DATA TARGET'!$D$2:$D998, ""Tidak Ditemukan"", 2), ""Tidak Ditemukan"")"),143.53)</f>
        <v>143.53</v>
      </c>
      <c r="H647" s="17">
        <f t="shared" si="1"/>
        <v>143.53</v>
      </c>
      <c r="I647" s="8"/>
    </row>
    <row r="648">
      <c r="A648" s="10" t="s">
        <v>1898</v>
      </c>
      <c r="B648" s="10" t="s">
        <v>2073</v>
      </c>
      <c r="C648" s="10" t="s">
        <v>2098</v>
      </c>
      <c r="D648" s="12" t="s">
        <v>2098</v>
      </c>
      <c r="E648" s="13" t="s">
        <v>2099</v>
      </c>
      <c r="F648" s="15" t="str">
        <f>IFERROR(__xludf.DUMMYFUNCTION("XLOOKUP($D648,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8" s="15">
        <f>IFERROR(__xludf.DUMMYFUNCTION("IFNA(XLOOKUP(""*""&amp;TRIM(REGEXREPLACE($D648, ""(?i)^(PT|CV)\.?\s+"", """"))&amp;""*"", 'DATA TARGET'!$C$2:$C998, 'DATA TARGET'!$D$2:$D998, ""Tidak Ditemukan"", 2), ""Tidak Ditemukan"")"),33.34)</f>
        <v>33.34</v>
      </c>
      <c r="H648" s="17">
        <f t="shared" si="1"/>
        <v>33.34</v>
      </c>
      <c r="I648" s="8"/>
    </row>
    <row r="649">
      <c r="A649" s="10" t="s">
        <v>1898</v>
      </c>
      <c r="B649" s="10" t="s">
        <v>2073</v>
      </c>
      <c r="C649" s="10" t="s">
        <v>2100</v>
      </c>
      <c r="D649" s="12" t="s">
        <v>2100</v>
      </c>
      <c r="E649" s="13" t="s">
        <v>2101</v>
      </c>
      <c r="F649" s="15" t="str">
        <f>IFERROR(__xludf.DUMMYFUNCTION("XLOOKUP($D649,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49" s="15">
        <f>IFERROR(__xludf.DUMMYFUNCTION("IFNA(XLOOKUP(""*""&amp;TRIM(REGEXREPLACE($D649, ""(?i)^(PT|CV)\.?\s+"", """"))&amp;""*"", 'DATA TARGET'!$C$2:$C998, 'DATA TARGET'!$D$2:$D998, ""Tidak Ditemukan"", 2), ""Tidak Ditemukan"")"),0.0)</f>
        <v>0</v>
      </c>
      <c r="H649" s="17">
        <f t="shared" si="1"/>
        <v>0</v>
      </c>
      <c r="I649" s="8"/>
    </row>
    <row r="650">
      <c r="A650" s="10" t="s">
        <v>1898</v>
      </c>
      <c r="B650" s="10" t="s">
        <v>2073</v>
      </c>
      <c r="C650" s="10" t="s">
        <v>2102</v>
      </c>
      <c r="D650" s="12" t="s">
        <v>2102</v>
      </c>
      <c r="E650" s="13" t="s">
        <v>2103</v>
      </c>
      <c r="F650" s="15">
        <f>IFERROR(__xludf.DUMMYFUNCTION("XLOOKUP($D650,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(AUTO)'!R6:R""))"),2200.0)</f>
        <v>2200</v>
      </c>
      <c r="G650" s="15">
        <f>IFERROR(__xludf.DUMMYFUNCTION("IFNA(XLOOKUP(""*""&amp;TRIM(REGEXREPLACE($D650, ""(?i)^(PT|CV)\.?\s+"", """"))&amp;""*"", 'DATA TARGET'!$C$2:$C998, 'DATA TARGET'!$D$2:$D998, ""Tidak Ditemukan"", 2), ""Tidak Ditemukan"")"),2904.6)</f>
        <v>2904.6</v>
      </c>
      <c r="H650" s="17">
        <f t="shared" si="1"/>
        <v>2200</v>
      </c>
      <c r="I650" s="8"/>
    </row>
    <row r="651">
      <c r="A651" s="10" t="s">
        <v>1898</v>
      </c>
      <c r="B651" s="10" t="s">
        <v>2073</v>
      </c>
      <c r="C651" s="10" t="s">
        <v>2104</v>
      </c>
      <c r="D651" s="12" t="s">
        <v>2104</v>
      </c>
      <c r="E651" s="13" t="s">
        <v>2105</v>
      </c>
      <c r="F651" s="15" t="str">
        <f>IFERROR(__xludf.DUMMYFUNCTION("XLOOKUP($D651,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1" s="15">
        <f>IFERROR(__xludf.DUMMYFUNCTION("IFNA(XLOOKUP(""*""&amp;TRIM(REGEXREPLACE($D651, ""(?i)^(PT|CV)\.?\s+"", """"))&amp;""*"", 'DATA TARGET'!$C$2:$C998, 'DATA TARGET'!$D$2:$D998, ""Tidak Ditemukan"", 2), ""Tidak Ditemukan"")"),0.0)</f>
        <v>0</v>
      </c>
      <c r="H651" s="17">
        <f t="shared" si="1"/>
        <v>0</v>
      </c>
      <c r="I651" s="8"/>
    </row>
    <row r="652">
      <c r="A652" s="10" t="s">
        <v>1898</v>
      </c>
      <c r="B652" s="10" t="s">
        <v>2073</v>
      </c>
      <c r="C652" s="10" t="s">
        <v>2106</v>
      </c>
      <c r="D652" s="12" t="s">
        <v>2106</v>
      </c>
      <c r="E652" s="13" t="s">
        <v>2107</v>
      </c>
      <c r="F652" s="15" t="str">
        <f>IFERROR(__xludf.DUMMYFUNCTION("XLOOKUP($D652,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2" s="15">
        <f>IFERROR(__xludf.DUMMYFUNCTION("IFNA(XLOOKUP(""*""&amp;TRIM(REGEXREPLACE($D652, ""(?i)^(PT|CV)\.?\s+"", """"))&amp;""*"", 'DATA TARGET'!$C$2:$C998, 'DATA TARGET'!$D$2:$D998, ""Tidak Ditemukan"", 2), ""Tidak Ditemukan"")"),0.0)</f>
        <v>0</v>
      </c>
      <c r="H652" s="17">
        <f t="shared" si="1"/>
        <v>0</v>
      </c>
      <c r="I652" s="8"/>
    </row>
    <row r="653">
      <c r="A653" s="10" t="s">
        <v>1898</v>
      </c>
      <c r="B653" s="10" t="s">
        <v>2073</v>
      </c>
      <c r="C653" s="10" t="s">
        <v>2108</v>
      </c>
      <c r="D653" s="12" t="s">
        <v>2108</v>
      </c>
      <c r="E653" s="13" t="s">
        <v>2109</v>
      </c>
      <c r="F653" s="15">
        <f>IFERROR(__xludf.DUMMYFUNCTION("XLOOKUP($D653,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(AUTO)'!R6:R""))"),126.61)</f>
        <v>126.61</v>
      </c>
      <c r="G653" s="15">
        <f>IFERROR(__xludf.DUMMYFUNCTION("IFNA(XLOOKUP(""*""&amp;TRIM(REGEXREPLACE($D653, ""(?i)^(PT|CV)\.?\s+"", """"))&amp;""*"", 'DATA TARGET'!$C$2:$C998, 'DATA TARGET'!$D$2:$D998, ""Tidak Ditemukan"", 2), ""Tidak Ditemukan"")"),155.94)</f>
        <v>155.94</v>
      </c>
      <c r="H653" s="17">
        <f t="shared" si="1"/>
        <v>126.61</v>
      </c>
      <c r="I653" s="8"/>
    </row>
    <row r="654">
      <c r="A654" s="10" t="s">
        <v>1898</v>
      </c>
      <c r="B654" s="10" t="s">
        <v>2073</v>
      </c>
      <c r="C654" s="10" t="s">
        <v>2110</v>
      </c>
      <c r="D654" s="12" t="s">
        <v>2110</v>
      </c>
      <c r="E654" s="13" t="s">
        <v>2111</v>
      </c>
      <c r="F654" s="15" t="str">
        <f>IFERROR(__xludf.DUMMYFUNCTION("XLOOKUP($D654,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4" s="15">
        <f>IFERROR(__xludf.DUMMYFUNCTION("IFNA(XLOOKUP(""*""&amp;TRIM(REGEXREPLACE($D654, ""(?i)^(PT|CV)\.?\s+"", """"))&amp;""*"", 'DATA TARGET'!$C$2:$C998, 'DATA TARGET'!$D$2:$D998, ""Tidak Ditemukan"", 2), ""Tidak Ditemukan"")"),0.0)</f>
        <v>0</v>
      </c>
      <c r="H654" s="17">
        <f t="shared" si="1"/>
        <v>0</v>
      </c>
      <c r="I654" s="8"/>
    </row>
    <row r="655">
      <c r="A655" s="10" t="s">
        <v>1898</v>
      </c>
      <c r="B655" s="10" t="s">
        <v>2073</v>
      </c>
      <c r="C655" s="10" t="s">
        <v>2112</v>
      </c>
      <c r="D655" s="12" t="s">
        <v>2112</v>
      </c>
      <c r="E655" s="13" t="s">
        <v>2113</v>
      </c>
      <c r="F655" s="15">
        <f>IFERROR(__xludf.DUMMYFUNCTION("XLOOKUP($D655,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(AUTO)'!R6:R""))"),14.7)</f>
        <v>14.7</v>
      </c>
      <c r="G655" s="15">
        <f>IFERROR(__xludf.DUMMYFUNCTION("IFNA(XLOOKUP(""*""&amp;TRIM(REGEXREPLACE($D655, ""(?i)^(PT|CV)\.?\s+"", """"))&amp;""*"", 'DATA TARGET'!$C$2:$C998, 'DATA TARGET'!$D$2:$D998, ""Tidak Ditemukan"", 2), ""Tidak Ditemukan"")"),14.7)</f>
        <v>14.7</v>
      </c>
      <c r="H655" s="17">
        <f t="shared" si="1"/>
        <v>14.7</v>
      </c>
      <c r="I655" s="8"/>
    </row>
    <row r="656">
      <c r="A656" s="10" t="s">
        <v>1898</v>
      </c>
      <c r="B656" s="10" t="s">
        <v>2073</v>
      </c>
      <c r="C656" s="10" t="s">
        <v>2114</v>
      </c>
      <c r="D656" s="12" t="s">
        <v>2114</v>
      </c>
      <c r="E656" s="13" t="s">
        <v>2115</v>
      </c>
      <c r="F656" s="15" t="str">
        <f>IFERROR(__xludf.DUMMYFUNCTION("XLOOKUP($D656,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6" s="15" t="str">
        <f>IFERROR(__xludf.DUMMYFUNCTION("IFNA(XLOOKUP(""*""&amp;TRIM(REGEXREPLACE($D656, ""(?i)^(PT|CV)\.?\s+"", """"))&amp;""*"", 'DATA TARGET'!$C$2:$C998, 'DATA TARGET'!$D$2:$D998, ""Tidak Ditemukan"", 2), ""Tidak Ditemukan"")"),"Tidak Ditemukan")</f>
        <v>Tidak Ditemukan</v>
      </c>
      <c r="H656" s="17" t="str">
        <f t="shared" si="1"/>
        <v>Tidak Ditemukan</v>
      </c>
      <c r="I656" s="8"/>
    </row>
    <row r="657">
      <c r="A657" s="10" t="s">
        <v>1898</v>
      </c>
      <c r="B657" s="10" t="s">
        <v>2073</v>
      </c>
      <c r="C657" s="10" t="s">
        <v>2116</v>
      </c>
      <c r="D657" s="12" t="s">
        <v>2116</v>
      </c>
      <c r="E657" s="13" t="s">
        <v>2117</v>
      </c>
      <c r="F657" s="15" t="str">
        <f>IFERROR(__xludf.DUMMYFUNCTION("XLOOKUP($D657,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7" s="15">
        <f>IFERROR(__xludf.DUMMYFUNCTION("IFNA(XLOOKUP(""*""&amp;TRIM(REGEXREPLACE($D657, ""(?i)^(PT|CV)\.?\s+"", """"))&amp;""*"", 'DATA TARGET'!$C$2:$C998, 'DATA TARGET'!$D$2:$D998, ""Tidak Ditemukan"", 2), ""Tidak Ditemukan"")"),0.0)</f>
        <v>0</v>
      </c>
      <c r="H657" s="17">
        <f t="shared" si="1"/>
        <v>0</v>
      </c>
      <c r="I657" s="8"/>
    </row>
    <row r="658">
      <c r="A658" s="10" t="s">
        <v>1898</v>
      </c>
      <c r="B658" s="10" t="s">
        <v>2073</v>
      </c>
      <c r="C658" s="10" t="s">
        <v>2118</v>
      </c>
      <c r="D658" s="12" t="s">
        <v>2118</v>
      </c>
      <c r="E658" s="13" t="s">
        <v>2119</v>
      </c>
      <c r="F658" s="15" t="str">
        <f>IFERROR(__xludf.DUMMYFUNCTION("XLOOKUP($D658,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8" s="15">
        <f>IFERROR(__xludf.DUMMYFUNCTION("IFNA(XLOOKUP(""*""&amp;TRIM(REGEXREPLACE($D658, ""(?i)^(PT|CV)\.?\s+"", """"))&amp;""*"", 'DATA TARGET'!$C$2:$C998, 'DATA TARGET'!$D$2:$D998, ""Tidak Ditemukan"", 2), ""Tidak Ditemukan"")"),0.0)</f>
        <v>0</v>
      </c>
      <c r="H658" s="17">
        <f t="shared" si="1"/>
        <v>0</v>
      </c>
      <c r="I658" s="8"/>
    </row>
    <row r="659">
      <c r="A659" s="10" t="s">
        <v>1898</v>
      </c>
      <c r="B659" s="10" t="s">
        <v>2073</v>
      </c>
      <c r="C659" s="10" t="s">
        <v>2120</v>
      </c>
      <c r="D659" s="12" t="s">
        <v>2120</v>
      </c>
      <c r="E659" s="13" t="s">
        <v>2121</v>
      </c>
      <c r="F659" s="15" t="str">
        <f>IFERROR(__xludf.DUMMYFUNCTION("XLOOKUP($D659,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59" s="15">
        <f>IFERROR(__xludf.DUMMYFUNCTION("IFNA(XLOOKUP(""*""&amp;TRIM(REGEXREPLACE($D659, ""(?i)^(PT|CV)\.?\s+"", """"))&amp;""*"", 'DATA TARGET'!$C$2:$C998, 'DATA TARGET'!$D$2:$D998, ""Tidak Ditemukan"", 2), ""Tidak Ditemukan"")"),23.58)</f>
        <v>23.58</v>
      </c>
      <c r="H659" s="17">
        <f t="shared" si="1"/>
        <v>23.58</v>
      </c>
      <c r="I659" s="8"/>
    </row>
    <row r="660">
      <c r="A660" s="10" t="s">
        <v>1898</v>
      </c>
      <c r="B660" s="10" t="s">
        <v>2073</v>
      </c>
      <c r="C660" s="10" t="s">
        <v>2122</v>
      </c>
      <c r="D660" s="12" t="s">
        <v>2122</v>
      </c>
      <c r="E660" s="13" t="s">
        <v>2123</v>
      </c>
      <c r="F660" s="15" t="str">
        <f>IFERROR(__xludf.DUMMYFUNCTION("XLOOKUP($D660,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0" s="15" t="str">
        <f>IFERROR(__xludf.DUMMYFUNCTION("IFNA(XLOOKUP(""*""&amp;TRIM(REGEXREPLACE($D660, ""(?i)^(PT|CV)\.?\s+"", """"))&amp;""*"", 'DATA TARGET'!$C$2:$C998, 'DATA TARGET'!$D$2:$D998, ""Tidak Ditemukan"", 2), ""Tidak Ditemukan"")"),"Tidak Ditemukan")</f>
        <v>Tidak Ditemukan</v>
      </c>
      <c r="H660" s="17" t="str">
        <f t="shared" si="1"/>
        <v>Tidak Ditemukan</v>
      </c>
      <c r="I660" s="8"/>
    </row>
    <row r="661">
      <c r="A661" s="10" t="s">
        <v>1898</v>
      </c>
      <c r="B661" s="10" t="s">
        <v>2073</v>
      </c>
      <c r="C661" s="10" t="s">
        <v>2124</v>
      </c>
      <c r="D661" s="12" t="s">
        <v>2124</v>
      </c>
      <c r="E661" s="13" t="s">
        <v>2125</v>
      </c>
      <c r="F661" s="15" t="str">
        <f>IFERROR(__xludf.DUMMYFUNCTION("XLOOKUP($D661,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1" s="15" t="str">
        <f>IFERROR(__xludf.DUMMYFUNCTION("IFNA(XLOOKUP(""*""&amp;TRIM(REGEXREPLACE($D661, ""(?i)^(PT|CV)\.?\s+"", """"))&amp;""*"", 'DATA TARGET'!$C$2:$C998, 'DATA TARGET'!$D$2:$D998, ""Tidak Ditemukan"", 2), ""Tidak Ditemukan"")"),"Tidak Ditemukan")</f>
        <v>Tidak Ditemukan</v>
      </c>
      <c r="H661" s="17" t="str">
        <f t="shared" si="1"/>
        <v>Tidak Ditemukan</v>
      </c>
      <c r="I661" s="8"/>
    </row>
    <row r="662">
      <c r="A662" s="10" t="s">
        <v>1898</v>
      </c>
      <c r="B662" s="10" t="s">
        <v>2073</v>
      </c>
      <c r="C662" s="10" t="s">
        <v>2126</v>
      </c>
      <c r="D662" s="12" t="s">
        <v>2126</v>
      </c>
      <c r="E662" s="13" t="s">
        <v>2127</v>
      </c>
      <c r="F662" s="15" t="str">
        <f>IFERROR(__xludf.DUMMYFUNCTION("XLOOKUP($D662,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2" s="15">
        <f>IFERROR(__xludf.DUMMYFUNCTION("IFNA(XLOOKUP(""*""&amp;TRIM(REGEXREPLACE($D662, ""(?i)^(PT|CV)\.?\s+"", """"))&amp;""*"", 'DATA TARGET'!$C$2:$C998, 'DATA TARGET'!$D$2:$D998, ""Tidak Ditemukan"", 2), ""Tidak Ditemukan"")"),4.38)</f>
        <v>4.38</v>
      </c>
      <c r="H662" s="17">
        <f t="shared" si="1"/>
        <v>4.38</v>
      </c>
      <c r="I662" s="8"/>
    </row>
    <row r="663">
      <c r="A663" s="10" t="s">
        <v>1898</v>
      </c>
      <c r="B663" s="10" t="s">
        <v>2073</v>
      </c>
      <c r="C663" s="10" t="s">
        <v>2128</v>
      </c>
      <c r="D663" s="12" t="s">
        <v>2128</v>
      </c>
      <c r="E663" s="13" t="s">
        <v>2129</v>
      </c>
      <c r="F663" s="15" t="str">
        <f>IFERROR(__xludf.DUMMYFUNCTION("XLOOKUP($D663,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3" s="15">
        <f>IFERROR(__xludf.DUMMYFUNCTION("IFNA(XLOOKUP(""*""&amp;TRIM(REGEXREPLACE($D663, ""(?i)^(PT|CV)\.?\s+"", """"))&amp;""*"", 'DATA TARGET'!$C$2:$C998, 'DATA TARGET'!$D$2:$D998, ""Tidak Ditemukan"", 2), ""Tidak Ditemukan"")"),0.0)</f>
        <v>0</v>
      </c>
      <c r="H663" s="17">
        <f t="shared" si="1"/>
        <v>0</v>
      </c>
      <c r="I663" s="8"/>
    </row>
    <row r="664">
      <c r="A664" s="10" t="s">
        <v>1898</v>
      </c>
      <c r="B664" s="10" t="s">
        <v>2073</v>
      </c>
      <c r="C664" s="10" t="s">
        <v>2130</v>
      </c>
      <c r="D664" s="12" t="s">
        <v>2130</v>
      </c>
      <c r="E664" s="13" t="s">
        <v>2131</v>
      </c>
      <c r="F664" s="15" t="str">
        <f>IFERROR(__xludf.DUMMYFUNCTION("XLOOKUP($D664,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4" s="15">
        <f>IFERROR(__xludf.DUMMYFUNCTION("IFNA(XLOOKUP(""*""&amp;TRIM(REGEXREPLACE($D664, ""(?i)^(PT|CV)\.?\s+"", """"))&amp;""*"", 'DATA TARGET'!$C$2:$C998, 'DATA TARGET'!$D$2:$D998, ""Tidak Ditemukan"", 2), ""Tidak Ditemukan"")"),0.0)</f>
        <v>0</v>
      </c>
      <c r="H664" s="17">
        <f t="shared" si="1"/>
        <v>0</v>
      </c>
      <c r="I664" s="8"/>
    </row>
    <row r="665">
      <c r="A665" s="10" t="s">
        <v>1898</v>
      </c>
      <c r="B665" s="10" t="s">
        <v>2073</v>
      </c>
      <c r="C665" s="10" t="s">
        <v>2132</v>
      </c>
      <c r="D665" s="12" t="s">
        <v>2132</v>
      </c>
      <c r="E665" s="13" t="s">
        <v>2133</v>
      </c>
      <c r="F665" s="15">
        <f>IFERROR(__xludf.DUMMYFUNCTION("XLOOKUP($D665,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65" s="15">
        <f>IFERROR(__xludf.DUMMYFUNCTION("IFNA(XLOOKUP(""*""&amp;TRIM(REGEXREPLACE($D665, ""(?i)^(PT|CV)\.?\s+"", """"))&amp;""*"", 'DATA TARGET'!$C$2:$C998, 'DATA TARGET'!$D$2:$D998, ""Tidak Ditemukan"", 2), ""Tidak Ditemukan"")"),2.0)</f>
        <v>2</v>
      </c>
      <c r="H665" s="17">
        <f t="shared" si="1"/>
        <v>2</v>
      </c>
      <c r="I665" s="8"/>
    </row>
    <row r="666">
      <c r="A666" s="10" t="s">
        <v>1898</v>
      </c>
      <c r="B666" s="10" t="s">
        <v>2073</v>
      </c>
      <c r="C666" s="10" t="s">
        <v>2134</v>
      </c>
      <c r="D666" s="12" t="s">
        <v>2134</v>
      </c>
      <c r="E666" s="13" t="s">
        <v>2135</v>
      </c>
      <c r="F666" s="15" t="str">
        <f>IFERROR(__xludf.DUMMYFUNCTION("XLOOKUP($D666,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6" s="15" t="str">
        <f>IFERROR(__xludf.DUMMYFUNCTION("IFNA(XLOOKUP(""*""&amp;TRIM(REGEXREPLACE($D666, ""(?i)^(PT|CV)\.?\s+"", """"))&amp;""*"", 'DATA TARGET'!$C$2:$C998, 'DATA TARGET'!$D$2:$D998, ""Tidak Ditemukan"", 2), ""Tidak Ditemukan"")"),"Tidak Ditemukan")</f>
        <v>Tidak Ditemukan</v>
      </c>
      <c r="H666" s="17" t="str">
        <f t="shared" si="1"/>
        <v>Tidak Ditemukan</v>
      </c>
      <c r="I666" s="8"/>
    </row>
    <row r="667">
      <c r="A667" s="10" t="s">
        <v>1898</v>
      </c>
      <c r="B667" s="10" t="s">
        <v>2073</v>
      </c>
      <c r="C667" s="10" t="s">
        <v>2136</v>
      </c>
      <c r="D667" s="12" t="s">
        <v>2136</v>
      </c>
      <c r="E667" s="13" t="s">
        <v>2137</v>
      </c>
      <c r="F667" s="15" t="str">
        <f>IFERROR(__xludf.DUMMYFUNCTION("XLOOKUP($D667,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7" s="15">
        <f>IFERROR(__xludf.DUMMYFUNCTION("IFNA(XLOOKUP(""*""&amp;TRIM(REGEXREPLACE($D667, ""(?i)^(PT|CV)\.?\s+"", """"))&amp;""*"", 'DATA TARGET'!$C$2:$C998, 'DATA TARGET'!$D$2:$D998, ""Tidak Ditemukan"", 2), ""Tidak Ditemukan"")"),0.0)</f>
        <v>0</v>
      </c>
      <c r="H667" s="17">
        <f t="shared" si="1"/>
        <v>0</v>
      </c>
      <c r="I667" s="8"/>
    </row>
    <row r="668">
      <c r="A668" s="10" t="s">
        <v>1898</v>
      </c>
      <c r="B668" s="10" t="s">
        <v>2073</v>
      </c>
      <c r="C668" s="10" t="s">
        <v>2138</v>
      </c>
      <c r="D668" s="12" t="s">
        <v>2138</v>
      </c>
      <c r="E668" s="13" t="s">
        <v>2139</v>
      </c>
      <c r="F668" s="15" t="str">
        <f>IFERROR(__xludf.DUMMYFUNCTION("XLOOKUP($D668,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68" s="15">
        <f>IFERROR(__xludf.DUMMYFUNCTION("IFNA(XLOOKUP(""*""&amp;TRIM(REGEXREPLACE($D668, ""(?i)^(PT|CV)\.?\s+"", """"))&amp;""*"", 'DATA TARGET'!$C$2:$C998, 'DATA TARGET'!$D$2:$D998, ""Tidak Ditemukan"", 2), ""Tidak Ditemukan"")"),0.0)</f>
        <v>0</v>
      </c>
      <c r="H668" s="17">
        <f t="shared" si="1"/>
        <v>0</v>
      </c>
      <c r="I668" s="8"/>
    </row>
    <row r="669">
      <c r="A669" s="10" t="s">
        <v>1898</v>
      </c>
      <c r="B669" s="10" t="s">
        <v>2073</v>
      </c>
      <c r="C669" s="10" t="s">
        <v>2140</v>
      </c>
      <c r="D669" s="12" t="s">
        <v>2140</v>
      </c>
      <c r="E669" s="13" t="s">
        <v>2141</v>
      </c>
      <c r="F669" s="15">
        <f>IFERROR(__xludf.DUMMYFUNCTION("XLOOKUP($D669,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(AUTO)'!R6:R""))"),286.54)</f>
        <v>286.54</v>
      </c>
      <c r="G669" s="15">
        <f>IFERROR(__xludf.DUMMYFUNCTION("IFNA(XLOOKUP(""*""&amp;TRIM(REGEXREPLACE($D669, ""(?i)^(PT|CV)\.?\s+"", """"))&amp;""*"", 'DATA TARGET'!$C$2:$C998, 'DATA TARGET'!$D$2:$D998, ""Tidak Ditemukan"", 2), ""Tidak Ditemukan"")"),321.49)</f>
        <v>321.49</v>
      </c>
      <c r="H669" s="17">
        <f t="shared" si="1"/>
        <v>286.54</v>
      </c>
      <c r="I669" s="8"/>
    </row>
    <row r="670">
      <c r="A670" s="10" t="s">
        <v>1898</v>
      </c>
      <c r="B670" s="10" t="s">
        <v>2073</v>
      </c>
      <c r="C670" s="10" t="s">
        <v>2142</v>
      </c>
      <c r="D670" s="12" t="s">
        <v>2142</v>
      </c>
      <c r="E670" s="13" t="s">
        <v>2143</v>
      </c>
      <c r="F670" s="15" t="str">
        <f>IFERROR(__xludf.DUMMYFUNCTION("XLOOKUP($D670,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0" s="15">
        <f>IFERROR(__xludf.DUMMYFUNCTION("IFNA(XLOOKUP(""*""&amp;TRIM(REGEXREPLACE($D670, ""(?i)^(PT|CV)\.?\s+"", """"))&amp;""*"", 'DATA TARGET'!$C$2:$C998, 'DATA TARGET'!$D$2:$D998, ""Tidak Ditemukan"", 2), ""Tidak Ditemukan"")"),37.27)</f>
        <v>37.27</v>
      </c>
      <c r="H670" s="17">
        <f t="shared" si="1"/>
        <v>37.27</v>
      </c>
      <c r="I670" s="8"/>
    </row>
    <row r="671">
      <c r="A671" s="10" t="s">
        <v>1898</v>
      </c>
      <c r="B671" s="10" t="s">
        <v>2073</v>
      </c>
      <c r="C671" s="10" t="s">
        <v>2144</v>
      </c>
      <c r="D671" s="12" t="s">
        <v>2144</v>
      </c>
      <c r="E671" s="13" t="s">
        <v>2145</v>
      </c>
      <c r="F671" s="15" t="str">
        <f>IFERROR(__xludf.DUMMYFUNCTION("XLOOKUP($D671,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1" s="15">
        <f>IFERROR(__xludf.DUMMYFUNCTION("IFNA(XLOOKUP(""*""&amp;TRIM(REGEXREPLACE($D671, ""(?i)^(PT|CV)\.?\s+"", """"))&amp;""*"", 'DATA TARGET'!$C$2:$C998, 'DATA TARGET'!$D$2:$D998, ""Tidak Ditemukan"", 2), ""Tidak Ditemukan"")"),0.0)</f>
        <v>0</v>
      </c>
      <c r="H671" s="17">
        <f t="shared" si="1"/>
        <v>0</v>
      </c>
      <c r="I671" s="8"/>
    </row>
    <row r="672">
      <c r="A672" s="10" t="s">
        <v>1898</v>
      </c>
      <c r="B672" s="10" t="s">
        <v>2073</v>
      </c>
      <c r="C672" s="10" t="s">
        <v>2146</v>
      </c>
      <c r="D672" s="12" t="s">
        <v>2146</v>
      </c>
      <c r="E672" s="13" t="s">
        <v>2147</v>
      </c>
      <c r="F672" s="15" t="str">
        <f>IFERROR(__xludf.DUMMYFUNCTION("XLOOKUP($D672,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2" s="15">
        <f>IFERROR(__xludf.DUMMYFUNCTION("IFNA(XLOOKUP(""*""&amp;TRIM(REGEXREPLACE($D672, ""(?i)^(PT|CV)\.?\s+"", """"))&amp;""*"", 'DATA TARGET'!$C$2:$C998, 'DATA TARGET'!$D$2:$D998, ""Tidak Ditemukan"", 2), ""Tidak Ditemukan"")"),0.85)</f>
        <v>0.85</v>
      </c>
      <c r="H672" s="17">
        <f t="shared" si="1"/>
        <v>0.85</v>
      </c>
      <c r="I672" s="8"/>
    </row>
    <row r="673">
      <c r="A673" s="10" t="s">
        <v>1898</v>
      </c>
      <c r="B673" s="10" t="s">
        <v>2073</v>
      </c>
      <c r="C673" s="10" t="s">
        <v>2148</v>
      </c>
      <c r="D673" s="12" t="s">
        <v>2148</v>
      </c>
      <c r="E673" s="13" t="s">
        <v>2149</v>
      </c>
      <c r="F673" s="15" t="str">
        <f>IFERROR(__xludf.DUMMYFUNCTION("XLOOKUP($D673,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3" s="15" t="str">
        <f>IFERROR(__xludf.DUMMYFUNCTION("IFNA(XLOOKUP(""*""&amp;TRIM(REGEXREPLACE($D673, ""(?i)^(PT|CV)\.?\s+"", """"))&amp;""*"", 'DATA TARGET'!$C$2:$C998, 'DATA TARGET'!$D$2:$D998, ""Tidak Ditemukan"", 2), ""Tidak Ditemukan"")"),"Tidak Ditemukan")</f>
        <v>Tidak Ditemukan</v>
      </c>
      <c r="H673" s="17" t="str">
        <f t="shared" si="1"/>
        <v>Tidak Ditemukan</v>
      </c>
      <c r="I673" s="8"/>
    </row>
    <row r="674">
      <c r="A674" s="10" t="s">
        <v>1898</v>
      </c>
      <c r="B674" s="10" t="s">
        <v>2073</v>
      </c>
      <c r="C674" s="10" t="s">
        <v>2150</v>
      </c>
      <c r="D674" s="12" t="s">
        <v>2150</v>
      </c>
      <c r="E674" s="13" t="s">
        <v>2151</v>
      </c>
      <c r="F674" s="15">
        <f>IFERROR(__xludf.DUMMYFUNCTION("XLOOKUP($D674,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(AUTO)'!R6:R""))"),873.05)</f>
        <v>873.05</v>
      </c>
      <c r="G674" s="15">
        <f>IFERROR(__xludf.DUMMYFUNCTION("IFNA(XLOOKUP(""*""&amp;TRIM(REGEXREPLACE($D674, ""(?i)^(PT|CV)\.?\s+"", """"))&amp;""*"", 'DATA TARGET'!$C$2:$C998, 'DATA TARGET'!$D$2:$D998, ""Tidak Ditemukan"", 2), ""Tidak Ditemukan"")"),873.05)</f>
        <v>873.05</v>
      </c>
      <c r="H674" s="17">
        <f t="shared" si="1"/>
        <v>873.05</v>
      </c>
      <c r="I674" s="8"/>
    </row>
    <row r="675">
      <c r="A675" s="10" t="s">
        <v>1898</v>
      </c>
      <c r="B675" s="10" t="s">
        <v>2073</v>
      </c>
      <c r="C675" s="10" t="s">
        <v>2152</v>
      </c>
      <c r="D675" s="12" t="s">
        <v>2152</v>
      </c>
      <c r="E675" s="13" t="s">
        <v>2153</v>
      </c>
      <c r="F675" s="15" t="str">
        <f>IFERROR(__xludf.DUMMYFUNCTION("XLOOKUP($D675,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5" s="15">
        <f>IFERROR(__xludf.DUMMYFUNCTION("IFNA(XLOOKUP(""*""&amp;TRIM(REGEXREPLACE($D675, ""(?i)^(PT|CV)\.?\s+"", """"))&amp;""*"", 'DATA TARGET'!$C$2:$C998, 'DATA TARGET'!$D$2:$D998, ""Tidak Ditemukan"", 2), ""Tidak Ditemukan"")"),9.0)</f>
        <v>9</v>
      </c>
      <c r="H675" s="17">
        <f t="shared" si="1"/>
        <v>9</v>
      </c>
      <c r="I675" s="8"/>
    </row>
    <row r="676">
      <c r="A676" s="10" t="s">
        <v>1898</v>
      </c>
      <c r="B676" s="10" t="s">
        <v>2073</v>
      </c>
      <c r="C676" s="10" t="s">
        <v>2154</v>
      </c>
      <c r="D676" s="12" t="s">
        <v>2154</v>
      </c>
      <c r="E676" s="13" t="s">
        <v>2155</v>
      </c>
      <c r="F676" s="15">
        <f>IFERROR(__xludf.DUMMYFUNCTION("XLOOKUP($D676,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(AUTO)'!R6:R""))"),246.0)</f>
        <v>246</v>
      </c>
      <c r="G676" s="15">
        <f>IFERROR(__xludf.DUMMYFUNCTION("IFNA(XLOOKUP(""*""&amp;TRIM(REGEXREPLACE($D676, ""(?i)^(PT|CV)\.?\s+"", """"))&amp;""*"", 'DATA TARGET'!$C$2:$C998, 'DATA TARGET'!$D$2:$D998, ""Tidak Ditemukan"", 2), ""Tidak Ditemukan"")"),4857.27)</f>
        <v>4857.27</v>
      </c>
      <c r="H676" s="17">
        <f t="shared" si="1"/>
        <v>246</v>
      </c>
      <c r="I676" s="8"/>
    </row>
    <row r="677">
      <c r="A677" s="10" t="s">
        <v>1898</v>
      </c>
      <c r="B677" s="10" t="s">
        <v>2073</v>
      </c>
      <c r="C677" s="10" t="s">
        <v>2156</v>
      </c>
      <c r="D677" s="12" t="s">
        <v>2156</v>
      </c>
      <c r="E677" s="13" t="s">
        <v>2157</v>
      </c>
      <c r="F677" s="15">
        <f>IFERROR(__xludf.DUMMYFUNCTION("XLOOKUP($D677,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(AUTO)'!R6:R""))"),100.0)</f>
        <v>100</v>
      </c>
      <c r="G677" s="15">
        <f>IFERROR(__xludf.DUMMYFUNCTION("IFNA(XLOOKUP(""*""&amp;TRIM(REGEXREPLACE($D677, ""(?i)^(PT|CV)\.?\s+"", """"))&amp;""*"", 'DATA TARGET'!$C$2:$C998, 'DATA TARGET'!$D$2:$D998, ""Tidak Ditemukan"", 2), ""Tidak Ditemukan"")"),575.11)</f>
        <v>575.11</v>
      </c>
      <c r="H677" s="17">
        <f t="shared" si="1"/>
        <v>100</v>
      </c>
      <c r="I677" s="8"/>
    </row>
    <row r="678">
      <c r="A678" s="10" t="s">
        <v>1898</v>
      </c>
      <c r="B678" s="10" t="s">
        <v>2073</v>
      </c>
      <c r="C678" s="10" t="s">
        <v>2158</v>
      </c>
      <c r="D678" s="12" t="s">
        <v>2158</v>
      </c>
      <c r="E678" s="13" t="s">
        <v>2159</v>
      </c>
      <c r="F678" s="15" t="str">
        <f>IFERROR(__xludf.DUMMYFUNCTION("XLOOKUP($D678,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8" s="15">
        <f>IFERROR(__xludf.DUMMYFUNCTION("IFNA(XLOOKUP(""*""&amp;TRIM(REGEXREPLACE($D678, ""(?i)^(PT|CV)\.?\s+"", """"))&amp;""*"", 'DATA TARGET'!$C$2:$C998, 'DATA TARGET'!$D$2:$D998, ""Tidak Ditemukan"", 2), ""Tidak Ditemukan"")"),0.0)</f>
        <v>0</v>
      </c>
      <c r="H678" s="17">
        <f t="shared" si="1"/>
        <v>0</v>
      </c>
      <c r="I678" s="8"/>
    </row>
    <row r="679">
      <c r="A679" s="10" t="s">
        <v>1898</v>
      </c>
      <c r="B679" s="10" t="s">
        <v>2073</v>
      </c>
      <c r="C679" s="10" t="s">
        <v>2160</v>
      </c>
      <c r="D679" s="12" t="s">
        <v>2160</v>
      </c>
      <c r="E679" s="13" t="s">
        <v>2161</v>
      </c>
      <c r="F679" s="15" t="str">
        <f>IFERROR(__xludf.DUMMYFUNCTION("XLOOKUP($D679,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79" s="15">
        <f>IFERROR(__xludf.DUMMYFUNCTION("IFNA(XLOOKUP(""*""&amp;TRIM(REGEXREPLACE($D679, ""(?i)^(PT|CV)\.?\s+"", """"))&amp;""*"", 'DATA TARGET'!$C$2:$C998, 'DATA TARGET'!$D$2:$D998, ""Tidak Ditemukan"", 2), ""Tidak Ditemukan"")"),0.0)</f>
        <v>0</v>
      </c>
      <c r="H679" s="17">
        <f t="shared" si="1"/>
        <v>0</v>
      </c>
      <c r="I679" s="8"/>
    </row>
    <row r="680">
      <c r="A680" s="10" t="s">
        <v>1898</v>
      </c>
      <c r="B680" s="10" t="s">
        <v>2073</v>
      </c>
      <c r="C680" s="10" t="s">
        <v>2162</v>
      </c>
      <c r="D680" s="12" t="s">
        <v>2162</v>
      </c>
      <c r="E680" s="13" t="s">
        <v>2163</v>
      </c>
      <c r="F680" s="15">
        <f>IFERROR(__xludf.DUMMYFUNCTION("XLOOKUP($D680,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(AUTO)'!R6:R""))"),18.56)</f>
        <v>18.56</v>
      </c>
      <c r="G680" s="15">
        <f>IFERROR(__xludf.DUMMYFUNCTION("IFNA(XLOOKUP(""*""&amp;TRIM(REGEXREPLACE($D680, ""(?i)^(PT|CV)\.?\s+"", """"))&amp;""*"", 'DATA TARGET'!$C$2:$C998, 'DATA TARGET'!$D$2:$D998, ""Tidak Ditemukan"", 2), ""Tidak Ditemukan"")"),18.56)</f>
        <v>18.56</v>
      </c>
      <c r="H680" s="17">
        <f t="shared" si="1"/>
        <v>18.56</v>
      </c>
      <c r="I680" s="8"/>
    </row>
    <row r="681">
      <c r="A681" s="10" t="s">
        <v>1898</v>
      </c>
      <c r="B681" s="10" t="s">
        <v>2073</v>
      </c>
      <c r="C681" s="10" t="s">
        <v>2164</v>
      </c>
      <c r="D681" s="12" t="s">
        <v>2164</v>
      </c>
      <c r="E681" s="13" t="s">
        <v>2165</v>
      </c>
      <c r="F681" s="15" t="str">
        <f>IFERROR(__xludf.DUMMYFUNCTION("XLOOKUP($D681,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1" s="15">
        <f>IFERROR(__xludf.DUMMYFUNCTION("IFNA(XLOOKUP(""*""&amp;TRIM(REGEXREPLACE($D681, ""(?i)^(PT|CV)\.?\s+"", """"))&amp;""*"", 'DATA TARGET'!$C$2:$C998, 'DATA TARGET'!$D$2:$D998, ""Tidak Ditemukan"", 2), ""Tidak Ditemukan"")"),10.0)</f>
        <v>10</v>
      </c>
      <c r="H681" s="17">
        <f t="shared" si="1"/>
        <v>10</v>
      </c>
      <c r="I681" s="8"/>
    </row>
    <row r="682">
      <c r="A682" s="10" t="s">
        <v>1898</v>
      </c>
      <c r="B682" s="10" t="s">
        <v>2073</v>
      </c>
      <c r="C682" s="10" t="s">
        <v>2166</v>
      </c>
      <c r="D682" s="12" t="s">
        <v>2166</v>
      </c>
      <c r="E682" s="13" t="s">
        <v>2167</v>
      </c>
      <c r="F682" s="15" t="str">
        <f>IFERROR(__xludf.DUMMYFUNCTION("XLOOKUP($D682,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2" s="15">
        <f>IFERROR(__xludf.DUMMYFUNCTION("IFNA(XLOOKUP(""*""&amp;TRIM(REGEXREPLACE($D682, ""(?i)^(PT|CV)\.?\s+"", """"))&amp;""*"", 'DATA TARGET'!$C$2:$C998, 'DATA TARGET'!$D$2:$D998, ""Tidak Ditemukan"", 2), ""Tidak Ditemukan"")"),0.0)</f>
        <v>0</v>
      </c>
      <c r="H682" s="17">
        <f t="shared" si="1"/>
        <v>0</v>
      </c>
      <c r="I682" s="8"/>
    </row>
    <row r="683">
      <c r="A683" s="10" t="s">
        <v>1898</v>
      </c>
      <c r="B683" s="10" t="s">
        <v>2073</v>
      </c>
      <c r="C683" s="10" t="s">
        <v>2168</v>
      </c>
      <c r="D683" s="12" t="s">
        <v>2168</v>
      </c>
      <c r="E683" s="13" t="s">
        <v>2169</v>
      </c>
      <c r="F683" s="15">
        <f>IFERROR(__xludf.DUMMYFUNCTION("XLOOKUP($D683,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(AUTO)'!R6:R""))"),3339.0)</f>
        <v>3339</v>
      </c>
      <c r="G683" s="15">
        <f>IFERROR(__xludf.DUMMYFUNCTION("IFNA(XLOOKUP(""*""&amp;TRIM(REGEXREPLACE($D683, ""(?i)^(PT|CV)\.?\s+"", """"))&amp;""*"", 'DATA TARGET'!$C$2:$C998, 'DATA TARGET'!$D$2:$D998, ""Tidak Ditemukan"", 2), ""Tidak Ditemukan"")"),3339.0)</f>
        <v>3339</v>
      </c>
      <c r="H683" s="17">
        <f t="shared" si="1"/>
        <v>3339</v>
      </c>
      <c r="I683" s="8"/>
    </row>
    <row r="684">
      <c r="A684" s="10" t="s">
        <v>1898</v>
      </c>
      <c r="B684" s="10" t="s">
        <v>2073</v>
      </c>
      <c r="C684" s="10" t="s">
        <v>2170</v>
      </c>
      <c r="D684" s="12" t="s">
        <v>2170</v>
      </c>
      <c r="E684" s="13" t="s">
        <v>2171</v>
      </c>
      <c r="F684" s="15" t="str">
        <f>IFERROR(__xludf.DUMMYFUNCTION("XLOOKUP($D684,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4" s="15" t="str">
        <f>IFERROR(__xludf.DUMMYFUNCTION("IFNA(XLOOKUP(""*""&amp;TRIM(REGEXREPLACE($D684, ""(?i)^(PT|CV)\.?\s+"", """"))&amp;""*"", 'DATA TARGET'!$C$2:$C998, 'DATA TARGET'!$D$2:$D998, ""Tidak Ditemukan"", 2), ""Tidak Ditemukan"")"),"Tidak Ditemukan")</f>
        <v>Tidak Ditemukan</v>
      </c>
      <c r="H684" s="17" t="str">
        <f t="shared" si="1"/>
        <v>Tidak Ditemukan</v>
      </c>
      <c r="I684" s="8"/>
    </row>
    <row r="685">
      <c r="A685" s="10" t="s">
        <v>1898</v>
      </c>
      <c r="B685" s="10" t="s">
        <v>2073</v>
      </c>
      <c r="C685" s="10" t="s">
        <v>2172</v>
      </c>
      <c r="D685" s="12" t="s">
        <v>2172</v>
      </c>
      <c r="E685" s="13" t="s">
        <v>2173</v>
      </c>
      <c r="F685" s="15" t="str">
        <f>IFERROR(__xludf.DUMMYFUNCTION("XLOOKUP($D685,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5" s="15">
        <f>IFERROR(__xludf.DUMMYFUNCTION("IFNA(XLOOKUP(""*""&amp;TRIM(REGEXREPLACE($D685, ""(?i)^(PT|CV)\.?\s+"", """"))&amp;""*"", 'DATA TARGET'!$C$2:$C998, 'DATA TARGET'!$D$2:$D998, ""Tidak Ditemukan"", 2), ""Tidak Ditemukan"")"),1100.98)</f>
        <v>1100.98</v>
      </c>
      <c r="H685" s="17">
        <f t="shared" si="1"/>
        <v>1100.98</v>
      </c>
      <c r="I685" s="8"/>
    </row>
    <row r="686">
      <c r="A686" s="10" t="s">
        <v>1898</v>
      </c>
      <c r="B686" s="10" t="s">
        <v>2073</v>
      </c>
      <c r="C686" s="10" t="s">
        <v>2174</v>
      </c>
      <c r="D686" s="12" t="s">
        <v>2174</v>
      </c>
      <c r="E686" s="13" t="s">
        <v>2175</v>
      </c>
      <c r="F686" s="15" t="str">
        <f>IFERROR(__xludf.DUMMYFUNCTION("XLOOKUP($D686,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6" s="15">
        <f>IFERROR(__xludf.DUMMYFUNCTION("IFNA(XLOOKUP(""*""&amp;TRIM(REGEXREPLACE($D686, ""(?i)^(PT|CV)\.?\s+"", """"))&amp;""*"", 'DATA TARGET'!$C$2:$C998, 'DATA TARGET'!$D$2:$D998, ""Tidak Ditemukan"", 2), ""Tidak Ditemukan"")"),0.0)</f>
        <v>0</v>
      </c>
      <c r="H686" s="17">
        <f t="shared" si="1"/>
        <v>0</v>
      </c>
      <c r="I686" s="8"/>
    </row>
    <row r="687">
      <c r="A687" s="10" t="s">
        <v>1898</v>
      </c>
      <c r="B687" s="10" t="s">
        <v>2073</v>
      </c>
      <c r="C687" s="10" t="s">
        <v>2176</v>
      </c>
      <c r="D687" s="12" t="s">
        <v>2176</v>
      </c>
      <c r="E687" s="13" t="s">
        <v>2177</v>
      </c>
      <c r="F687" s="15" t="str">
        <f>IFERROR(__xludf.DUMMYFUNCTION("XLOOKUP($D687,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687" s="15">
        <f>IFERROR(__xludf.DUMMYFUNCTION("IFNA(XLOOKUP(""*""&amp;TRIM(REGEXREPLACE($D687, ""(?i)^(PT|CV)\.?\s+"", """"))&amp;""*"", 'DATA TARGET'!$C$2:$C998, 'DATA TARGET'!$D$2:$D998, ""Tidak Ditemukan"", 2), ""Tidak Ditemukan"")"),173.68)</f>
        <v>173.68</v>
      </c>
      <c r="H687" s="17">
        <f t="shared" si="1"/>
        <v>173.68</v>
      </c>
      <c r="I687" s="8"/>
    </row>
    <row r="688">
      <c r="A688" s="10" t="s">
        <v>2178</v>
      </c>
      <c r="B688" s="10" t="s">
        <v>2179</v>
      </c>
      <c r="C688" s="10" t="s">
        <v>1702</v>
      </c>
      <c r="D688" s="12" t="s">
        <v>2180</v>
      </c>
      <c r="E688" s="13" t="s">
        <v>2181</v>
      </c>
      <c r="F688" s="15">
        <f>IFERROR(__xludf.DUMMYFUNCTION("XLOOKUP($D688,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88" s="15">
        <f>IFERROR(__xludf.DUMMYFUNCTION("IFNA(XLOOKUP(""*""&amp;TRIM(REGEXREPLACE($D688, ""(?i)^(PT|CV)\.?\s+"", """"))&amp;""*"", 'DATA TARGET'!$C$2:$C998, 'DATA TARGET'!$D$2:$D998, ""Tidak Ditemukan"", 2), ""Tidak Ditemukan"")"),4.9)</f>
        <v>4.9</v>
      </c>
      <c r="H688" s="17">
        <f t="shared" si="1"/>
        <v>4.9</v>
      </c>
      <c r="I688" s="8"/>
    </row>
    <row r="689">
      <c r="A689" s="10" t="s">
        <v>2178</v>
      </c>
      <c r="B689" s="10" t="s">
        <v>2179</v>
      </c>
      <c r="C689" s="10" t="s">
        <v>1652</v>
      </c>
      <c r="D689" s="12" t="s">
        <v>2182</v>
      </c>
      <c r="E689" s="13" t="s">
        <v>2183</v>
      </c>
      <c r="F689" s="15">
        <f>IFERROR(__xludf.DUMMYFUNCTION("XLOOKUP($D689,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89" s="15">
        <f>IFERROR(__xludf.DUMMYFUNCTION("IFNA(XLOOKUP(""*""&amp;TRIM(REGEXREPLACE($D689, ""(?i)^(PT|CV)\.?\s+"", """"))&amp;""*"", 'DATA TARGET'!$C$2:$C998, 'DATA TARGET'!$D$2:$D998, ""Tidak Ditemukan"", 2), ""Tidak Ditemukan"")"),0.0)</f>
        <v>0</v>
      </c>
      <c r="H689" s="17">
        <f t="shared" si="1"/>
        <v>0</v>
      </c>
      <c r="I689" s="8"/>
    </row>
    <row r="690">
      <c r="A690" s="10" t="s">
        <v>2178</v>
      </c>
      <c r="B690" s="10" t="s">
        <v>2179</v>
      </c>
      <c r="C690" s="10" t="s">
        <v>1655</v>
      </c>
      <c r="D690" s="12" t="s">
        <v>1655</v>
      </c>
      <c r="E690" s="13" t="s">
        <v>2184</v>
      </c>
      <c r="F690" s="15">
        <f>IFERROR(__xludf.DUMMYFUNCTION("XLOOKUP($D690,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0" s="15">
        <f>IFERROR(__xludf.DUMMYFUNCTION("IFNA(XLOOKUP(""*""&amp;TRIM(REGEXREPLACE($D690, ""(?i)^(PT|CV)\.?\s+"", """"))&amp;""*"", 'DATA TARGET'!$C$2:$C998, 'DATA TARGET'!$D$2:$D998, ""Tidak Ditemukan"", 2), ""Tidak Ditemukan"")"),0.0)</f>
        <v>0</v>
      </c>
      <c r="H690" s="17">
        <f t="shared" si="1"/>
        <v>0</v>
      </c>
      <c r="I690" s="8"/>
    </row>
    <row r="691">
      <c r="A691" s="10" t="s">
        <v>2178</v>
      </c>
      <c r="B691" s="10" t="s">
        <v>2179</v>
      </c>
      <c r="C691" s="10" t="s">
        <v>1704</v>
      </c>
      <c r="D691" s="12" t="s">
        <v>1704</v>
      </c>
      <c r="E691" s="13" t="s">
        <v>2185</v>
      </c>
      <c r="F691" s="15">
        <f>IFERROR(__xludf.DUMMYFUNCTION("XLOOKUP($D691,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1" s="15">
        <f>IFERROR(__xludf.DUMMYFUNCTION("IFNA(XLOOKUP(""*""&amp;TRIM(REGEXREPLACE($D691, ""(?i)^(PT|CV)\.?\s+"", """"))&amp;""*"", 'DATA TARGET'!$C$2:$C998, 'DATA TARGET'!$D$2:$D998, ""Tidak Ditemukan"", 2), ""Tidak Ditemukan"")"),0.0)</f>
        <v>0</v>
      </c>
      <c r="H691" s="17">
        <f t="shared" si="1"/>
        <v>0</v>
      </c>
      <c r="I691" s="8"/>
    </row>
    <row r="692">
      <c r="A692" s="10" t="s">
        <v>2178</v>
      </c>
      <c r="B692" s="10" t="s">
        <v>2179</v>
      </c>
      <c r="C692" s="10" t="s">
        <v>1705</v>
      </c>
      <c r="D692" s="12" t="s">
        <v>2186</v>
      </c>
      <c r="E692" s="13" t="s">
        <v>2187</v>
      </c>
      <c r="F692" s="15">
        <f>IFERROR(__xludf.DUMMYFUNCTION("XLOOKUP($D692,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2" s="15" t="str">
        <f>IFERROR(__xludf.DUMMYFUNCTION("IFNA(XLOOKUP(""*""&amp;TRIM(REGEXREPLACE($D692, ""(?i)^(PT|CV)\.?\s+"", """"))&amp;""*"", 'DATA TARGET'!$C$2:$C998, 'DATA TARGET'!$D$2:$D998, ""Tidak Ditemukan"", 2), ""Tidak Ditemukan"")"),"Tidak Ditemukan")</f>
        <v>Tidak Ditemukan</v>
      </c>
      <c r="H692" s="17" t="str">
        <f t="shared" si="1"/>
        <v>Tidak Ditemukan</v>
      </c>
      <c r="I692" s="8"/>
    </row>
    <row r="693">
      <c r="A693" s="10" t="s">
        <v>2178</v>
      </c>
      <c r="B693" s="10" t="s">
        <v>2179</v>
      </c>
      <c r="C693" s="10" t="s">
        <v>1683</v>
      </c>
      <c r="D693" s="12" t="s">
        <v>2188</v>
      </c>
      <c r="E693" s="13" t="s">
        <v>2189</v>
      </c>
      <c r="F693" s="15">
        <f>IFERROR(__xludf.DUMMYFUNCTION("XLOOKUP($D693,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3" s="15">
        <f>IFERROR(__xludf.DUMMYFUNCTION("IFNA(XLOOKUP(""*""&amp;TRIM(REGEXREPLACE($D693, ""(?i)^(PT|CV)\.?\s+"", """"))&amp;""*"", 'DATA TARGET'!$C$2:$C998, 'DATA TARGET'!$D$2:$D998, ""Tidak Ditemukan"", 2), ""Tidak Ditemukan"")"),0.0)</f>
        <v>0</v>
      </c>
      <c r="H693" s="17">
        <f t="shared" si="1"/>
        <v>0</v>
      </c>
      <c r="I693" s="8"/>
    </row>
    <row r="694">
      <c r="A694" s="10" t="s">
        <v>2178</v>
      </c>
      <c r="B694" s="10" t="s">
        <v>2179</v>
      </c>
      <c r="C694" s="10" t="s">
        <v>2190</v>
      </c>
      <c r="D694" s="12" t="s">
        <v>2191</v>
      </c>
      <c r="E694" s="13" t="s">
        <v>2192</v>
      </c>
      <c r="F694" s="15">
        <f>IFERROR(__xludf.DUMMYFUNCTION("XLOOKUP($D694,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4" s="15" t="str">
        <f>IFERROR(__xludf.DUMMYFUNCTION("IFNA(XLOOKUP(""*""&amp;TRIM(REGEXREPLACE($D694, ""(?i)^(PT|CV)\.?\s+"", """"))&amp;""*"", 'DATA TARGET'!$C$2:$C998, 'DATA TARGET'!$D$2:$D998, ""Tidak Ditemukan"", 2), ""Tidak Ditemukan"")"),"Tidak Ditemukan")</f>
        <v>Tidak Ditemukan</v>
      </c>
      <c r="H694" s="17" t="str">
        <f t="shared" si="1"/>
        <v>Tidak Ditemukan</v>
      </c>
      <c r="I694" s="8"/>
    </row>
    <row r="695">
      <c r="A695" s="10" t="s">
        <v>2178</v>
      </c>
      <c r="B695" s="10" t="s">
        <v>2179</v>
      </c>
      <c r="C695" s="10" t="s">
        <v>2193</v>
      </c>
      <c r="D695" s="12" t="s">
        <v>2194</v>
      </c>
      <c r="E695" s="13" t="s">
        <v>2195</v>
      </c>
      <c r="F695" s="15">
        <f>IFERROR(__xludf.DUMMYFUNCTION("XLOOKUP($D695,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5" s="15" t="str">
        <f>IFERROR(__xludf.DUMMYFUNCTION("IFNA(XLOOKUP(""*""&amp;TRIM(REGEXREPLACE($D695, ""(?i)^(PT|CV)\.?\s+"", """"))&amp;""*"", 'DATA TARGET'!$C$2:$C998, 'DATA TARGET'!$D$2:$D998, ""Tidak Ditemukan"", 2), ""Tidak Ditemukan"")"),"Tidak Ditemukan")</f>
        <v>Tidak Ditemukan</v>
      </c>
      <c r="H695" s="17" t="str">
        <f t="shared" si="1"/>
        <v>Tidak Ditemukan</v>
      </c>
      <c r="I695" s="8"/>
    </row>
    <row r="696">
      <c r="A696" s="10" t="s">
        <v>2178</v>
      </c>
      <c r="B696" s="10" t="s">
        <v>2179</v>
      </c>
      <c r="C696" s="10" t="s">
        <v>1708</v>
      </c>
      <c r="D696" s="12" t="s">
        <v>2196</v>
      </c>
      <c r="E696" s="13" t="s">
        <v>2197</v>
      </c>
      <c r="F696" s="15">
        <f>IFERROR(__xludf.DUMMYFUNCTION("XLOOKUP($D696,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6" s="15">
        <f>IFERROR(__xludf.DUMMYFUNCTION("IFNA(XLOOKUP(""*""&amp;TRIM(REGEXREPLACE($D696, ""(?i)^(PT|CV)\.?\s+"", """"))&amp;""*"", 'DATA TARGET'!$C$2:$C998, 'DATA TARGET'!$D$2:$D998, ""Tidak Ditemukan"", 2), ""Tidak Ditemukan"")"),0.0)</f>
        <v>0</v>
      </c>
      <c r="H696" s="17">
        <f t="shared" si="1"/>
        <v>0</v>
      </c>
      <c r="I696" s="8"/>
    </row>
    <row r="697">
      <c r="A697" s="10" t="s">
        <v>2178</v>
      </c>
      <c r="B697" s="10" t="s">
        <v>2179</v>
      </c>
      <c r="C697" s="10" t="s">
        <v>2198</v>
      </c>
      <c r="D697" s="12" t="s">
        <v>2198</v>
      </c>
      <c r="E697" s="13" t="s">
        <v>2199</v>
      </c>
      <c r="F697" s="15">
        <f>IFERROR(__xludf.DUMMYFUNCTION("XLOOKUP($D697,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7" s="15" t="str">
        <f>IFERROR(__xludf.DUMMYFUNCTION("IFNA(XLOOKUP(""*""&amp;TRIM(REGEXREPLACE($D697, ""(?i)^(PT|CV)\.?\s+"", """"))&amp;""*"", 'DATA TARGET'!$C$2:$C998, 'DATA TARGET'!$D$2:$D998, ""Tidak Ditemukan"", 2), ""Tidak Ditemukan"")"),"Tidak Ditemukan")</f>
        <v>Tidak Ditemukan</v>
      </c>
      <c r="H697" s="17" t="str">
        <f t="shared" si="1"/>
        <v>Tidak Ditemukan</v>
      </c>
      <c r="I697" s="8"/>
    </row>
    <row r="698">
      <c r="A698" s="10" t="s">
        <v>2178</v>
      </c>
      <c r="B698" s="10" t="s">
        <v>2179</v>
      </c>
      <c r="C698" s="10" t="s">
        <v>2200</v>
      </c>
      <c r="D698" s="12" t="s">
        <v>2201</v>
      </c>
      <c r="E698" s="13" t="s">
        <v>2202</v>
      </c>
      <c r="F698" s="15">
        <f>IFERROR(__xludf.DUMMYFUNCTION("XLOOKUP($D698,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8" s="15" t="str">
        <f>IFERROR(__xludf.DUMMYFUNCTION("IFNA(XLOOKUP(""*""&amp;TRIM(REGEXREPLACE($D698, ""(?i)^(PT|CV)\.?\s+"", """"))&amp;""*"", 'DATA TARGET'!$C$2:$C998, 'DATA TARGET'!$D$2:$D998, ""Tidak Ditemukan"", 2), ""Tidak Ditemukan"")"),"Tidak Ditemukan")</f>
        <v>Tidak Ditemukan</v>
      </c>
      <c r="H698" s="17" t="str">
        <f t="shared" si="1"/>
        <v>Tidak Ditemukan</v>
      </c>
      <c r="I698" s="8"/>
    </row>
    <row r="699">
      <c r="A699" s="10" t="s">
        <v>2178</v>
      </c>
      <c r="B699" s="10" t="s">
        <v>2179</v>
      </c>
      <c r="C699" s="10" t="s">
        <v>1656</v>
      </c>
      <c r="D699" s="12" t="s">
        <v>2203</v>
      </c>
      <c r="E699" s="13" t="s">
        <v>2204</v>
      </c>
      <c r="F699" s="15">
        <f>IFERROR(__xludf.DUMMYFUNCTION("XLOOKUP($D699,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699" s="15">
        <f>IFERROR(__xludf.DUMMYFUNCTION("IFNA(XLOOKUP(""*""&amp;TRIM(REGEXREPLACE($D699, ""(?i)^(PT|CV)\.?\s+"", """"))&amp;""*"", 'DATA TARGET'!$C$2:$C998, 'DATA TARGET'!$D$2:$D998, ""Tidak Ditemukan"", 2), ""Tidak Ditemukan"")"),7.2)</f>
        <v>7.2</v>
      </c>
      <c r="H699" s="17">
        <f t="shared" si="1"/>
        <v>7.2</v>
      </c>
      <c r="I699" s="8"/>
    </row>
    <row r="700">
      <c r="A700" s="10" t="s">
        <v>2178</v>
      </c>
      <c r="B700" s="10" t="s">
        <v>2179</v>
      </c>
      <c r="C700" s="10" t="s">
        <v>2205</v>
      </c>
      <c r="D700" s="12" t="s">
        <v>2206</v>
      </c>
      <c r="E700" s="13" t="s">
        <v>2207</v>
      </c>
      <c r="F700" s="15">
        <f>IFERROR(__xludf.DUMMYFUNCTION("XLOOKUP($D700,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0" s="15">
        <f>IFERROR(__xludf.DUMMYFUNCTION("IFNA(XLOOKUP(""*""&amp;TRIM(REGEXREPLACE($D700, ""(?i)^(PT|CV)\.?\s+"", """"))&amp;""*"", 'DATA TARGET'!$C$2:$C998, 'DATA TARGET'!$D$2:$D998, ""Tidak Ditemukan"", 2), ""Tidak Ditemukan"")"),0.0)</f>
        <v>0</v>
      </c>
      <c r="H700" s="17">
        <f t="shared" si="1"/>
        <v>0</v>
      </c>
      <c r="I700" s="8"/>
    </row>
    <row r="701">
      <c r="A701" s="10" t="s">
        <v>2178</v>
      </c>
      <c r="B701" s="10" t="s">
        <v>2179</v>
      </c>
      <c r="C701" s="10" t="s">
        <v>2208</v>
      </c>
      <c r="D701" s="12" t="s">
        <v>2209</v>
      </c>
      <c r="E701" s="13" t="s">
        <v>2210</v>
      </c>
      <c r="F701" s="15">
        <f>IFERROR(__xludf.DUMMYFUNCTION("XLOOKUP($D701,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(AUTO)'!R6:R""))"),208.7)</f>
        <v>208.7</v>
      </c>
      <c r="G701" s="15">
        <f>IFERROR(__xludf.DUMMYFUNCTION("IFNA(XLOOKUP(""*""&amp;TRIM(REGEXREPLACE($D701, ""(?i)^(PT|CV)\.?\s+"", """"))&amp;""*"", 'DATA TARGET'!$C$2:$C998, 'DATA TARGET'!$D$2:$D998, ""Tidak Ditemukan"", 2), ""Tidak Ditemukan"")"),218.25)</f>
        <v>218.25</v>
      </c>
      <c r="H701" s="17">
        <f t="shared" si="1"/>
        <v>208.7</v>
      </c>
      <c r="I701" s="8"/>
    </row>
    <row r="702">
      <c r="A702" s="10" t="s">
        <v>2178</v>
      </c>
      <c r="B702" s="10" t="s">
        <v>2179</v>
      </c>
      <c r="C702" s="10" t="s">
        <v>2211</v>
      </c>
      <c r="D702" s="12" t="s">
        <v>2212</v>
      </c>
      <c r="E702" s="13" t="s">
        <v>2213</v>
      </c>
      <c r="F702" s="15">
        <f>IFERROR(__xludf.DUMMYFUNCTION("XLOOKUP($D702,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2" s="15">
        <f>IFERROR(__xludf.DUMMYFUNCTION("IFNA(XLOOKUP(""*""&amp;TRIM(REGEXREPLACE($D702, ""(?i)^(PT|CV)\.?\s+"", """"))&amp;""*"", 'DATA TARGET'!$C$2:$C998, 'DATA TARGET'!$D$2:$D998, ""Tidak Ditemukan"", 2), ""Tidak Ditemukan"")"),0.0)</f>
        <v>0</v>
      </c>
      <c r="H702" s="17">
        <f t="shared" si="1"/>
        <v>0</v>
      </c>
      <c r="I702" s="8"/>
    </row>
    <row r="703">
      <c r="A703" s="10" t="s">
        <v>2178</v>
      </c>
      <c r="B703" s="10" t="s">
        <v>2179</v>
      </c>
      <c r="C703" s="10" t="s">
        <v>2214</v>
      </c>
      <c r="D703" s="12" t="s">
        <v>2214</v>
      </c>
      <c r="E703" s="13" t="s">
        <v>2215</v>
      </c>
      <c r="F703" s="15">
        <f>IFERROR(__xludf.DUMMYFUNCTION("XLOOKUP($D703,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(AUTO)'!R6:R""))"),2392.51)</f>
        <v>2392.51</v>
      </c>
      <c r="G703" s="15">
        <f>IFERROR(__xludf.DUMMYFUNCTION("IFNA(XLOOKUP(""*""&amp;TRIM(REGEXREPLACE($D703, ""(?i)^(PT|CV)\.?\s+"", """"))&amp;""*"", 'DATA TARGET'!$C$2:$C998, 'DATA TARGET'!$D$2:$D998, ""Tidak Ditemukan"", 2), ""Tidak Ditemukan"")"),2392.51)</f>
        <v>2392.51</v>
      </c>
      <c r="H703" s="17">
        <f t="shared" si="1"/>
        <v>2392.51</v>
      </c>
      <c r="I703" s="8"/>
    </row>
    <row r="704">
      <c r="A704" s="10" t="s">
        <v>2178</v>
      </c>
      <c r="B704" s="10" t="s">
        <v>2179</v>
      </c>
      <c r="C704" s="10" t="s">
        <v>2216</v>
      </c>
      <c r="D704" s="12" t="s">
        <v>2216</v>
      </c>
      <c r="E704" s="13" t="s">
        <v>2217</v>
      </c>
      <c r="F704" s="15">
        <f>IFERROR(__xludf.DUMMYFUNCTION("XLOOKUP($D704,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4" s="15">
        <f>IFERROR(__xludf.DUMMYFUNCTION("IFNA(XLOOKUP(""*""&amp;TRIM(REGEXREPLACE($D704, ""(?i)^(PT|CV)\.?\s+"", """"))&amp;""*"", 'DATA TARGET'!$C$2:$C998, 'DATA TARGET'!$D$2:$D998, ""Tidak Ditemukan"", 2), ""Tidak Ditemukan"")"),0.0)</f>
        <v>0</v>
      </c>
      <c r="H704" s="17">
        <f t="shared" si="1"/>
        <v>0</v>
      </c>
      <c r="I704" s="8"/>
    </row>
    <row r="705">
      <c r="A705" s="10" t="s">
        <v>2178</v>
      </c>
      <c r="B705" s="10" t="s">
        <v>2179</v>
      </c>
      <c r="C705" s="10" t="s">
        <v>2218</v>
      </c>
      <c r="D705" s="12" t="s">
        <v>2218</v>
      </c>
      <c r="E705" s="13" t="s">
        <v>2219</v>
      </c>
      <c r="F705" s="15">
        <f>IFERROR(__xludf.DUMMYFUNCTION("XLOOKUP($D705,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5" s="15">
        <f>IFERROR(__xludf.DUMMYFUNCTION("IFNA(XLOOKUP(""*""&amp;TRIM(REGEXREPLACE($D705, ""(?i)^(PT|CV)\.?\s+"", """"))&amp;""*"", 'DATA TARGET'!$C$2:$C998, 'DATA TARGET'!$D$2:$D998, ""Tidak Ditemukan"", 2), ""Tidak Ditemukan"")"),10.48)</f>
        <v>10.48</v>
      </c>
      <c r="H705" s="17">
        <f t="shared" si="1"/>
        <v>10.48</v>
      </c>
      <c r="I705" s="8"/>
    </row>
    <row r="706">
      <c r="A706" s="10" t="s">
        <v>2178</v>
      </c>
      <c r="B706" s="10" t="s">
        <v>2179</v>
      </c>
      <c r="C706" s="10" t="s">
        <v>2220</v>
      </c>
      <c r="D706" s="12" t="s">
        <v>2220</v>
      </c>
      <c r="E706" s="13" t="s">
        <v>2221</v>
      </c>
      <c r="F706" s="15">
        <f>IFERROR(__xludf.DUMMYFUNCTION("XLOOKUP($D706,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6" s="15">
        <f>IFERROR(__xludf.DUMMYFUNCTION("IFNA(XLOOKUP(""*""&amp;TRIM(REGEXREPLACE($D706, ""(?i)^(PT|CV)\.?\s+"", """"))&amp;""*"", 'DATA TARGET'!$C$2:$C998, 'DATA TARGET'!$D$2:$D998, ""Tidak Ditemukan"", 2), ""Tidak Ditemukan"")"),0.0)</f>
        <v>0</v>
      </c>
      <c r="H706" s="17">
        <f t="shared" si="1"/>
        <v>0</v>
      </c>
      <c r="I706" s="8"/>
    </row>
    <row r="707">
      <c r="A707" s="10" t="s">
        <v>2178</v>
      </c>
      <c r="B707" s="10" t="s">
        <v>2179</v>
      </c>
      <c r="C707" s="10" t="s">
        <v>2222</v>
      </c>
      <c r="D707" s="12" t="s">
        <v>2223</v>
      </c>
      <c r="E707" s="13" t="s">
        <v>2224</v>
      </c>
      <c r="F707" s="15">
        <f>IFERROR(__xludf.DUMMYFUNCTION("XLOOKUP($D707,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7" s="15">
        <f>IFERROR(__xludf.DUMMYFUNCTION("IFNA(XLOOKUP(""*""&amp;TRIM(REGEXREPLACE($D707, ""(?i)^(PT|CV)\.?\s+"", """"))&amp;""*"", 'DATA TARGET'!$C$2:$C998, 'DATA TARGET'!$D$2:$D998, ""Tidak Ditemukan"", 2), ""Tidak Ditemukan"")"),36.78)</f>
        <v>36.78</v>
      </c>
      <c r="H707" s="17">
        <f t="shared" si="1"/>
        <v>36.78</v>
      </c>
      <c r="I707" s="8"/>
    </row>
    <row r="708">
      <c r="A708" s="10" t="s">
        <v>2178</v>
      </c>
      <c r="B708" s="10" t="s">
        <v>2179</v>
      </c>
      <c r="C708" s="10" t="s">
        <v>2225</v>
      </c>
      <c r="D708" s="12" t="s">
        <v>2226</v>
      </c>
      <c r="E708" s="13" t="s">
        <v>2227</v>
      </c>
      <c r="F708" s="15">
        <f>IFERROR(__xludf.DUMMYFUNCTION("XLOOKUP($D708,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8" s="15" t="str">
        <f>IFERROR(__xludf.DUMMYFUNCTION("IFNA(XLOOKUP(""*""&amp;TRIM(REGEXREPLACE($D708, ""(?i)^(PT|CV)\.?\s+"", """"))&amp;""*"", 'DATA TARGET'!$C$2:$C998, 'DATA TARGET'!$D$2:$D998, ""Tidak Ditemukan"", 2), ""Tidak Ditemukan"")"),"Tidak Ditemukan")</f>
        <v>Tidak Ditemukan</v>
      </c>
      <c r="H708" s="17" t="str">
        <f t="shared" si="1"/>
        <v>Tidak Ditemukan</v>
      </c>
      <c r="I708" s="8"/>
    </row>
    <row r="709">
      <c r="A709" s="10" t="s">
        <v>2178</v>
      </c>
      <c r="B709" s="10" t="s">
        <v>2179</v>
      </c>
      <c r="C709" s="10" t="s">
        <v>2228</v>
      </c>
      <c r="D709" s="12" t="s">
        <v>2229</v>
      </c>
      <c r="E709" s="13" t="s">
        <v>2230</v>
      </c>
      <c r="F709" s="15">
        <f>IFERROR(__xludf.DUMMYFUNCTION("XLOOKUP($D709,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09" s="15">
        <f>IFERROR(__xludf.DUMMYFUNCTION("IFNA(XLOOKUP(""*""&amp;TRIM(REGEXREPLACE($D709, ""(?i)^(PT|CV)\.?\s+"", """"))&amp;""*"", 'DATA TARGET'!$C$2:$C998, 'DATA TARGET'!$D$2:$D998, ""Tidak Ditemukan"", 2), ""Tidak Ditemukan"")"),0.0)</f>
        <v>0</v>
      </c>
      <c r="H709" s="17">
        <f t="shared" si="1"/>
        <v>0</v>
      </c>
      <c r="I709" s="8"/>
    </row>
    <row r="710">
      <c r="A710" s="10" t="s">
        <v>2178</v>
      </c>
      <c r="B710" s="10" t="s">
        <v>2179</v>
      </c>
      <c r="C710" s="10" t="s">
        <v>2231</v>
      </c>
      <c r="D710" s="12" t="s">
        <v>2232</v>
      </c>
      <c r="E710" s="13" t="s">
        <v>2233</v>
      </c>
      <c r="F710" s="15">
        <f>IFERROR(__xludf.DUMMYFUNCTION("XLOOKUP($D710,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0" s="15" t="str">
        <f>IFERROR(__xludf.DUMMYFUNCTION("IFNA(XLOOKUP(""*""&amp;TRIM(REGEXREPLACE($D710, ""(?i)^(PT|CV)\.?\s+"", """"))&amp;""*"", 'DATA TARGET'!$C$2:$C998, 'DATA TARGET'!$D$2:$D998, ""Tidak Ditemukan"", 2), ""Tidak Ditemukan"")"),"Tidak Ditemukan")</f>
        <v>Tidak Ditemukan</v>
      </c>
      <c r="H710" s="17" t="str">
        <f t="shared" si="1"/>
        <v>Tidak Ditemukan</v>
      </c>
      <c r="I710" s="8"/>
    </row>
    <row r="711">
      <c r="A711" s="10" t="s">
        <v>2178</v>
      </c>
      <c r="B711" s="10" t="s">
        <v>2179</v>
      </c>
      <c r="C711" s="10" t="s">
        <v>2234</v>
      </c>
      <c r="D711" s="12" t="s">
        <v>2234</v>
      </c>
      <c r="E711" s="13" t="s">
        <v>2235</v>
      </c>
      <c r="F711" s="15">
        <f>IFERROR(__xludf.DUMMYFUNCTION("XLOOKUP($D711,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1" s="15">
        <f>IFERROR(__xludf.DUMMYFUNCTION("IFNA(XLOOKUP(""*""&amp;TRIM(REGEXREPLACE($D711, ""(?i)^(PT|CV)\.?\s+"", """"))&amp;""*"", 'DATA TARGET'!$C$2:$C998, 'DATA TARGET'!$D$2:$D998, ""Tidak Ditemukan"", 2), ""Tidak Ditemukan"")"),941.98)</f>
        <v>941.98</v>
      </c>
      <c r="H711" s="17">
        <f t="shared" si="1"/>
        <v>941.98</v>
      </c>
      <c r="I711" s="8"/>
    </row>
    <row r="712">
      <c r="A712" s="10" t="s">
        <v>2178</v>
      </c>
      <c r="B712" s="10" t="s">
        <v>2179</v>
      </c>
      <c r="C712" s="10" t="s">
        <v>2236</v>
      </c>
      <c r="D712" s="12" t="s">
        <v>2236</v>
      </c>
      <c r="E712" s="13" t="s">
        <v>2237</v>
      </c>
      <c r="F712" s="15">
        <f>IFERROR(__xludf.DUMMYFUNCTION("XLOOKUP($D712,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2" s="15">
        <f>IFERROR(__xludf.DUMMYFUNCTION("IFNA(XLOOKUP(""*""&amp;TRIM(REGEXREPLACE($D712, ""(?i)^(PT|CV)\.?\s+"", """"))&amp;""*"", 'DATA TARGET'!$C$2:$C998, 'DATA TARGET'!$D$2:$D998, ""Tidak Ditemukan"", 2), ""Tidak Ditemukan"")"),0.0)</f>
        <v>0</v>
      </c>
      <c r="H712" s="17">
        <f t="shared" si="1"/>
        <v>0</v>
      </c>
      <c r="I712" s="8"/>
    </row>
    <row r="713">
      <c r="A713" s="10" t="s">
        <v>2178</v>
      </c>
      <c r="B713" s="10" t="s">
        <v>2179</v>
      </c>
      <c r="C713" s="10" t="s">
        <v>2238</v>
      </c>
      <c r="D713" s="12" t="s">
        <v>2238</v>
      </c>
      <c r="E713" s="13" t="s">
        <v>2239</v>
      </c>
      <c r="F713" s="15">
        <f>IFERROR(__xludf.DUMMYFUNCTION("XLOOKUP($D713,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3" s="15">
        <f>IFERROR(__xludf.DUMMYFUNCTION("IFNA(XLOOKUP(""*""&amp;TRIM(REGEXREPLACE($D713, ""(?i)^(PT|CV)\.?\s+"", """"))&amp;""*"", 'DATA TARGET'!$C$2:$C998, 'DATA TARGET'!$D$2:$D998, ""Tidak Ditemukan"", 2), ""Tidak Ditemukan"")"),39.0)</f>
        <v>39</v>
      </c>
      <c r="H713" s="17">
        <f t="shared" si="1"/>
        <v>39</v>
      </c>
      <c r="I713" s="8"/>
    </row>
    <row r="714">
      <c r="A714" s="10" t="s">
        <v>2178</v>
      </c>
      <c r="B714" s="10" t="s">
        <v>2179</v>
      </c>
      <c r="C714" s="10" t="s">
        <v>2240</v>
      </c>
      <c r="D714" s="12" t="s">
        <v>2240</v>
      </c>
      <c r="E714" s="13" t="s">
        <v>2241</v>
      </c>
      <c r="F714" s="15">
        <f>IFERROR(__xludf.DUMMYFUNCTION("XLOOKUP($D714,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4" s="15">
        <f>IFERROR(__xludf.DUMMYFUNCTION("IFNA(XLOOKUP(""*""&amp;TRIM(REGEXREPLACE($D714, ""(?i)^(PT|CV)\.?\s+"", """"))&amp;""*"", 'DATA TARGET'!$C$2:$C998, 'DATA TARGET'!$D$2:$D998, ""Tidak Ditemukan"", 2), ""Tidak Ditemukan"")"),4.34)</f>
        <v>4.34</v>
      </c>
      <c r="H714" s="17">
        <f t="shared" si="1"/>
        <v>4.34</v>
      </c>
      <c r="I714" s="8"/>
    </row>
    <row r="715">
      <c r="A715" s="10" t="s">
        <v>2178</v>
      </c>
      <c r="B715" s="10" t="s">
        <v>2179</v>
      </c>
      <c r="C715" s="10" t="s">
        <v>2242</v>
      </c>
      <c r="D715" s="12" t="s">
        <v>2243</v>
      </c>
      <c r="E715" s="13" t="s">
        <v>2244</v>
      </c>
      <c r="F715" s="15">
        <f>IFERROR(__xludf.DUMMYFUNCTION("XLOOKUP($D715,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5" s="15">
        <f>IFERROR(__xludf.DUMMYFUNCTION("IFNA(XLOOKUP(""*""&amp;TRIM(REGEXREPLACE($D715, ""(?i)^(PT|CV)\.?\s+"", """"))&amp;""*"", 'DATA TARGET'!$C$2:$C998, 'DATA TARGET'!$D$2:$D998, ""Tidak Ditemukan"", 2), ""Tidak Ditemukan"")"),0.0)</f>
        <v>0</v>
      </c>
      <c r="H715" s="17">
        <f t="shared" si="1"/>
        <v>0</v>
      </c>
      <c r="I715" s="8"/>
    </row>
    <row r="716">
      <c r="A716" s="10" t="s">
        <v>2178</v>
      </c>
      <c r="B716" s="10" t="s">
        <v>2179</v>
      </c>
      <c r="C716" s="10" t="s">
        <v>2245</v>
      </c>
      <c r="D716" s="12" t="s">
        <v>2245</v>
      </c>
      <c r="E716" s="13" t="s">
        <v>2246</v>
      </c>
      <c r="F716" s="15">
        <f>IFERROR(__xludf.DUMMYFUNCTION("XLOOKUP($D716,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6" s="15">
        <f>IFERROR(__xludf.DUMMYFUNCTION("IFNA(XLOOKUP(""*""&amp;TRIM(REGEXREPLACE($D716, ""(?i)^(PT|CV)\.?\s+"", """"))&amp;""*"", 'DATA TARGET'!$C$2:$C998, 'DATA TARGET'!$D$2:$D998, ""Tidak Ditemukan"", 2), ""Tidak Ditemukan"")"),2.92)</f>
        <v>2.92</v>
      </c>
      <c r="H716" s="17">
        <f t="shared" si="1"/>
        <v>2.92</v>
      </c>
      <c r="I716" s="8"/>
    </row>
    <row r="717">
      <c r="A717" s="10" t="s">
        <v>2178</v>
      </c>
      <c r="B717" s="10" t="s">
        <v>2179</v>
      </c>
      <c r="C717" s="10" t="s">
        <v>2247</v>
      </c>
      <c r="D717" s="12" t="s">
        <v>2247</v>
      </c>
      <c r="E717" s="13" t="s">
        <v>2248</v>
      </c>
      <c r="F717" s="15">
        <f>IFERROR(__xludf.DUMMYFUNCTION("XLOOKUP($D717,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7" s="15">
        <f>IFERROR(__xludf.DUMMYFUNCTION("IFNA(XLOOKUP(""*""&amp;TRIM(REGEXREPLACE($D717, ""(?i)^(PT|CV)\.?\s+"", """"))&amp;""*"", 'DATA TARGET'!$C$2:$C998, 'DATA TARGET'!$D$2:$D998, ""Tidak Ditemukan"", 2), ""Tidak Ditemukan"")"),12.71)</f>
        <v>12.71</v>
      </c>
      <c r="H717" s="17">
        <f t="shared" si="1"/>
        <v>12.71</v>
      </c>
      <c r="I717" s="8"/>
    </row>
    <row r="718">
      <c r="A718" s="10" t="s">
        <v>2178</v>
      </c>
      <c r="B718" s="10" t="s">
        <v>2179</v>
      </c>
      <c r="C718" s="10" t="s">
        <v>2249</v>
      </c>
      <c r="D718" s="12" t="s">
        <v>2249</v>
      </c>
      <c r="E718" s="13" t="s">
        <v>2250</v>
      </c>
      <c r="F718" s="15">
        <f>IFERROR(__xludf.DUMMYFUNCTION("XLOOKUP($D718,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8" s="15">
        <f>IFERROR(__xludf.DUMMYFUNCTION("IFNA(XLOOKUP(""*""&amp;TRIM(REGEXREPLACE($D718, ""(?i)^(PT|CV)\.?\s+"", """"))&amp;""*"", 'DATA TARGET'!$C$2:$C998, 'DATA TARGET'!$D$2:$D998, ""Tidak Ditemukan"", 2), ""Tidak Ditemukan"")"),29.19)</f>
        <v>29.19</v>
      </c>
      <c r="H718" s="17">
        <f t="shared" si="1"/>
        <v>29.19</v>
      </c>
      <c r="I718" s="8"/>
    </row>
    <row r="719">
      <c r="A719" s="10" t="s">
        <v>2178</v>
      </c>
      <c r="B719" s="10" t="s">
        <v>2179</v>
      </c>
      <c r="C719" s="10" t="s">
        <v>2251</v>
      </c>
      <c r="D719" s="12" t="s">
        <v>2251</v>
      </c>
      <c r="E719" s="13" t="s">
        <v>2252</v>
      </c>
      <c r="F719" s="15">
        <f>IFERROR(__xludf.DUMMYFUNCTION("XLOOKUP($D719,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19" s="15">
        <f>IFERROR(__xludf.DUMMYFUNCTION("IFNA(XLOOKUP(""*""&amp;TRIM(REGEXREPLACE($D719, ""(?i)^(PT|CV)\.?\s+"", """"))&amp;""*"", 'DATA TARGET'!$C$2:$C998, 'DATA TARGET'!$D$2:$D998, ""Tidak Ditemukan"", 2), ""Tidak Ditemukan"")"),0.0)</f>
        <v>0</v>
      </c>
      <c r="H719" s="17">
        <f t="shared" si="1"/>
        <v>0</v>
      </c>
      <c r="I719" s="8"/>
    </row>
    <row r="720">
      <c r="A720" s="10" t="s">
        <v>2178</v>
      </c>
      <c r="B720" s="10" t="s">
        <v>2179</v>
      </c>
      <c r="C720" s="10" t="s">
        <v>2253</v>
      </c>
      <c r="D720" s="12" t="s">
        <v>2253</v>
      </c>
      <c r="E720" s="13" t="s">
        <v>2254</v>
      </c>
      <c r="F720" s="15">
        <f>IFERROR(__xludf.DUMMYFUNCTION("XLOOKUP($D720,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(AUTO)'!R6:R""))"),1259.23)</f>
        <v>1259.23</v>
      </c>
      <c r="G720" s="15">
        <f>IFERROR(__xludf.DUMMYFUNCTION("IFNA(XLOOKUP(""*""&amp;TRIM(REGEXREPLACE($D720, ""(?i)^(PT|CV)\.?\s+"", """"))&amp;""*"", 'DATA TARGET'!$C$2:$C998, 'DATA TARGET'!$D$2:$D998, ""Tidak Ditemukan"", 2), ""Tidak Ditemukan"")"),1259.23)</f>
        <v>1259.23</v>
      </c>
      <c r="H720" s="17">
        <f t="shared" si="1"/>
        <v>1259.23</v>
      </c>
      <c r="I720" s="8"/>
    </row>
    <row r="721">
      <c r="A721" s="10" t="s">
        <v>2178</v>
      </c>
      <c r="B721" s="10" t="s">
        <v>2179</v>
      </c>
      <c r="C721" s="10" t="s">
        <v>2255</v>
      </c>
      <c r="D721" s="12" t="s">
        <v>2255</v>
      </c>
      <c r="E721" s="13" t="s">
        <v>2256</v>
      </c>
      <c r="F721" s="15">
        <f>IFERROR(__xludf.DUMMYFUNCTION("XLOOKUP($D721,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(AUTO)'!R6:R""))"),2688.82)</f>
        <v>2688.82</v>
      </c>
      <c r="G721" s="15">
        <f>IFERROR(__xludf.DUMMYFUNCTION("IFNA(XLOOKUP(""*""&amp;TRIM(REGEXREPLACE($D721, ""(?i)^(PT|CV)\.?\s+"", """"))&amp;""*"", 'DATA TARGET'!$C$2:$C998, 'DATA TARGET'!$D$2:$D998, ""Tidak Ditemukan"", 2), ""Tidak Ditemukan"")"),2688.82)</f>
        <v>2688.82</v>
      </c>
      <c r="H721" s="17">
        <f t="shared" si="1"/>
        <v>2688.82</v>
      </c>
      <c r="I721" s="8"/>
    </row>
    <row r="722">
      <c r="A722" s="10" t="s">
        <v>2178</v>
      </c>
      <c r="B722" s="10" t="s">
        <v>2179</v>
      </c>
      <c r="C722" s="10" t="s">
        <v>2257</v>
      </c>
      <c r="D722" s="12" t="s">
        <v>2258</v>
      </c>
      <c r="E722" s="13" t="s">
        <v>2259</v>
      </c>
      <c r="F722" s="15">
        <f>IFERROR(__xludf.DUMMYFUNCTION("XLOOKUP($D722,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2" s="15">
        <f>IFERROR(__xludf.DUMMYFUNCTION("IFNA(XLOOKUP(""*""&amp;TRIM(REGEXREPLACE($D722, ""(?i)^(PT|CV)\.?\s+"", """"))&amp;""*"", 'DATA TARGET'!$C$2:$C998, 'DATA TARGET'!$D$2:$D998, ""Tidak Ditemukan"", 2), ""Tidak Ditemukan"")"),0.0)</f>
        <v>0</v>
      </c>
      <c r="H722" s="17">
        <f t="shared" si="1"/>
        <v>0</v>
      </c>
      <c r="I722" s="8"/>
    </row>
    <row r="723">
      <c r="A723" s="10" t="s">
        <v>2178</v>
      </c>
      <c r="B723" s="10" t="s">
        <v>2179</v>
      </c>
      <c r="C723" s="10" t="s">
        <v>2260</v>
      </c>
      <c r="D723" s="12" t="s">
        <v>2260</v>
      </c>
      <c r="E723" s="13" t="s">
        <v>2261</v>
      </c>
      <c r="F723" s="15">
        <f>IFERROR(__xludf.DUMMYFUNCTION("XLOOKUP($D723,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3" s="15">
        <f>IFERROR(__xludf.DUMMYFUNCTION("IFNA(XLOOKUP(""*""&amp;TRIM(REGEXREPLACE($D723, ""(?i)^(PT|CV)\.?\s+"", """"))&amp;""*"", 'DATA TARGET'!$C$2:$C998, 'DATA TARGET'!$D$2:$D998, ""Tidak Ditemukan"", 2), ""Tidak Ditemukan"")"),24.0)</f>
        <v>24</v>
      </c>
      <c r="H723" s="17">
        <f t="shared" si="1"/>
        <v>24</v>
      </c>
      <c r="I723" s="8"/>
    </row>
    <row r="724">
      <c r="A724" s="10" t="s">
        <v>2178</v>
      </c>
      <c r="B724" s="10" t="s">
        <v>2179</v>
      </c>
      <c r="C724" s="10" t="s">
        <v>2262</v>
      </c>
      <c r="D724" s="12" t="s">
        <v>2262</v>
      </c>
      <c r="E724" s="13" t="s">
        <v>2263</v>
      </c>
      <c r="F724" s="15">
        <f>IFERROR(__xludf.DUMMYFUNCTION("XLOOKUP($D724,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4" s="15">
        <f>IFERROR(__xludf.DUMMYFUNCTION("IFNA(XLOOKUP(""*""&amp;TRIM(REGEXREPLACE($D724, ""(?i)^(PT|CV)\.?\s+"", """"))&amp;""*"", 'DATA TARGET'!$C$2:$C998, 'DATA TARGET'!$D$2:$D998, ""Tidak Ditemukan"", 2), ""Tidak Ditemukan"")"),0.0)</f>
        <v>0</v>
      </c>
      <c r="H724" s="17">
        <f t="shared" si="1"/>
        <v>0</v>
      </c>
      <c r="I724" s="8"/>
    </row>
    <row r="725">
      <c r="A725" s="10" t="s">
        <v>2178</v>
      </c>
      <c r="B725" s="10" t="s">
        <v>2179</v>
      </c>
      <c r="C725" s="10" t="s">
        <v>2264</v>
      </c>
      <c r="D725" s="12" t="s">
        <v>2264</v>
      </c>
      <c r="E725" s="13" t="s">
        <v>2265</v>
      </c>
      <c r="F725" s="15">
        <f>IFERROR(__xludf.DUMMYFUNCTION("XLOOKUP($D725,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5" s="15">
        <f>IFERROR(__xludf.DUMMYFUNCTION("IFNA(XLOOKUP(""*""&amp;TRIM(REGEXREPLACE($D725, ""(?i)^(PT|CV)\.?\s+"", """"))&amp;""*"", 'DATA TARGET'!$C$2:$C998, 'DATA TARGET'!$D$2:$D998, ""Tidak Ditemukan"", 2), ""Tidak Ditemukan"")"),0.0)</f>
        <v>0</v>
      </c>
      <c r="H725" s="17">
        <f t="shared" si="1"/>
        <v>0</v>
      </c>
      <c r="I725" s="8"/>
    </row>
    <row r="726">
      <c r="A726" s="10" t="s">
        <v>2178</v>
      </c>
      <c r="B726" s="10" t="s">
        <v>2179</v>
      </c>
      <c r="C726" s="10" t="s">
        <v>2266</v>
      </c>
      <c r="D726" s="12" t="s">
        <v>2266</v>
      </c>
      <c r="E726" s="13" t="s">
        <v>2267</v>
      </c>
      <c r="F726" s="15">
        <f>IFERROR(__xludf.DUMMYFUNCTION("XLOOKUP($D726,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6" s="15">
        <f>IFERROR(__xludf.DUMMYFUNCTION("IFNA(XLOOKUP(""*""&amp;TRIM(REGEXREPLACE($D726, ""(?i)^(PT|CV)\.?\s+"", """"))&amp;""*"", 'DATA TARGET'!$C$2:$C998, 'DATA TARGET'!$D$2:$D998, ""Tidak Ditemukan"", 2), ""Tidak Ditemukan"")"),0.0)</f>
        <v>0</v>
      </c>
      <c r="H726" s="17">
        <f t="shared" si="1"/>
        <v>0</v>
      </c>
      <c r="I726" s="8"/>
    </row>
    <row r="727">
      <c r="A727" s="10" t="s">
        <v>2178</v>
      </c>
      <c r="B727" s="10" t="s">
        <v>2179</v>
      </c>
      <c r="C727" s="10" t="s">
        <v>2268</v>
      </c>
      <c r="D727" s="12" t="s">
        <v>2268</v>
      </c>
      <c r="E727" s="13" t="s">
        <v>2269</v>
      </c>
      <c r="F727" s="15">
        <f>IFERROR(__xludf.DUMMYFUNCTION("XLOOKUP($D727,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7" s="15">
        <f>IFERROR(__xludf.DUMMYFUNCTION("IFNA(XLOOKUP(""*""&amp;TRIM(REGEXREPLACE($D727, ""(?i)^(PT|CV)\.?\s+"", """"))&amp;""*"", 'DATA TARGET'!$C$2:$C998, 'DATA TARGET'!$D$2:$D998, ""Tidak Ditemukan"", 2), ""Tidak Ditemukan"")"),0.0)</f>
        <v>0</v>
      </c>
      <c r="H727" s="17">
        <f t="shared" si="1"/>
        <v>0</v>
      </c>
      <c r="I727" s="8"/>
    </row>
    <row r="728">
      <c r="A728" s="10" t="s">
        <v>2178</v>
      </c>
      <c r="B728" s="10" t="s">
        <v>2179</v>
      </c>
      <c r="C728" s="10" t="s">
        <v>2270</v>
      </c>
      <c r="D728" s="12" t="s">
        <v>2271</v>
      </c>
      <c r="E728" s="13" t="s">
        <v>2272</v>
      </c>
      <c r="F728" s="15">
        <f>IFERROR(__xludf.DUMMYFUNCTION("XLOOKUP($D728,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8" s="15" t="str">
        <f>IFERROR(__xludf.DUMMYFUNCTION("IFNA(XLOOKUP(""*""&amp;TRIM(REGEXREPLACE($D728, ""(?i)^(PT|CV)\.?\s+"", """"))&amp;""*"", 'DATA TARGET'!$C$2:$C998, 'DATA TARGET'!$D$2:$D998, ""Tidak Ditemukan"", 2), ""Tidak Ditemukan"")"),"Tidak Ditemukan")</f>
        <v>Tidak Ditemukan</v>
      </c>
      <c r="H728" s="17" t="str">
        <f t="shared" si="1"/>
        <v>Tidak Ditemukan</v>
      </c>
      <c r="I728" s="8"/>
    </row>
    <row r="729">
      <c r="A729" s="10" t="s">
        <v>2178</v>
      </c>
      <c r="B729" s="10" t="s">
        <v>2179</v>
      </c>
      <c r="C729" s="10" t="s">
        <v>2273</v>
      </c>
      <c r="D729" s="12" t="s">
        <v>2274</v>
      </c>
      <c r="E729" s="13" t="s">
        <v>2275</v>
      </c>
      <c r="F729" s="15">
        <f>IFERROR(__xludf.DUMMYFUNCTION("XLOOKUP($D729,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29" s="15">
        <f>IFERROR(__xludf.DUMMYFUNCTION("IFNA(XLOOKUP(""*""&amp;TRIM(REGEXREPLACE($D729, ""(?i)^(PT|CV)\.?\s+"", """"))&amp;""*"", 'DATA TARGET'!$C$2:$C998, 'DATA TARGET'!$D$2:$D998, ""Tidak Ditemukan"", 2), ""Tidak Ditemukan"")"),0.0)</f>
        <v>0</v>
      </c>
      <c r="H729" s="17">
        <f t="shared" si="1"/>
        <v>0</v>
      </c>
      <c r="I729" s="8"/>
    </row>
    <row r="730">
      <c r="A730" s="10" t="s">
        <v>2178</v>
      </c>
      <c r="B730" s="10" t="s">
        <v>2179</v>
      </c>
      <c r="C730" s="10" t="s">
        <v>2276</v>
      </c>
      <c r="D730" s="12" t="s">
        <v>2276</v>
      </c>
      <c r="E730" s="13" t="s">
        <v>2277</v>
      </c>
      <c r="F730" s="15">
        <f>IFERROR(__xludf.DUMMYFUNCTION("XLOOKUP($D730,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30" s="15">
        <f>IFERROR(__xludf.DUMMYFUNCTION("IFNA(XLOOKUP(""*""&amp;TRIM(REGEXREPLACE($D730, ""(?i)^(PT|CV)\.?\s+"", """"))&amp;""*"", 'DATA TARGET'!$C$2:$C998, 'DATA TARGET'!$D$2:$D998, ""Tidak Ditemukan"", 2), ""Tidak Ditemukan"")"),0.0)</f>
        <v>0</v>
      </c>
      <c r="H730" s="17">
        <f t="shared" si="1"/>
        <v>0</v>
      </c>
      <c r="I730" s="8"/>
    </row>
    <row r="731">
      <c r="A731" s="10" t="s">
        <v>2178</v>
      </c>
      <c r="B731" s="10" t="s">
        <v>2179</v>
      </c>
      <c r="C731" s="10" t="s">
        <v>2278</v>
      </c>
      <c r="D731" s="12" t="s">
        <v>2278</v>
      </c>
      <c r="E731" s="13" t="s">
        <v>2279</v>
      </c>
      <c r="F731" s="15">
        <f>IFERROR(__xludf.DUMMYFUNCTION("XLOOKUP($D731,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(AUTO)'!R6:R""))"),1853.95)</f>
        <v>1853.95</v>
      </c>
      <c r="G731" s="15" t="str">
        <f>IFERROR(__xludf.DUMMYFUNCTION("IFNA(XLOOKUP(""*""&amp;TRIM(REGEXREPLACE($D731, ""(?i)^(PT|CV)\.?\s+"", """"))&amp;""*"", 'DATA TARGET'!$C$2:$C998, 'DATA TARGET'!$D$2:$D998, ""Tidak Ditemukan"", 2), ""Tidak Ditemukan"")"),"Tidak Ditemukan")</f>
        <v>Tidak Ditemukan</v>
      </c>
      <c r="H731" s="17">
        <f t="shared" si="1"/>
        <v>1853.95</v>
      </c>
      <c r="I731" s="8"/>
    </row>
    <row r="732">
      <c r="A732" s="10" t="s">
        <v>2178</v>
      </c>
      <c r="B732" s="10" t="s">
        <v>2179</v>
      </c>
      <c r="C732" s="10" t="s">
        <v>2280</v>
      </c>
      <c r="D732" s="12" t="s">
        <v>2281</v>
      </c>
      <c r="E732" s="13" t="s">
        <v>2282</v>
      </c>
      <c r="F732" s="15">
        <f>IFERROR(__xludf.DUMMYFUNCTION("XLOOKUP($D732,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(AUTO)'!R6:R""))"),139.54)</f>
        <v>139.54</v>
      </c>
      <c r="G732" s="15">
        <f>IFERROR(__xludf.DUMMYFUNCTION("IFNA(XLOOKUP(""*""&amp;TRIM(REGEXREPLACE($D732, ""(?i)^(PT|CV)\.?\s+"", """"))&amp;""*"", 'DATA TARGET'!$C$2:$C998, 'DATA TARGET'!$D$2:$D998, ""Tidak Ditemukan"", 2), ""Tidak Ditemukan"")"),139.54)</f>
        <v>139.54</v>
      </c>
      <c r="H732" s="17">
        <f t="shared" si="1"/>
        <v>139.54</v>
      </c>
      <c r="I732" s="8"/>
    </row>
    <row r="733">
      <c r="A733" s="10" t="s">
        <v>2178</v>
      </c>
      <c r="B733" s="10" t="s">
        <v>2179</v>
      </c>
      <c r="C733" s="10" t="s">
        <v>2283</v>
      </c>
      <c r="D733" s="12" t="s">
        <v>2283</v>
      </c>
      <c r="E733" s="13" t="s">
        <v>2284</v>
      </c>
      <c r="F733" s="15">
        <f>IFERROR(__xludf.DUMMYFUNCTION("XLOOKUP($D733,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33" s="15">
        <f>IFERROR(__xludf.DUMMYFUNCTION("IFNA(XLOOKUP(""*""&amp;TRIM(REGEXREPLACE($D733, ""(?i)^(PT|CV)\.?\s+"", """"))&amp;""*"", 'DATA TARGET'!$C$2:$C998, 'DATA TARGET'!$D$2:$D998, ""Tidak Ditemukan"", 2), ""Tidak Ditemukan"")"),890.01)</f>
        <v>890.01</v>
      </c>
      <c r="H733" s="17">
        <f t="shared" si="1"/>
        <v>890.01</v>
      </c>
      <c r="I733" s="8"/>
    </row>
    <row r="734">
      <c r="A734" s="10" t="s">
        <v>2178</v>
      </c>
      <c r="B734" s="10" t="s">
        <v>2179</v>
      </c>
      <c r="C734" s="10" t="s">
        <v>2285</v>
      </c>
      <c r="D734" s="12" t="s">
        <v>2285</v>
      </c>
      <c r="E734" s="13" t="s">
        <v>2286</v>
      </c>
      <c r="F734" s="15">
        <f>IFERROR(__xludf.DUMMYFUNCTION("XLOOKUP($D734,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34" s="15">
        <f>IFERROR(__xludf.DUMMYFUNCTION("IFNA(XLOOKUP(""*""&amp;TRIM(REGEXREPLACE($D734, ""(?i)^(PT|CV)\.?\s+"", """"))&amp;""*"", 'DATA TARGET'!$C$2:$C998, 'DATA TARGET'!$D$2:$D998, ""Tidak Ditemukan"", 2), ""Tidak Ditemukan"")"),15.73)</f>
        <v>15.73</v>
      </c>
      <c r="H734" s="17">
        <f t="shared" si="1"/>
        <v>15.73</v>
      </c>
      <c r="I734" s="8"/>
    </row>
    <row r="735">
      <c r="A735" s="10" t="s">
        <v>2178</v>
      </c>
      <c r="B735" s="10" t="s">
        <v>2179</v>
      </c>
      <c r="C735" s="10" t="s">
        <v>2287</v>
      </c>
      <c r="D735" s="12" t="s">
        <v>2287</v>
      </c>
      <c r="E735" s="13" t="s">
        <v>2288</v>
      </c>
      <c r="F735" s="15">
        <f>IFERROR(__xludf.DUMMYFUNCTION("XLOOKUP($D735,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35" s="15" t="str">
        <f>IFERROR(__xludf.DUMMYFUNCTION("IFNA(XLOOKUP(""*""&amp;TRIM(REGEXREPLACE($D735, ""(?i)^(PT|CV)\.?\s+"", """"))&amp;""*"", 'DATA TARGET'!$C$2:$C998, 'DATA TARGET'!$D$2:$D998, ""Tidak Ditemukan"", 2), ""Tidak Ditemukan"")"),"Tidak Ditemukan")</f>
        <v>Tidak Ditemukan</v>
      </c>
      <c r="H735" s="17" t="str">
        <f t="shared" si="1"/>
        <v>Tidak Ditemukan</v>
      </c>
      <c r="I735" s="8"/>
    </row>
    <row r="736">
      <c r="A736" s="10" t="s">
        <v>2178</v>
      </c>
      <c r="B736" s="10" t="s">
        <v>2179</v>
      </c>
      <c r="C736" s="10" t="s">
        <v>2289</v>
      </c>
      <c r="D736" s="12" t="s">
        <v>2289</v>
      </c>
      <c r="E736" s="13" t="s">
        <v>2290</v>
      </c>
      <c r="F736" s="15">
        <f>IFERROR(__xludf.DUMMYFUNCTION("XLOOKUP($D736,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(AUTO)'!R6:R""))"),214.0)</f>
        <v>214</v>
      </c>
      <c r="G736" s="15">
        <f>IFERROR(__xludf.DUMMYFUNCTION("IFNA(XLOOKUP(""*""&amp;TRIM(REGEXREPLACE($D736, ""(?i)^(PT|CV)\.?\s+"", """"))&amp;""*"", 'DATA TARGET'!$C$2:$C998, 'DATA TARGET'!$D$2:$D998, ""Tidak Ditemukan"", 2), ""Tidak Ditemukan"")"),214.0)</f>
        <v>214</v>
      </c>
      <c r="H736" s="17">
        <f t="shared" si="1"/>
        <v>214</v>
      </c>
      <c r="I736" s="8"/>
    </row>
    <row r="737">
      <c r="A737" s="10" t="s">
        <v>2178</v>
      </c>
      <c r="B737" s="10" t="s">
        <v>2179</v>
      </c>
      <c r="C737" s="10" t="s">
        <v>2291</v>
      </c>
      <c r="D737" s="12" t="s">
        <v>2291</v>
      </c>
      <c r="E737" s="13" t="s">
        <v>2292</v>
      </c>
      <c r="F737" s="15">
        <f>IFERROR(__xludf.DUMMYFUNCTION("XLOOKUP($D737,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(AUTO)'!R6:R""))"),345.27)</f>
        <v>345.27</v>
      </c>
      <c r="G737" s="15">
        <f>IFERROR(__xludf.DUMMYFUNCTION("IFNA(XLOOKUP(""*""&amp;TRIM(REGEXREPLACE($D737, ""(?i)^(PT|CV)\.?\s+"", """"))&amp;""*"", 'DATA TARGET'!$C$2:$C998, 'DATA TARGET'!$D$2:$D998, ""Tidak Ditemukan"", 2), ""Tidak Ditemukan"")"),345.27)</f>
        <v>345.27</v>
      </c>
      <c r="H737" s="17">
        <f t="shared" si="1"/>
        <v>345.27</v>
      </c>
      <c r="I737" s="8"/>
    </row>
    <row r="738">
      <c r="A738" s="10" t="s">
        <v>2178</v>
      </c>
      <c r="B738" s="10" t="s">
        <v>2179</v>
      </c>
      <c r="C738" s="10" t="s">
        <v>2293</v>
      </c>
      <c r="D738" s="12" t="s">
        <v>2294</v>
      </c>
      <c r="E738" s="13" t="s">
        <v>2295</v>
      </c>
      <c r="F738" s="15">
        <f>IFERROR(__xludf.DUMMYFUNCTION("XLOOKUP($D738,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(AUTO)'!R6:R""))"),154.11)</f>
        <v>154.11</v>
      </c>
      <c r="G738" s="15">
        <f>IFERROR(__xludf.DUMMYFUNCTION("IFNA(XLOOKUP(""*""&amp;TRIM(REGEXREPLACE($D738, ""(?i)^(PT|CV)\.?\s+"", """"))&amp;""*"", 'DATA TARGET'!$C$2:$C998, 'DATA TARGET'!$D$2:$D998, ""Tidak Ditemukan"", 2), ""Tidak Ditemukan"")"),154.11)</f>
        <v>154.11</v>
      </c>
      <c r="H738" s="17">
        <f t="shared" si="1"/>
        <v>154.11</v>
      </c>
      <c r="I738" s="8"/>
    </row>
    <row r="739">
      <c r="A739" s="10" t="s">
        <v>2178</v>
      </c>
      <c r="B739" s="10" t="s">
        <v>2179</v>
      </c>
      <c r="C739" s="10" t="s">
        <v>2296</v>
      </c>
      <c r="D739" s="12" t="s">
        <v>2296</v>
      </c>
      <c r="E739" s="13" t="s">
        <v>2297</v>
      </c>
      <c r="F739" s="15">
        <f>IFERROR(__xludf.DUMMYFUNCTION("XLOOKUP($D739,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39" s="15">
        <f>IFERROR(__xludf.DUMMYFUNCTION("IFNA(XLOOKUP(""*""&amp;TRIM(REGEXREPLACE($D739, ""(?i)^(PT|CV)\.?\s+"", """"))&amp;""*"", 'DATA TARGET'!$C$2:$C998, 'DATA TARGET'!$D$2:$D998, ""Tidak Ditemukan"", 2), ""Tidak Ditemukan"")"),0.0)</f>
        <v>0</v>
      </c>
      <c r="H739" s="17">
        <f t="shared" si="1"/>
        <v>0</v>
      </c>
      <c r="I739" s="8"/>
    </row>
    <row r="740">
      <c r="A740" s="10" t="s">
        <v>2178</v>
      </c>
      <c r="B740" s="10" t="s">
        <v>2179</v>
      </c>
      <c r="C740" s="10" t="s">
        <v>2298</v>
      </c>
      <c r="D740" s="12" t="s">
        <v>2299</v>
      </c>
      <c r="E740" s="13" t="s">
        <v>2300</v>
      </c>
      <c r="F740" s="15">
        <f>IFERROR(__xludf.DUMMYFUNCTION("XLOOKUP($D740,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(AUTO)'!R6:R""))"),809.19)</f>
        <v>809.19</v>
      </c>
      <c r="G740" s="15">
        <f>IFERROR(__xludf.DUMMYFUNCTION("IFNA(XLOOKUP(""*""&amp;TRIM(REGEXREPLACE($D740, ""(?i)^(PT|CV)\.?\s+"", """"))&amp;""*"", 'DATA TARGET'!$C$2:$C998, 'DATA TARGET'!$D$2:$D998, ""Tidak Ditemukan"", 2), ""Tidak Ditemukan"")"),809.19)</f>
        <v>809.19</v>
      </c>
      <c r="H740" s="17">
        <f t="shared" si="1"/>
        <v>809.19</v>
      </c>
      <c r="I740" s="8"/>
    </row>
    <row r="741">
      <c r="A741" s="10" t="s">
        <v>2178</v>
      </c>
      <c r="B741" s="10" t="s">
        <v>2179</v>
      </c>
      <c r="C741" s="10" t="s">
        <v>2301</v>
      </c>
      <c r="D741" s="12" t="s">
        <v>2301</v>
      </c>
      <c r="E741" s="13" t="s">
        <v>2302</v>
      </c>
      <c r="F741" s="15">
        <f>IFERROR(__xludf.DUMMYFUNCTION("XLOOKUP($D741,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1" s="15">
        <f>IFERROR(__xludf.DUMMYFUNCTION("IFNA(XLOOKUP(""*""&amp;TRIM(REGEXREPLACE($D741, ""(?i)^(PT|CV)\.?\s+"", """"))&amp;""*"", 'DATA TARGET'!$C$2:$C998, 'DATA TARGET'!$D$2:$D998, ""Tidak Ditemukan"", 2), ""Tidak Ditemukan"")"),10.0)</f>
        <v>10</v>
      </c>
      <c r="H741" s="17">
        <f t="shared" si="1"/>
        <v>10</v>
      </c>
      <c r="I741" s="8"/>
    </row>
    <row r="742">
      <c r="A742" s="10" t="s">
        <v>2178</v>
      </c>
      <c r="B742" s="10" t="s">
        <v>2179</v>
      </c>
      <c r="C742" s="10" t="s">
        <v>2303</v>
      </c>
      <c r="D742" s="12" t="s">
        <v>2303</v>
      </c>
      <c r="E742" s="13" t="s">
        <v>2304</v>
      </c>
      <c r="F742" s="15">
        <f>IFERROR(__xludf.DUMMYFUNCTION("XLOOKUP($D742,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2" s="15">
        <f>IFERROR(__xludf.DUMMYFUNCTION("IFNA(XLOOKUP(""*""&amp;TRIM(REGEXREPLACE($D742, ""(?i)^(PT|CV)\.?\s+"", """"))&amp;""*"", 'DATA TARGET'!$C$2:$C998, 'DATA TARGET'!$D$2:$D998, ""Tidak Ditemukan"", 2), ""Tidak Ditemukan"")"),29.12)</f>
        <v>29.12</v>
      </c>
      <c r="H742" s="17">
        <f t="shared" si="1"/>
        <v>29.12</v>
      </c>
      <c r="I742" s="8"/>
    </row>
    <row r="743">
      <c r="A743" s="10" t="s">
        <v>2178</v>
      </c>
      <c r="B743" s="10" t="s">
        <v>2179</v>
      </c>
      <c r="C743" s="10" t="s">
        <v>2305</v>
      </c>
      <c r="D743" s="12" t="s">
        <v>2305</v>
      </c>
      <c r="E743" s="13" t="s">
        <v>2306</v>
      </c>
      <c r="F743" s="15">
        <f>IFERROR(__xludf.DUMMYFUNCTION("XLOOKUP($D743,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3" s="15">
        <f>IFERROR(__xludf.DUMMYFUNCTION("IFNA(XLOOKUP(""*""&amp;TRIM(REGEXREPLACE($D743, ""(?i)^(PT|CV)\.?\s+"", """"))&amp;""*"", 'DATA TARGET'!$C$2:$C998, 'DATA TARGET'!$D$2:$D998, ""Tidak Ditemukan"", 2), ""Tidak Ditemukan"")"),0.0)</f>
        <v>0</v>
      </c>
      <c r="H743" s="17">
        <f t="shared" si="1"/>
        <v>0</v>
      </c>
      <c r="I743" s="8"/>
    </row>
    <row r="744">
      <c r="A744" s="10" t="s">
        <v>2178</v>
      </c>
      <c r="B744" s="10" t="s">
        <v>2179</v>
      </c>
      <c r="C744" s="10" t="s">
        <v>2307</v>
      </c>
      <c r="D744" s="12" t="s">
        <v>2307</v>
      </c>
      <c r="E744" s="13" t="s">
        <v>2308</v>
      </c>
      <c r="F744" s="15">
        <f>IFERROR(__xludf.DUMMYFUNCTION("XLOOKUP($D744,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4" s="15">
        <f>IFERROR(__xludf.DUMMYFUNCTION("IFNA(XLOOKUP(""*""&amp;TRIM(REGEXREPLACE($D744, ""(?i)^(PT|CV)\.?\s+"", """"))&amp;""*"", 'DATA TARGET'!$C$2:$C998, 'DATA TARGET'!$D$2:$D998, ""Tidak Ditemukan"", 2), ""Tidak Ditemukan"")"),0.0)</f>
        <v>0</v>
      </c>
      <c r="H744" s="17">
        <f t="shared" si="1"/>
        <v>0</v>
      </c>
      <c r="I744" s="8"/>
    </row>
    <row r="745">
      <c r="A745" s="10" t="s">
        <v>2178</v>
      </c>
      <c r="B745" s="10" t="s">
        <v>2179</v>
      </c>
      <c r="C745" s="10" t="s">
        <v>2309</v>
      </c>
      <c r="D745" s="12" t="s">
        <v>2309</v>
      </c>
      <c r="E745" s="13" t="s">
        <v>2310</v>
      </c>
      <c r="F745" s="15">
        <f>IFERROR(__xludf.DUMMYFUNCTION("XLOOKUP($D745,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5" s="15">
        <f>IFERROR(__xludf.DUMMYFUNCTION("IFNA(XLOOKUP(""*""&amp;TRIM(REGEXREPLACE($D745, ""(?i)^(PT|CV)\.?\s+"", """"))&amp;""*"", 'DATA TARGET'!$C$2:$C998, 'DATA TARGET'!$D$2:$D998, ""Tidak Ditemukan"", 2), ""Tidak Ditemukan"")"),1.72)</f>
        <v>1.72</v>
      </c>
      <c r="H745" s="17">
        <f t="shared" si="1"/>
        <v>1.72</v>
      </c>
      <c r="I745" s="8"/>
    </row>
    <row r="746">
      <c r="A746" s="10" t="s">
        <v>2178</v>
      </c>
      <c r="B746" s="10" t="s">
        <v>2179</v>
      </c>
      <c r="C746" s="10" t="s">
        <v>2311</v>
      </c>
      <c r="D746" s="12" t="s">
        <v>2311</v>
      </c>
      <c r="E746" s="13" t="s">
        <v>2312</v>
      </c>
      <c r="F746" s="15">
        <f>IFERROR(__xludf.DUMMYFUNCTION("XLOOKUP($D746,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(AUTO)'!R6:R""))"),32.0)</f>
        <v>32</v>
      </c>
      <c r="G746" s="15">
        <f>IFERROR(__xludf.DUMMYFUNCTION("IFNA(XLOOKUP(""*""&amp;TRIM(REGEXREPLACE($D746, ""(?i)^(PT|CV)\.?\s+"", """"))&amp;""*"", 'DATA TARGET'!$C$2:$C998, 'DATA TARGET'!$D$2:$D998, ""Tidak Ditemukan"", 2), ""Tidak Ditemukan"")"),0.0)</f>
        <v>0</v>
      </c>
      <c r="H746" s="17">
        <f t="shared" si="1"/>
        <v>32</v>
      </c>
      <c r="I746" s="8"/>
    </row>
    <row r="747">
      <c r="A747" s="10" t="s">
        <v>2178</v>
      </c>
      <c r="B747" s="10" t="s">
        <v>2179</v>
      </c>
      <c r="C747" s="10" t="s">
        <v>2313</v>
      </c>
      <c r="D747" s="12" t="s">
        <v>2313</v>
      </c>
      <c r="E747" s="13" t="s">
        <v>2314</v>
      </c>
      <c r="F747" s="15">
        <f>IFERROR(__xludf.DUMMYFUNCTION("XLOOKUP($D747,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47" s="15">
        <f>IFERROR(__xludf.DUMMYFUNCTION("IFNA(XLOOKUP(""*""&amp;TRIM(REGEXREPLACE($D747, ""(?i)^(PT|CV)\.?\s+"", """"))&amp;""*"", 'DATA TARGET'!$C$2:$C998, 'DATA TARGET'!$D$2:$D998, ""Tidak Ditemukan"", 2), ""Tidak Ditemukan"")"),0.0)</f>
        <v>0</v>
      </c>
      <c r="H747" s="17">
        <f t="shared" si="1"/>
        <v>0</v>
      </c>
      <c r="I747" s="8"/>
    </row>
    <row r="748">
      <c r="A748" s="10" t="s">
        <v>2178</v>
      </c>
      <c r="B748" s="10" t="s">
        <v>2179</v>
      </c>
      <c r="C748" s="10" t="s">
        <v>2315</v>
      </c>
      <c r="D748" s="12" t="s">
        <v>2315</v>
      </c>
      <c r="E748" s="13" t="s">
        <v>2316</v>
      </c>
      <c r="F748" s="15">
        <f>IFERROR(__xludf.DUMMYFUNCTION("XLOOKUP($D748,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(AUTO)'!R6:R""))"),1365.83)</f>
        <v>1365.83</v>
      </c>
      <c r="G748" s="15" t="str">
        <f>IFERROR(__xludf.DUMMYFUNCTION("IFNA(XLOOKUP(""*""&amp;TRIM(REGEXREPLACE($D748, ""(?i)^(PT|CV)\.?\s+"", """"))&amp;""*"", 'DATA TARGET'!$C$2:$C998, 'DATA TARGET'!$D$2:$D998, ""Tidak Ditemukan"", 2), ""Tidak Ditemukan"")"),"Tidak Ditemukan")</f>
        <v>Tidak Ditemukan</v>
      </c>
      <c r="H748" s="17">
        <f t="shared" si="1"/>
        <v>1365.83</v>
      </c>
      <c r="I748" s="8"/>
    </row>
    <row r="749">
      <c r="A749" s="10" t="s">
        <v>2178</v>
      </c>
      <c r="B749" s="10" t="s">
        <v>2179</v>
      </c>
      <c r="C749" s="10" t="s">
        <v>2317</v>
      </c>
      <c r="D749" s="12" t="s">
        <v>2318</v>
      </c>
      <c r="E749" s="13" t="s">
        <v>2319</v>
      </c>
      <c r="F749" s="15">
        <f>IFERROR(__xludf.DUMMYFUNCTION("XLOOKUP($D749,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(AUTO)'!R6:R""))"),1903.47)</f>
        <v>1903.47</v>
      </c>
      <c r="G749" s="15">
        <f>IFERROR(__xludf.DUMMYFUNCTION("IFNA(XLOOKUP(""*""&amp;TRIM(REGEXREPLACE($D749, ""(?i)^(PT|CV)\.?\s+"", """"))&amp;""*"", 'DATA TARGET'!$C$2:$C998, 'DATA TARGET'!$D$2:$D998, ""Tidak Ditemukan"", 2), ""Tidak Ditemukan"")"),1903.47)</f>
        <v>1903.47</v>
      </c>
      <c r="H749" s="17">
        <f t="shared" si="1"/>
        <v>1903.47</v>
      </c>
      <c r="I749" s="8"/>
    </row>
    <row r="750">
      <c r="A750" s="10" t="s">
        <v>2178</v>
      </c>
      <c r="B750" s="10" t="s">
        <v>2179</v>
      </c>
      <c r="C750" s="10" t="s">
        <v>2320</v>
      </c>
      <c r="D750" s="12" t="s">
        <v>2321</v>
      </c>
      <c r="E750" s="13" t="s">
        <v>2322</v>
      </c>
      <c r="F750" s="15">
        <f>IFERROR(__xludf.DUMMYFUNCTION("XLOOKUP($D750,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0" s="15">
        <f>IFERROR(__xludf.DUMMYFUNCTION("IFNA(XLOOKUP(""*""&amp;TRIM(REGEXREPLACE($D750, ""(?i)^(PT|CV)\.?\s+"", """"))&amp;""*"", 'DATA TARGET'!$C$2:$C998, 'DATA TARGET'!$D$2:$D998, ""Tidak Ditemukan"", 2), ""Tidak Ditemukan"")"),0.49)</f>
        <v>0.49</v>
      </c>
      <c r="H750" s="17">
        <f t="shared" si="1"/>
        <v>0.49</v>
      </c>
      <c r="I750" s="8"/>
    </row>
    <row r="751">
      <c r="A751" s="10" t="s">
        <v>2178</v>
      </c>
      <c r="B751" s="10" t="s">
        <v>2179</v>
      </c>
      <c r="C751" s="10" t="s">
        <v>2323</v>
      </c>
      <c r="D751" s="12" t="s">
        <v>2323</v>
      </c>
      <c r="E751" s="13" t="s">
        <v>2324</v>
      </c>
      <c r="F751" s="15">
        <f>IFERROR(__xludf.DUMMYFUNCTION("XLOOKUP($D751,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1" s="15">
        <f>IFERROR(__xludf.DUMMYFUNCTION("IFNA(XLOOKUP(""*""&amp;TRIM(REGEXREPLACE($D751, ""(?i)^(PT|CV)\.?\s+"", """"))&amp;""*"", 'DATA TARGET'!$C$2:$C998, 'DATA TARGET'!$D$2:$D998, ""Tidak Ditemukan"", 2), ""Tidak Ditemukan"")"),479.88)</f>
        <v>479.88</v>
      </c>
      <c r="H751" s="17">
        <f t="shared" si="1"/>
        <v>479.88</v>
      </c>
      <c r="I751" s="8"/>
    </row>
    <row r="752">
      <c r="A752" s="10" t="s">
        <v>2178</v>
      </c>
      <c r="B752" s="10" t="s">
        <v>2179</v>
      </c>
      <c r="C752" s="10" t="s">
        <v>2325</v>
      </c>
      <c r="D752" s="12" t="s">
        <v>2326</v>
      </c>
      <c r="E752" s="13" t="s">
        <v>2327</v>
      </c>
      <c r="F752" s="15">
        <f>IFERROR(__xludf.DUMMYFUNCTION("XLOOKUP($D752,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2" s="15">
        <f>IFERROR(__xludf.DUMMYFUNCTION("IFNA(XLOOKUP(""*""&amp;TRIM(REGEXREPLACE($D752, ""(?i)^(PT|CV)\.?\s+"", """"))&amp;""*"", 'DATA TARGET'!$C$2:$C998, 'DATA TARGET'!$D$2:$D998, ""Tidak Ditemukan"", 2), ""Tidak Ditemukan"")"),0.0)</f>
        <v>0</v>
      </c>
      <c r="H752" s="17">
        <f t="shared" si="1"/>
        <v>0</v>
      </c>
      <c r="I752" s="8"/>
    </row>
    <row r="753">
      <c r="A753" s="10" t="s">
        <v>2178</v>
      </c>
      <c r="B753" s="10" t="s">
        <v>2179</v>
      </c>
      <c r="C753" s="10" t="s">
        <v>2328</v>
      </c>
      <c r="D753" s="12" t="s">
        <v>1881</v>
      </c>
      <c r="E753" s="13" t="s">
        <v>2329</v>
      </c>
      <c r="F753" s="15">
        <f>IFERROR(__xludf.DUMMYFUNCTION("XLOOKUP($D753,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3" s="15">
        <f>IFERROR(__xludf.DUMMYFUNCTION("IFNA(XLOOKUP(""*""&amp;TRIM(REGEXREPLACE($D753, ""(?i)^(PT|CV)\.?\s+"", """"))&amp;""*"", 'DATA TARGET'!$C$2:$C998, 'DATA TARGET'!$D$2:$D998, ""Tidak Ditemukan"", 2), ""Tidak Ditemukan"")"),9.3)</f>
        <v>9.3</v>
      </c>
      <c r="H753" s="17">
        <f t="shared" si="1"/>
        <v>9.3</v>
      </c>
      <c r="I753" s="8"/>
    </row>
    <row r="754">
      <c r="A754" s="10" t="s">
        <v>2178</v>
      </c>
      <c r="B754" s="10" t="s">
        <v>2179</v>
      </c>
      <c r="C754" s="10" t="s">
        <v>2330</v>
      </c>
      <c r="D754" s="12" t="s">
        <v>2330</v>
      </c>
      <c r="E754" s="13" t="s">
        <v>2331</v>
      </c>
      <c r="F754" s="15">
        <f>IFERROR(__xludf.DUMMYFUNCTION("XLOOKUP($D754,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4" s="15">
        <f>IFERROR(__xludf.DUMMYFUNCTION("IFNA(XLOOKUP(""*""&amp;TRIM(REGEXREPLACE($D754, ""(?i)^(PT|CV)\.?\s+"", """"))&amp;""*"", 'DATA TARGET'!$C$2:$C998, 'DATA TARGET'!$D$2:$D998, ""Tidak Ditemukan"", 2), ""Tidak Ditemukan"")"),315.47)</f>
        <v>315.47</v>
      </c>
      <c r="H754" s="17">
        <f t="shared" si="1"/>
        <v>315.47</v>
      </c>
      <c r="I754" s="8"/>
    </row>
    <row r="755">
      <c r="A755" s="10" t="s">
        <v>2178</v>
      </c>
      <c r="B755" s="10" t="s">
        <v>2179</v>
      </c>
      <c r="C755" s="10" t="s">
        <v>2332</v>
      </c>
      <c r="D755" s="12" t="s">
        <v>2332</v>
      </c>
      <c r="E755" s="13" t="s">
        <v>2333</v>
      </c>
      <c r="F755" s="15">
        <f>IFERROR(__xludf.DUMMYFUNCTION("XLOOKUP($D755,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(AUTO)'!R6:R""))"),1014.59)</f>
        <v>1014.59</v>
      </c>
      <c r="G755" s="15">
        <f>IFERROR(__xludf.DUMMYFUNCTION("IFNA(XLOOKUP(""*""&amp;TRIM(REGEXREPLACE($D755, ""(?i)^(PT|CV)\.?\s+"", """"))&amp;""*"", 'DATA TARGET'!$C$2:$C998, 'DATA TARGET'!$D$2:$D998, ""Tidak Ditemukan"", 2), ""Tidak Ditemukan"")"),1014.59)</f>
        <v>1014.59</v>
      </c>
      <c r="H755" s="17">
        <f t="shared" si="1"/>
        <v>1014.59</v>
      </c>
      <c r="I755" s="8"/>
    </row>
    <row r="756">
      <c r="A756" s="10" t="s">
        <v>2334</v>
      </c>
      <c r="B756" s="10" t="s">
        <v>2335</v>
      </c>
      <c r="C756" s="10" t="s">
        <v>2336</v>
      </c>
      <c r="D756" s="12" t="s">
        <v>2336</v>
      </c>
      <c r="E756" s="13" t="s">
        <v>2337</v>
      </c>
      <c r="F756" s="15">
        <f>IFERROR(__xludf.DUMMYFUNCTION("XLOOKUP($D756,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6" s="15">
        <f>IFERROR(__xludf.DUMMYFUNCTION("IFNA(XLOOKUP(""*""&amp;TRIM(REGEXREPLACE($D756, ""(?i)^(PT|CV)\.?\s+"", """"))&amp;""*"", 'DATA TARGET'!$C$2:$C998, 'DATA TARGET'!$D$2:$D998, ""Tidak Ditemukan"", 2), ""Tidak Ditemukan"")"),0.0)</f>
        <v>0</v>
      </c>
      <c r="H756" s="17">
        <f t="shared" si="1"/>
        <v>0</v>
      </c>
      <c r="I756" s="8"/>
    </row>
    <row r="757">
      <c r="A757" s="10" t="s">
        <v>2334</v>
      </c>
      <c r="B757" s="10" t="s">
        <v>2335</v>
      </c>
      <c r="C757" s="10" t="s">
        <v>2338</v>
      </c>
      <c r="D757" s="12" t="s">
        <v>2338</v>
      </c>
      <c r="E757" s="13" t="s">
        <v>2339</v>
      </c>
      <c r="F757" s="15">
        <f>IFERROR(__xludf.DUMMYFUNCTION("XLOOKUP($D757,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7" s="15">
        <f>IFERROR(__xludf.DUMMYFUNCTION("IFNA(XLOOKUP(""*""&amp;TRIM(REGEXREPLACE($D757, ""(?i)^(PT|CV)\.?\s+"", """"))&amp;""*"", 'DATA TARGET'!$C$2:$C998, 'DATA TARGET'!$D$2:$D998, ""Tidak Ditemukan"", 2), ""Tidak Ditemukan"")"),0.0)</f>
        <v>0</v>
      </c>
      <c r="H757" s="17">
        <f t="shared" si="1"/>
        <v>0</v>
      </c>
      <c r="I757" s="8"/>
    </row>
    <row r="758">
      <c r="A758" s="10" t="s">
        <v>2334</v>
      </c>
      <c r="B758" s="10" t="s">
        <v>2335</v>
      </c>
      <c r="C758" s="10" t="s">
        <v>2340</v>
      </c>
      <c r="D758" s="12" t="s">
        <v>2340</v>
      </c>
      <c r="E758" s="13" t="s">
        <v>2341</v>
      </c>
      <c r="F758" s="15">
        <f>IFERROR(__xludf.DUMMYFUNCTION("XLOOKUP($D758,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8" s="15">
        <f>IFERROR(__xludf.DUMMYFUNCTION("IFNA(XLOOKUP(""*""&amp;TRIM(REGEXREPLACE($D758, ""(?i)^(PT|CV)\.?\s+"", """"))&amp;""*"", 'DATA TARGET'!$C$2:$C998, 'DATA TARGET'!$D$2:$D998, ""Tidak Ditemukan"", 2), ""Tidak Ditemukan"")"),0.0)</f>
        <v>0</v>
      </c>
      <c r="H758" s="17">
        <f t="shared" si="1"/>
        <v>0</v>
      </c>
      <c r="I758" s="8"/>
    </row>
    <row r="759">
      <c r="A759" s="10" t="s">
        <v>2334</v>
      </c>
      <c r="B759" s="10" t="s">
        <v>2335</v>
      </c>
      <c r="C759" s="10" t="s">
        <v>2342</v>
      </c>
      <c r="D759" s="12" t="s">
        <v>2342</v>
      </c>
      <c r="E759" s="13" t="s">
        <v>2343</v>
      </c>
      <c r="F759" s="15">
        <f>IFERROR(__xludf.DUMMYFUNCTION("XLOOKUP($D759,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59" s="15">
        <f>IFERROR(__xludf.DUMMYFUNCTION("IFNA(XLOOKUP(""*""&amp;TRIM(REGEXREPLACE($D759, ""(?i)^(PT|CV)\.?\s+"", """"))&amp;""*"", 'DATA TARGET'!$C$2:$C998, 'DATA TARGET'!$D$2:$D998, ""Tidak Ditemukan"", 2), ""Tidak Ditemukan"")"),0.0)</f>
        <v>0</v>
      </c>
      <c r="H759" s="17">
        <f t="shared" si="1"/>
        <v>0</v>
      </c>
      <c r="I759" s="8"/>
    </row>
    <row r="760">
      <c r="A760" s="10" t="s">
        <v>2334</v>
      </c>
      <c r="B760" s="10" t="s">
        <v>2335</v>
      </c>
      <c r="C760" s="10" t="s">
        <v>2344</v>
      </c>
      <c r="D760" s="12" t="s">
        <v>2344</v>
      </c>
      <c r="E760" s="13" t="s">
        <v>2345</v>
      </c>
      <c r="F760" s="15">
        <f>IFERROR(__xludf.DUMMYFUNCTION("XLOOKUP($D760,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0" s="15" t="str">
        <f>IFERROR(__xludf.DUMMYFUNCTION("IFNA(XLOOKUP(""*""&amp;TRIM(REGEXREPLACE($D760, ""(?i)^(PT|CV)\.?\s+"", """"))&amp;""*"", 'DATA TARGET'!$C$2:$C998, 'DATA TARGET'!$D$2:$D998, ""Tidak Ditemukan"", 2), ""Tidak Ditemukan"")"),"Tidak Ditemukan")</f>
        <v>Tidak Ditemukan</v>
      </c>
      <c r="H760" s="17" t="str">
        <f t="shared" si="1"/>
        <v>Tidak Ditemukan</v>
      </c>
      <c r="I760" s="8"/>
    </row>
    <row r="761">
      <c r="A761" s="10" t="s">
        <v>2334</v>
      </c>
      <c r="B761" s="10" t="s">
        <v>2335</v>
      </c>
      <c r="C761" s="10" t="s">
        <v>2346</v>
      </c>
      <c r="D761" s="12" t="s">
        <v>2346</v>
      </c>
      <c r="E761" s="13" t="s">
        <v>2347</v>
      </c>
      <c r="F761" s="15">
        <f>IFERROR(__xludf.DUMMYFUNCTION("XLOOKUP($D761,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1" s="15">
        <f>IFERROR(__xludf.DUMMYFUNCTION("IFNA(XLOOKUP(""*""&amp;TRIM(REGEXREPLACE($D761, ""(?i)^(PT|CV)\.?\s+"", """"))&amp;""*"", 'DATA TARGET'!$C$2:$C998, 'DATA TARGET'!$D$2:$D998, ""Tidak Ditemukan"", 2), ""Tidak Ditemukan"")"),0.0)</f>
        <v>0</v>
      </c>
      <c r="H761" s="17">
        <f t="shared" si="1"/>
        <v>0</v>
      </c>
      <c r="I761" s="8"/>
    </row>
    <row r="762">
      <c r="A762" s="10" t="s">
        <v>2334</v>
      </c>
      <c r="B762" s="10" t="s">
        <v>2335</v>
      </c>
      <c r="C762" s="10" t="s">
        <v>2348</v>
      </c>
      <c r="D762" s="12" t="s">
        <v>2348</v>
      </c>
      <c r="E762" s="13" t="s">
        <v>2349</v>
      </c>
      <c r="F762" s="15">
        <f>IFERROR(__xludf.DUMMYFUNCTION("XLOOKUP($D762,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2" s="15">
        <f>IFERROR(__xludf.DUMMYFUNCTION("IFNA(XLOOKUP(""*""&amp;TRIM(REGEXREPLACE($D762, ""(?i)^(PT|CV)\.?\s+"", """"))&amp;""*"", 'DATA TARGET'!$C$2:$C998, 'DATA TARGET'!$D$2:$D998, ""Tidak Ditemukan"", 2), ""Tidak Ditemukan"")"),0.0)</f>
        <v>0</v>
      </c>
      <c r="H762" s="17">
        <f t="shared" si="1"/>
        <v>0</v>
      </c>
      <c r="I762" s="8"/>
    </row>
    <row r="763">
      <c r="A763" s="10" t="s">
        <v>2334</v>
      </c>
      <c r="B763" s="10" t="s">
        <v>2335</v>
      </c>
      <c r="C763" s="10" t="s">
        <v>2350</v>
      </c>
      <c r="D763" s="12" t="s">
        <v>2350</v>
      </c>
      <c r="E763" s="13" t="s">
        <v>2351</v>
      </c>
      <c r="F763" s="15">
        <f>IFERROR(__xludf.DUMMYFUNCTION("XLOOKUP($D763,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3" s="15">
        <f>IFERROR(__xludf.DUMMYFUNCTION("IFNA(XLOOKUP(""*""&amp;TRIM(REGEXREPLACE($D763, ""(?i)^(PT|CV)\.?\s+"", """"))&amp;""*"", 'DATA TARGET'!$C$2:$C998, 'DATA TARGET'!$D$2:$D998, ""Tidak Ditemukan"", 2), ""Tidak Ditemukan"")"),0.0)</f>
        <v>0</v>
      </c>
      <c r="H763" s="17">
        <f t="shared" si="1"/>
        <v>0</v>
      </c>
      <c r="I763" s="8"/>
    </row>
    <row r="764">
      <c r="A764" s="10" t="s">
        <v>2334</v>
      </c>
      <c r="B764" s="10" t="s">
        <v>2335</v>
      </c>
      <c r="C764" s="10" t="s">
        <v>2352</v>
      </c>
      <c r="D764" s="12" t="s">
        <v>2352</v>
      </c>
      <c r="E764" s="13" t="s">
        <v>2353</v>
      </c>
      <c r="F764" s="15">
        <f>IFERROR(__xludf.DUMMYFUNCTION("XLOOKUP($D764,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4" s="15">
        <f>IFERROR(__xludf.DUMMYFUNCTION("IFNA(XLOOKUP(""*""&amp;TRIM(REGEXREPLACE($D764, ""(?i)^(PT|CV)\.?\s+"", """"))&amp;""*"", 'DATA TARGET'!$C$2:$C998, 'DATA TARGET'!$D$2:$D998, ""Tidak Ditemukan"", 2), ""Tidak Ditemukan"")"),0.0)</f>
        <v>0</v>
      </c>
      <c r="H764" s="17">
        <f t="shared" si="1"/>
        <v>0</v>
      </c>
      <c r="I764" s="8"/>
    </row>
    <row r="765">
      <c r="A765" s="10" t="s">
        <v>2334</v>
      </c>
      <c r="B765" s="10" t="s">
        <v>2335</v>
      </c>
      <c r="C765" s="10" t="s">
        <v>2354</v>
      </c>
      <c r="D765" s="12" t="s">
        <v>2354</v>
      </c>
      <c r="E765" s="13" t="s">
        <v>2355</v>
      </c>
      <c r="F765" s="15">
        <f>IFERROR(__xludf.DUMMYFUNCTION("XLOOKUP($D765,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5" s="15">
        <f>IFERROR(__xludf.DUMMYFUNCTION("IFNA(XLOOKUP(""*""&amp;TRIM(REGEXREPLACE($D765, ""(?i)^(PT|CV)\.?\s+"", """"))&amp;""*"", 'DATA TARGET'!$C$2:$C998, 'DATA TARGET'!$D$2:$D998, ""Tidak Ditemukan"", 2), ""Tidak Ditemukan"")"),0.0)</f>
        <v>0</v>
      </c>
      <c r="H765" s="17">
        <f t="shared" si="1"/>
        <v>0</v>
      </c>
      <c r="I765" s="8"/>
    </row>
    <row r="766">
      <c r="A766" s="10" t="s">
        <v>2334</v>
      </c>
      <c r="B766" s="10" t="s">
        <v>2335</v>
      </c>
      <c r="C766" s="10" t="s">
        <v>2356</v>
      </c>
      <c r="D766" s="12" t="s">
        <v>2356</v>
      </c>
      <c r="E766" s="13" t="s">
        <v>2357</v>
      </c>
      <c r="F766" s="15">
        <f>IFERROR(__xludf.DUMMYFUNCTION("XLOOKUP($D766,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(AUTO)'!R6:R""))"),73.99)</f>
        <v>73.99</v>
      </c>
      <c r="G766" s="15">
        <f>IFERROR(__xludf.DUMMYFUNCTION("IFNA(XLOOKUP(""*""&amp;TRIM(REGEXREPLACE($D766, ""(?i)^(PT|CV)\.?\s+"", """"))&amp;""*"", 'DATA TARGET'!$C$2:$C998, 'DATA TARGET'!$D$2:$D998, ""Tidak Ditemukan"", 2), ""Tidak Ditemukan"")"),251.04)</f>
        <v>251.04</v>
      </c>
      <c r="H766" s="17">
        <f t="shared" si="1"/>
        <v>73.99</v>
      </c>
      <c r="I766" s="8"/>
    </row>
    <row r="767">
      <c r="A767" s="10" t="s">
        <v>2334</v>
      </c>
      <c r="B767" s="10" t="s">
        <v>2335</v>
      </c>
      <c r="C767" s="10" t="s">
        <v>2358</v>
      </c>
      <c r="D767" s="12" t="s">
        <v>2358</v>
      </c>
      <c r="E767" s="13" t="s">
        <v>2359</v>
      </c>
      <c r="F767" s="15">
        <f>IFERROR(__xludf.DUMMYFUNCTION("XLOOKUP($D767,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7" s="15">
        <f>IFERROR(__xludf.DUMMYFUNCTION("IFNA(XLOOKUP(""*""&amp;TRIM(REGEXREPLACE($D767, ""(?i)^(PT|CV)\.?\s+"", """"))&amp;""*"", 'DATA TARGET'!$C$2:$C998, 'DATA TARGET'!$D$2:$D998, ""Tidak Ditemukan"", 2), ""Tidak Ditemukan"")"),0.0)</f>
        <v>0</v>
      </c>
      <c r="H767" s="17">
        <f t="shared" si="1"/>
        <v>0</v>
      </c>
      <c r="I767" s="8"/>
    </row>
    <row r="768">
      <c r="A768" s="10" t="s">
        <v>2334</v>
      </c>
      <c r="B768" s="10" t="s">
        <v>2335</v>
      </c>
      <c r="C768" s="10" t="s">
        <v>2360</v>
      </c>
      <c r="D768" s="12" t="s">
        <v>2360</v>
      </c>
      <c r="E768" s="13" t="s">
        <v>2361</v>
      </c>
      <c r="F768" s="15">
        <f>IFERROR(__xludf.DUMMYFUNCTION("XLOOKUP($D768,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8" s="15">
        <f>IFERROR(__xludf.DUMMYFUNCTION("IFNA(XLOOKUP(""*""&amp;TRIM(REGEXREPLACE($D768, ""(?i)^(PT|CV)\.?\s+"", """"))&amp;""*"", 'DATA TARGET'!$C$2:$C998, 'DATA TARGET'!$D$2:$D998, ""Tidak Ditemukan"", 2), ""Tidak Ditemukan"")"),0.0)</f>
        <v>0</v>
      </c>
      <c r="H768" s="17">
        <f t="shared" si="1"/>
        <v>0</v>
      </c>
      <c r="I768" s="8"/>
    </row>
    <row r="769">
      <c r="A769" s="10" t="s">
        <v>2334</v>
      </c>
      <c r="B769" s="10" t="s">
        <v>2335</v>
      </c>
      <c r="C769" s="10" t="s">
        <v>2362</v>
      </c>
      <c r="D769" s="12" t="s">
        <v>2362</v>
      </c>
      <c r="E769" s="13" t="s">
        <v>2363</v>
      </c>
      <c r="F769" s="15">
        <f>IFERROR(__xludf.DUMMYFUNCTION("XLOOKUP($D769,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69" s="15">
        <f>IFERROR(__xludf.DUMMYFUNCTION("IFNA(XLOOKUP(""*""&amp;TRIM(REGEXREPLACE($D769, ""(?i)^(PT|CV)\.?\s+"", """"))&amp;""*"", 'DATA TARGET'!$C$2:$C998, 'DATA TARGET'!$D$2:$D998, ""Tidak Ditemukan"", 2), ""Tidak Ditemukan"")"),861.71)</f>
        <v>861.71</v>
      </c>
      <c r="H769" s="17">
        <f t="shared" si="1"/>
        <v>861.71</v>
      </c>
      <c r="I769" s="8"/>
    </row>
    <row r="770">
      <c r="A770" s="10" t="s">
        <v>2334</v>
      </c>
      <c r="B770" s="10" t="s">
        <v>2335</v>
      </c>
      <c r="C770" s="10" t="s">
        <v>2364</v>
      </c>
      <c r="D770" s="12" t="s">
        <v>2364</v>
      </c>
      <c r="E770" s="13" t="s">
        <v>2365</v>
      </c>
      <c r="F770" s="15">
        <f>IFERROR(__xludf.DUMMYFUNCTION("XLOOKUP($D770,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(AUTO)'!R6:R""))"),631.0)</f>
        <v>631</v>
      </c>
      <c r="G770" s="15" t="str">
        <f>IFERROR(__xludf.DUMMYFUNCTION("IFNA(XLOOKUP(""*""&amp;TRIM(REGEXREPLACE($D770, ""(?i)^(PT|CV)\.?\s+"", """"))&amp;""*"", 'DATA TARGET'!$C$2:$C998, 'DATA TARGET'!$D$2:$D998, ""Tidak Ditemukan"", 2), ""Tidak Ditemukan"")"),"Tidak Ditemukan")</f>
        <v>Tidak Ditemukan</v>
      </c>
      <c r="H770" s="17">
        <f t="shared" si="1"/>
        <v>631</v>
      </c>
      <c r="I770" s="8"/>
    </row>
    <row r="771">
      <c r="A771" s="10" t="s">
        <v>2334</v>
      </c>
      <c r="B771" s="10" t="s">
        <v>2335</v>
      </c>
      <c r="C771" s="10" t="s">
        <v>2366</v>
      </c>
      <c r="D771" s="12" t="s">
        <v>2366</v>
      </c>
      <c r="E771" s="13" t="s">
        <v>2367</v>
      </c>
      <c r="F771" s="15">
        <f>IFERROR(__xludf.DUMMYFUNCTION("XLOOKUP($D771,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1" s="15">
        <f>IFERROR(__xludf.DUMMYFUNCTION("IFNA(XLOOKUP(""*""&amp;TRIM(REGEXREPLACE($D771, ""(?i)^(PT|CV)\.?\s+"", """"))&amp;""*"", 'DATA TARGET'!$C$2:$C998, 'DATA TARGET'!$D$2:$D998, ""Tidak Ditemukan"", 2), ""Tidak Ditemukan"")"),0.0)</f>
        <v>0</v>
      </c>
      <c r="H771" s="17">
        <f t="shared" si="1"/>
        <v>0</v>
      </c>
      <c r="I771" s="8"/>
    </row>
    <row r="772">
      <c r="A772" s="10" t="s">
        <v>2334</v>
      </c>
      <c r="B772" s="10" t="s">
        <v>2335</v>
      </c>
      <c r="C772" s="10" t="s">
        <v>2368</v>
      </c>
      <c r="D772" s="12" t="s">
        <v>2368</v>
      </c>
      <c r="E772" s="13" t="s">
        <v>2369</v>
      </c>
      <c r="F772" s="15">
        <f>IFERROR(__xludf.DUMMYFUNCTION("XLOOKUP($D772,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2" s="15">
        <f>IFERROR(__xludf.DUMMYFUNCTION("IFNA(XLOOKUP(""*""&amp;TRIM(REGEXREPLACE($D772, ""(?i)^(PT|CV)\.?\s+"", """"))&amp;""*"", 'DATA TARGET'!$C$2:$C998, 'DATA TARGET'!$D$2:$D998, ""Tidak Ditemukan"", 2), ""Tidak Ditemukan"")"),0.0)</f>
        <v>0</v>
      </c>
      <c r="H772" s="17">
        <f t="shared" si="1"/>
        <v>0</v>
      </c>
      <c r="I772" s="8"/>
    </row>
    <row r="773">
      <c r="A773" s="10" t="s">
        <v>2334</v>
      </c>
      <c r="B773" s="10" t="s">
        <v>2335</v>
      </c>
      <c r="C773" s="10" t="s">
        <v>2370</v>
      </c>
      <c r="D773" s="12" t="s">
        <v>2370</v>
      </c>
      <c r="E773" s="13" t="s">
        <v>2371</v>
      </c>
      <c r="F773" s="15">
        <f>IFERROR(__xludf.DUMMYFUNCTION("XLOOKUP($D773,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3" s="15">
        <f>IFERROR(__xludf.DUMMYFUNCTION("IFNA(XLOOKUP(""*""&amp;TRIM(REGEXREPLACE($D773, ""(?i)^(PT|CV)\.?\s+"", """"))&amp;""*"", 'DATA TARGET'!$C$2:$C998, 'DATA TARGET'!$D$2:$D998, ""Tidak Ditemukan"", 2), ""Tidak Ditemukan"")"),46.39)</f>
        <v>46.39</v>
      </c>
      <c r="H773" s="17">
        <f t="shared" si="1"/>
        <v>46.39</v>
      </c>
      <c r="I773" s="8"/>
    </row>
    <row r="774">
      <c r="A774" s="10" t="s">
        <v>2334</v>
      </c>
      <c r="B774" s="10" t="s">
        <v>2335</v>
      </c>
      <c r="C774" s="10" t="s">
        <v>2372</v>
      </c>
      <c r="D774" s="12" t="s">
        <v>2372</v>
      </c>
      <c r="E774" s="13" t="s">
        <v>2373</v>
      </c>
      <c r="F774" s="15">
        <f>IFERROR(__xludf.DUMMYFUNCTION("XLOOKUP($D774,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4" s="15">
        <f>IFERROR(__xludf.DUMMYFUNCTION("IFNA(XLOOKUP(""*""&amp;TRIM(REGEXREPLACE($D774, ""(?i)^(PT|CV)\.?\s+"", """"))&amp;""*"", 'DATA TARGET'!$C$2:$C998, 'DATA TARGET'!$D$2:$D998, ""Tidak Ditemukan"", 2), ""Tidak Ditemukan"")"),0.0)</f>
        <v>0</v>
      </c>
      <c r="H774" s="17">
        <f t="shared" si="1"/>
        <v>0</v>
      </c>
      <c r="I774" s="8"/>
    </row>
    <row r="775">
      <c r="A775" s="10" t="s">
        <v>2334</v>
      </c>
      <c r="B775" s="10" t="s">
        <v>2335</v>
      </c>
      <c r="C775" s="10" t="s">
        <v>2374</v>
      </c>
      <c r="D775" s="12" t="s">
        <v>2374</v>
      </c>
      <c r="E775" s="13" t="s">
        <v>2375</v>
      </c>
      <c r="F775" s="15">
        <f>IFERROR(__xludf.DUMMYFUNCTION("XLOOKUP($D775,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5" s="15">
        <f>IFERROR(__xludf.DUMMYFUNCTION("IFNA(XLOOKUP(""*""&amp;TRIM(REGEXREPLACE($D775, ""(?i)^(PT|CV)\.?\s+"", """"))&amp;""*"", 'DATA TARGET'!$C$2:$C998, 'DATA TARGET'!$D$2:$D998, ""Tidak Ditemukan"", 2), ""Tidak Ditemukan"")"),0.0)</f>
        <v>0</v>
      </c>
      <c r="H775" s="17">
        <f t="shared" si="1"/>
        <v>0</v>
      </c>
      <c r="I775" s="8"/>
    </row>
    <row r="776">
      <c r="A776" s="10" t="s">
        <v>2334</v>
      </c>
      <c r="B776" s="10" t="s">
        <v>2376</v>
      </c>
      <c r="C776" s="10" t="s">
        <v>2377</v>
      </c>
      <c r="D776" s="12" t="s">
        <v>2378</v>
      </c>
      <c r="E776" s="13" t="s">
        <v>2379</v>
      </c>
      <c r="F776" s="15">
        <f>IFERROR(__xludf.DUMMYFUNCTION("XLOOKUP($D776,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(AUTO)'!R6:R""))"),162.44)</f>
        <v>162.44</v>
      </c>
      <c r="G776" s="15">
        <f>IFERROR(__xludf.DUMMYFUNCTION("IFNA(XLOOKUP(""*""&amp;TRIM(REGEXREPLACE($D776, ""(?i)^(PT|CV)\.?\s+"", """"))&amp;""*"", 'DATA TARGET'!$C$2:$C998, 'DATA TARGET'!$D$2:$D998, ""Tidak Ditemukan"", 2), ""Tidak Ditemukan"")"),162.44)</f>
        <v>162.44</v>
      </c>
      <c r="H776" s="17">
        <f t="shared" si="1"/>
        <v>162.44</v>
      </c>
      <c r="I776" s="8"/>
    </row>
    <row r="777">
      <c r="A777" s="10" t="s">
        <v>2334</v>
      </c>
      <c r="B777" s="10" t="s">
        <v>2376</v>
      </c>
      <c r="C777" s="10" t="s">
        <v>2380</v>
      </c>
      <c r="D777" s="12" t="s">
        <v>2380</v>
      </c>
      <c r="E777" s="13" t="s">
        <v>2381</v>
      </c>
      <c r="F777" s="15">
        <f>IFERROR(__xludf.DUMMYFUNCTION("XLOOKUP($D777,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7" s="15">
        <f>IFERROR(__xludf.DUMMYFUNCTION("IFNA(XLOOKUP(""*""&amp;TRIM(REGEXREPLACE($D777, ""(?i)^(PT|CV)\.?\s+"", """"))&amp;""*"", 'DATA TARGET'!$C$2:$C998, 'DATA TARGET'!$D$2:$D998, ""Tidak Ditemukan"", 2), ""Tidak Ditemukan"")"),0.0)</f>
        <v>0</v>
      </c>
      <c r="H777" s="17">
        <f t="shared" si="1"/>
        <v>0</v>
      </c>
      <c r="I777" s="8"/>
    </row>
    <row r="778">
      <c r="A778" s="10" t="s">
        <v>2334</v>
      </c>
      <c r="B778" s="10" t="s">
        <v>2376</v>
      </c>
      <c r="C778" s="10" t="s">
        <v>2382</v>
      </c>
      <c r="D778" s="12" t="s">
        <v>2382</v>
      </c>
      <c r="E778" s="13" t="s">
        <v>2383</v>
      </c>
      <c r="F778" s="15">
        <f>IFERROR(__xludf.DUMMYFUNCTION("XLOOKUP($D778,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(AUTO)'!R6:R""))"),2.78)</f>
        <v>2.78</v>
      </c>
      <c r="G778" s="15">
        <f>IFERROR(__xludf.DUMMYFUNCTION("IFNA(XLOOKUP(""*""&amp;TRIM(REGEXREPLACE($D778, ""(?i)^(PT|CV)\.?\s+"", """"))&amp;""*"", 'DATA TARGET'!$C$2:$C998, 'DATA TARGET'!$D$2:$D998, ""Tidak Ditemukan"", 2), ""Tidak Ditemukan"")"),2.74)</f>
        <v>2.74</v>
      </c>
      <c r="H778" s="17">
        <f t="shared" si="1"/>
        <v>2.78</v>
      </c>
      <c r="I778" s="8"/>
    </row>
    <row r="779">
      <c r="A779" s="10" t="s">
        <v>2334</v>
      </c>
      <c r="B779" s="10" t="s">
        <v>2376</v>
      </c>
      <c r="C779" s="10" t="s">
        <v>2384</v>
      </c>
      <c r="D779" s="12" t="s">
        <v>2384</v>
      </c>
      <c r="E779" s="13" t="s">
        <v>2385</v>
      </c>
      <c r="F779" s="15">
        <f>IFERROR(__xludf.DUMMYFUNCTION("XLOOKUP($D779,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79" s="15">
        <f>IFERROR(__xludf.DUMMYFUNCTION("IFNA(XLOOKUP(""*""&amp;TRIM(REGEXREPLACE($D779, ""(?i)^(PT|CV)\.?\s+"", """"))&amp;""*"", 'DATA TARGET'!$C$2:$C998, 'DATA TARGET'!$D$2:$D998, ""Tidak Ditemukan"", 2), ""Tidak Ditemukan"")"),0.0)</f>
        <v>0</v>
      </c>
      <c r="H779" s="17">
        <f t="shared" si="1"/>
        <v>0</v>
      </c>
      <c r="I779" s="8"/>
    </row>
    <row r="780">
      <c r="A780" s="10" t="s">
        <v>2334</v>
      </c>
      <c r="B780" s="10" t="s">
        <v>2376</v>
      </c>
      <c r="C780" s="10" t="s">
        <v>2386</v>
      </c>
      <c r="D780" s="12" t="s">
        <v>2386</v>
      </c>
      <c r="E780" s="13" t="s">
        <v>2387</v>
      </c>
      <c r="F780" s="15">
        <f>IFERROR(__xludf.DUMMYFUNCTION("XLOOKUP($D780,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(AUTO)'!R6:R""))"),110.05)</f>
        <v>110.05</v>
      </c>
      <c r="G780" s="15">
        <f>IFERROR(__xludf.DUMMYFUNCTION("IFNA(XLOOKUP(""*""&amp;TRIM(REGEXREPLACE($D780, ""(?i)^(PT|CV)\.?\s+"", """"))&amp;""*"", 'DATA TARGET'!$C$2:$C998, 'DATA TARGET'!$D$2:$D998, ""Tidak Ditemukan"", 2), ""Tidak Ditemukan"")"),110.05)</f>
        <v>110.05</v>
      </c>
      <c r="H780" s="17">
        <f t="shared" si="1"/>
        <v>110.05</v>
      </c>
      <c r="I780" s="8"/>
    </row>
    <row r="781">
      <c r="A781" s="10" t="s">
        <v>2334</v>
      </c>
      <c r="B781" s="10" t="s">
        <v>2376</v>
      </c>
      <c r="C781" s="10" t="s">
        <v>2388</v>
      </c>
      <c r="D781" s="12" t="s">
        <v>2388</v>
      </c>
      <c r="E781" s="13" t="s">
        <v>2389</v>
      </c>
      <c r="F781" s="15" t="str">
        <f>IFERROR(__xludf.DUMMYFUNCTION("XLOOKUP($D781,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(AUTO)'!R6:R""))"),"767.87")</f>
        <v>767.87</v>
      </c>
      <c r="G781" s="15">
        <f>IFERROR(__xludf.DUMMYFUNCTION("IFNA(XLOOKUP(""*""&amp;TRIM(REGEXREPLACE($D781, ""(?i)^(PT|CV)\.?\s+"", """"))&amp;""*"", 'DATA TARGET'!$C$2:$C998, 'DATA TARGET'!$D$2:$D998, ""Tidak Ditemukan"", 2), ""Tidak Ditemukan"")"),767.87)</f>
        <v>767.87</v>
      </c>
      <c r="H781" s="17" t="str">
        <f t="shared" si="1"/>
        <v>767.87</v>
      </c>
      <c r="I781" s="8"/>
    </row>
    <row r="782">
      <c r="A782" s="10" t="s">
        <v>2334</v>
      </c>
      <c r="B782" s="10" t="s">
        <v>2376</v>
      </c>
      <c r="C782" s="10" t="s">
        <v>2390</v>
      </c>
      <c r="D782" s="12" t="s">
        <v>2391</v>
      </c>
      <c r="E782" s="13" t="s">
        <v>2392</v>
      </c>
      <c r="F782" s="15">
        <f>IFERROR(__xludf.DUMMYFUNCTION("XLOOKUP($D782,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(AUTO)'!R6:R""))"),500.0)</f>
        <v>500</v>
      </c>
      <c r="G782" s="15" t="str">
        <f>IFERROR(__xludf.DUMMYFUNCTION("IFNA(XLOOKUP(""*""&amp;TRIM(REGEXREPLACE($D782, ""(?i)^(PT|CV)\.?\s+"", """"))&amp;""*"", 'DATA TARGET'!$C$2:$C998, 'DATA TARGET'!$D$2:$D998, ""Tidak Ditemukan"", 2), ""Tidak Ditemukan"")"),"Tidak Ditemukan")</f>
        <v>Tidak Ditemukan</v>
      </c>
      <c r="H782" s="17">
        <f t="shared" si="1"/>
        <v>500</v>
      </c>
      <c r="I782" s="8"/>
    </row>
    <row r="783">
      <c r="A783" s="10" t="s">
        <v>2334</v>
      </c>
      <c r="B783" s="10" t="s">
        <v>2376</v>
      </c>
      <c r="C783" s="10" t="s">
        <v>2393</v>
      </c>
      <c r="D783" s="12" t="s">
        <v>2393</v>
      </c>
      <c r="E783" s="13" t="s">
        <v>2394</v>
      </c>
      <c r="F783" s="15">
        <f>IFERROR(__xludf.DUMMYFUNCTION("XLOOKUP($D783,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83" s="15">
        <f>IFERROR(__xludf.DUMMYFUNCTION("IFNA(XLOOKUP(""*""&amp;TRIM(REGEXREPLACE($D783, ""(?i)^(PT|CV)\.?\s+"", """"))&amp;""*"", 'DATA TARGET'!$C$2:$C998, 'DATA TARGET'!$D$2:$D998, ""Tidak Ditemukan"", 2), ""Tidak Ditemukan"")"),0.0)</f>
        <v>0</v>
      </c>
      <c r="H783" s="17">
        <f t="shared" si="1"/>
        <v>0</v>
      </c>
      <c r="I783" s="8"/>
    </row>
    <row r="784">
      <c r="A784" s="10" t="s">
        <v>2334</v>
      </c>
      <c r="B784" s="10" t="s">
        <v>2376</v>
      </c>
      <c r="C784" s="10" t="s">
        <v>2395</v>
      </c>
      <c r="D784" s="12" t="s">
        <v>2395</v>
      </c>
      <c r="E784" s="13" t="s">
        <v>2396</v>
      </c>
      <c r="F784" s="15">
        <f>IFERROR(__xludf.DUMMYFUNCTION("XLOOKUP($D784,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84" s="15">
        <f>IFERROR(__xludf.DUMMYFUNCTION("IFNA(XLOOKUP(""*""&amp;TRIM(REGEXREPLACE($D784, ""(?i)^(PT|CV)\.?\s+"", """"))&amp;""*"", 'DATA TARGET'!$C$2:$C998, 'DATA TARGET'!$D$2:$D998, ""Tidak Ditemukan"", 2), ""Tidak Ditemukan"")"),0.0)</f>
        <v>0</v>
      </c>
      <c r="H784" s="17">
        <f t="shared" si="1"/>
        <v>0</v>
      </c>
      <c r="I784" s="8"/>
    </row>
    <row r="785">
      <c r="A785" s="10" t="s">
        <v>2334</v>
      </c>
      <c r="B785" s="10" t="s">
        <v>2376</v>
      </c>
      <c r="C785" s="10" t="s">
        <v>1815</v>
      </c>
      <c r="D785" s="12" t="s">
        <v>1815</v>
      </c>
      <c r="E785" s="13" t="s">
        <v>2397</v>
      </c>
      <c r="F785" s="15">
        <f>IFERROR(__xludf.DUMMYFUNCTION("XLOOKUP($D785,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(AUTO)'!R6:R""))"),0.0)</f>
        <v>0</v>
      </c>
      <c r="G785" s="15">
        <f>IFERROR(__xludf.DUMMYFUNCTION("IFNA(XLOOKUP(""*""&amp;TRIM(REGEXREPLACE($D785, ""(?i)^(PT|CV)\.?\s+"", """"))&amp;""*"", 'DATA TARGET'!$C$2:$C998, 'DATA TARGET'!$D$2:$D998, ""Tidak Ditemukan"", 2), ""Tidak Ditemukan"")"),1101.36)</f>
        <v>1101.36</v>
      </c>
      <c r="H785" s="17">
        <f t="shared" si="1"/>
        <v>1101.36</v>
      </c>
      <c r="I785" s="8"/>
    </row>
    <row r="786">
      <c r="A786" s="10" t="s">
        <v>2398</v>
      </c>
      <c r="B786" s="10" t="s">
        <v>2399</v>
      </c>
      <c r="C786" s="10" t="s">
        <v>2400</v>
      </c>
      <c r="D786" s="12" t="s">
        <v>2400</v>
      </c>
      <c r="E786" s="13" t="s">
        <v>2401</v>
      </c>
      <c r="F786" s="15" t="str">
        <f>IFERROR(__xludf.DUMMYFUNCTION("XLOOKUP($D786,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86" s="15" t="str">
        <f>IFERROR(__xludf.DUMMYFUNCTION("IFNA(XLOOKUP(""*""&amp;TRIM(REGEXREPLACE($D786, ""(?i)^(PT|CV)\.?\s+"", """"))&amp;""*"", 'DATA TARGET'!$C$2:$C998, 'DATA TARGET'!$D$2:$D998, ""Tidak Ditemukan"", 2), ""Tidak Ditemukan"")"),"Tidak Ditemukan")</f>
        <v>Tidak Ditemukan</v>
      </c>
      <c r="H786" s="17" t="str">
        <f t="shared" si="1"/>
        <v>Tidak Ditemukan</v>
      </c>
      <c r="I786" s="8"/>
    </row>
    <row r="787">
      <c r="A787" s="10" t="s">
        <v>2398</v>
      </c>
      <c r="B787" s="10" t="s">
        <v>2399</v>
      </c>
      <c r="C787" s="10" t="s">
        <v>2402</v>
      </c>
      <c r="D787" s="12" t="s">
        <v>2402</v>
      </c>
      <c r="E787" s="13" t="s">
        <v>2403</v>
      </c>
      <c r="F787" s="15" t="str">
        <f>IFERROR(__xludf.DUMMYFUNCTION("XLOOKUP($D787,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87" s="15" t="str">
        <f>IFERROR(__xludf.DUMMYFUNCTION("IFNA(XLOOKUP(""*""&amp;TRIM(REGEXREPLACE($D787, ""(?i)^(PT|CV)\.?\s+"", """"))&amp;""*"", 'DATA TARGET'!$C$2:$C998, 'DATA TARGET'!$D$2:$D998, ""Tidak Ditemukan"", 2), ""Tidak Ditemukan"")"),"Tidak Ditemukan")</f>
        <v>Tidak Ditemukan</v>
      </c>
      <c r="H787" s="17" t="str">
        <f t="shared" si="1"/>
        <v>Tidak Ditemukan</v>
      </c>
      <c r="I787" s="8"/>
    </row>
    <row r="788">
      <c r="A788" s="10" t="s">
        <v>2398</v>
      </c>
      <c r="B788" s="10" t="s">
        <v>2399</v>
      </c>
      <c r="C788" s="10" t="s">
        <v>2404</v>
      </c>
      <c r="D788" s="12" t="s">
        <v>2404</v>
      </c>
      <c r="E788" s="13" t="s">
        <v>2405</v>
      </c>
      <c r="F788" s="15" t="str">
        <f>IFERROR(__xludf.DUMMYFUNCTION("XLOOKUP($D788,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88" s="15" t="str">
        <f>IFERROR(__xludf.DUMMYFUNCTION("IFNA(XLOOKUP(""*""&amp;TRIM(REGEXREPLACE($D788, ""(?i)^(PT|CV)\.?\s+"", """"))&amp;""*"", 'DATA TARGET'!$C$2:$C998, 'DATA TARGET'!$D$2:$D998, ""Tidak Ditemukan"", 2), ""Tidak Ditemukan"")"),"Tidak Ditemukan")</f>
        <v>Tidak Ditemukan</v>
      </c>
      <c r="H788" s="17" t="str">
        <f t="shared" si="1"/>
        <v>Tidak Ditemukan</v>
      </c>
      <c r="I788" s="8"/>
    </row>
    <row r="789">
      <c r="A789" s="10" t="s">
        <v>2398</v>
      </c>
      <c r="B789" s="10" t="s">
        <v>2399</v>
      </c>
      <c r="C789" s="10" t="s">
        <v>2406</v>
      </c>
      <c r="D789" s="12" t="s">
        <v>2406</v>
      </c>
      <c r="E789" s="13" t="s">
        <v>2407</v>
      </c>
      <c r="F789" s="15" t="str">
        <f>IFERROR(__xludf.DUMMYFUNCTION("XLOOKUP($D789,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89" s="15" t="str">
        <f>IFERROR(__xludf.DUMMYFUNCTION("IFNA(XLOOKUP(""*""&amp;TRIM(REGEXREPLACE($D789, ""(?i)^(PT|CV)\.?\s+"", """"))&amp;""*"", 'DATA TARGET'!$C$2:$C998, 'DATA TARGET'!$D$2:$D998, ""Tidak Ditemukan"", 2), ""Tidak Ditemukan"")"),"Tidak Ditemukan")</f>
        <v>Tidak Ditemukan</v>
      </c>
      <c r="H789" s="17" t="str">
        <f t="shared" si="1"/>
        <v>Tidak Ditemukan</v>
      </c>
      <c r="I789" s="8"/>
    </row>
    <row r="790">
      <c r="A790" s="10" t="s">
        <v>2398</v>
      </c>
      <c r="B790" s="10" t="s">
        <v>2399</v>
      </c>
      <c r="C790" s="10" t="s">
        <v>2408</v>
      </c>
      <c r="D790" s="12" t="s">
        <v>2408</v>
      </c>
      <c r="E790" s="13" t="s">
        <v>2409</v>
      </c>
      <c r="F790" s="15" t="str">
        <f>IFERROR(__xludf.DUMMYFUNCTION("XLOOKUP($D790,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0" s="15" t="str">
        <f>IFERROR(__xludf.DUMMYFUNCTION("IFNA(XLOOKUP(""*""&amp;TRIM(REGEXREPLACE($D790, ""(?i)^(PT|CV)\.?\s+"", """"))&amp;""*"", 'DATA TARGET'!$C$2:$C998, 'DATA TARGET'!$D$2:$D998, ""Tidak Ditemukan"", 2), ""Tidak Ditemukan"")"),"Tidak Ditemukan")</f>
        <v>Tidak Ditemukan</v>
      </c>
      <c r="H790" s="17" t="str">
        <f t="shared" si="1"/>
        <v>Tidak Ditemukan</v>
      </c>
      <c r="I790" s="8"/>
    </row>
    <row r="791">
      <c r="A791" s="10" t="s">
        <v>2398</v>
      </c>
      <c r="B791" s="10" t="s">
        <v>2399</v>
      </c>
      <c r="C791" s="10" t="s">
        <v>2410</v>
      </c>
      <c r="D791" s="12" t="s">
        <v>2410</v>
      </c>
      <c r="E791" s="13" t="s">
        <v>2411</v>
      </c>
      <c r="F791" s="15" t="str">
        <f>IFERROR(__xludf.DUMMYFUNCTION("XLOOKUP($D791,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1" s="15" t="str">
        <f>IFERROR(__xludf.DUMMYFUNCTION("IFNA(XLOOKUP(""*""&amp;TRIM(REGEXREPLACE($D791, ""(?i)^(PT|CV)\.?\s+"", """"))&amp;""*"", 'DATA TARGET'!$C$2:$C998, 'DATA TARGET'!$D$2:$D998, ""Tidak Ditemukan"", 2), ""Tidak Ditemukan"")"),"Tidak Ditemukan")</f>
        <v>Tidak Ditemukan</v>
      </c>
      <c r="H791" s="17" t="str">
        <f t="shared" si="1"/>
        <v>Tidak Ditemukan</v>
      </c>
      <c r="I791" s="8"/>
    </row>
    <row r="792">
      <c r="A792" s="10" t="s">
        <v>2398</v>
      </c>
      <c r="B792" s="10" t="s">
        <v>2399</v>
      </c>
      <c r="C792" s="10" t="s">
        <v>2412</v>
      </c>
      <c r="D792" s="12" t="s">
        <v>2412</v>
      </c>
      <c r="E792" s="13" t="s">
        <v>2413</v>
      </c>
      <c r="F792" s="15" t="str">
        <f>IFERROR(__xludf.DUMMYFUNCTION("XLOOKUP($D792,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2" s="15" t="str">
        <f>IFERROR(__xludf.DUMMYFUNCTION("IFNA(XLOOKUP(""*""&amp;TRIM(REGEXREPLACE($D792, ""(?i)^(PT|CV)\.?\s+"", """"))&amp;""*"", 'DATA TARGET'!$C$2:$C998, 'DATA TARGET'!$D$2:$D998, ""Tidak Ditemukan"", 2), ""Tidak Ditemukan"")"),"Tidak Ditemukan")</f>
        <v>Tidak Ditemukan</v>
      </c>
      <c r="H792" s="17" t="str">
        <f t="shared" si="1"/>
        <v>Tidak Ditemukan</v>
      </c>
      <c r="I792" s="8"/>
    </row>
    <row r="793">
      <c r="A793" s="10" t="s">
        <v>2398</v>
      </c>
      <c r="B793" s="10" t="s">
        <v>2399</v>
      </c>
      <c r="C793" s="10" t="s">
        <v>2414</v>
      </c>
      <c r="D793" s="12" t="s">
        <v>2414</v>
      </c>
      <c r="E793" s="13" t="s">
        <v>2415</v>
      </c>
      <c r="F793" s="15" t="str">
        <f>IFERROR(__xludf.DUMMYFUNCTION("XLOOKUP($D793,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3" s="15" t="str">
        <f>IFERROR(__xludf.DUMMYFUNCTION("IFNA(XLOOKUP(""*""&amp;TRIM(REGEXREPLACE($D793, ""(?i)^(PT|CV)\.?\s+"", """"))&amp;""*"", 'DATA TARGET'!$C$2:$C998, 'DATA TARGET'!$D$2:$D998, ""Tidak Ditemukan"", 2), ""Tidak Ditemukan"")"),"Tidak Ditemukan")</f>
        <v>Tidak Ditemukan</v>
      </c>
      <c r="H793" s="17" t="str">
        <f t="shared" si="1"/>
        <v>Tidak Ditemukan</v>
      </c>
      <c r="I793" s="8"/>
    </row>
    <row r="794">
      <c r="A794" s="10" t="s">
        <v>2398</v>
      </c>
      <c r="B794" s="10" t="s">
        <v>2399</v>
      </c>
      <c r="C794" s="10" t="s">
        <v>2416</v>
      </c>
      <c r="D794" s="12" t="s">
        <v>2416</v>
      </c>
      <c r="E794" s="13" t="s">
        <v>2417</v>
      </c>
      <c r="F794" s="15" t="str">
        <f>IFERROR(__xludf.DUMMYFUNCTION("XLOOKUP($D794,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4" s="15" t="str">
        <f>IFERROR(__xludf.DUMMYFUNCTION("IFNA(XLOOKUP(""*""&amp;TRIM(REGEXREPLACE($D794, ""(?i)^(PT|CV)\.?\s+"", """"))&amp;""*"", 'DATA TARGET'!$C$2:$C998, 'DATA TARGET'!$D$2:$D998, ""Tidak Ditemukan"", 2), ""Tidak Ditemukan"")"),"Tidak Ditemukan")</f>
        <v>Tidak Ditemukan</v>
      </c>
      <c r="H794" s="17" t="str">
        <f t="shared" si="1"/>
        <v>Tidak Ditemukan</v>
      </c>
      <c r="I794" s="8"/>
    </row>
    <row r="795">
      <c r="A795" s="10" t="s">
        <v>2398</v>
      </c>
      <c r="B795" s="10" t="s">
        <v>2399</v>
      </c>
      <c r="C795" s="10" t="s">
        <v>2418</v>
      </c>
      <c r="D795" s="12" t="s">
        <v>2418</v>
      </c>
      <c r="E795" s="13" t="s">
        <v>2419</v>
      </c>
      <c r="F795" s="15" t="str">
        <f>IFERROR(__xludf.DUMMYFUNCTION("XLOOKUP($D795,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5" s="15" t="str">
        <f>IFERROR(__xludf.DUMMYFUNCTION("IFNA(XLOOKUP(""*""&amp;TRIM(REGEXREPLACE($D795, ""(?i)^(PT|CV)\.?\s+"", """"))&amp;""*"", 'DATA TARGET'!$C$2:$C998, 'DATA TARGET'!$D$2:$D998, ""Tidak Ditemukan"", 2), ""Tidak Ditemukan"")"),"Tidak Ditemukan")</f>
        <v>Tidak Ditemukan</v>
      </c>
      <c r="H795" s="17" t="str">
        <f t="shared" si="1"/>
        <v>Tidak Ditemukan</v>
      </c>
      <c r="I795" s="8"/>
    </row>
    <row r="796">
      <c r="A796" s="10" t="s">
        <v>2398</v>
      </c>
      <c r="B796" s="10" t="s">
        <v>2399</v>
      </c>
      <c r="C796" s="10" t="s">
        <v>2420</v>
      </c>
      <c r="D796" s="12" t="s">
        <v>2420</v>
      </c>
      <c r="E796" s="13" t="s">
        <v>2421</v>
      </c>
      <c r="F796" s="15" t="str">
        <f>IFERROR(__xludf.DUMMYFUNCTION("XLOOKUP($D796,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6" s="15" t="str">
        <f>IFERROR(__xludf.DUMMYFUNCTION("IFNA(XLOOKUP(""*""&amp;TRIM(REGEXREPLACE($D796, ""(?i)^(PT|CV)\.?\s+"", """"))&amp;""*"", 'DATA TARGET'!$C$2:$C998, 'DATA TARGET'!$D$2:$D998, ""Tidak Ditemukan"", 2), ""Tidak Ditemukan"")"),"Tidak Ditemukan")</f>
        <v>Tidak Ditemukan</v>
      </c>
      <c r="H796" s="17" t="str">
        <f t="shared" si="1"/>
        <v>Tidak Ditemukan</v>
      </c>
      <c r="I796" s="8"/>
    </row>
    <row r="797">
      <c r="A797" s="10" t="s">
        <v>2398</v>
      </c>
      <c r="B797" s="10" t="s">
        <v>2399</v>
      </c>
      <c r="C797" s="10" t="s">
        <v>2422</v>
      </c>
      <c r="D797" s="12" t="s">
        <v>2422</v>
      </c>
      <c r="E797" s="13" t="s">
        <v>2423</v>
      </c>
      <c r="F797" s="15" t="str">
        <f>IFERROR(__xludf.DUMMYFUNCTION("XLOOKUP($D797,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7" s="15" t="str">
        <f>IFERROR(__xludf.DUMMYFUNCTION("IFNA(XLOOKUP(""*""&amp;TRIM(REGEXREPLACE($D797, ""(?i)^(PT|CV)\.?\s+"", """"))&amp;""*"", 'DATA TARGET'!$C$2:$C998, 'DATA TARGET'!$D$2:$D998, ""Tidak Ditemukan"", 2), ""Tidak Ditemukan"")"),"Tidak Ditemukan")</f>
        <v>Tidak Ditemukan</v>
      </c>
      <c r="H797" s="17" t="str">
        <f t="shared" si="1"/>
        <v>Tidak Ditemukan</v>
      </c>
      <c r="I797" s="8"/>
    </row>
    <row r="798">
      <c r="A798" s="10" t="s">
        <v>2398</v>
      </c>
      <c r="B798" s="10" t="s">
        <v>2399</v>
      </c>
      <c r="C798" s="10" t="s">
        <v>2424</v>
      </c>
      <c r="D798" s="12" t="s">
        <v>2424</v>
      </c>
      <c r="E798" s="13" t="s">
        <v>2425</v>
      </c>
      <c r="F798" s="15" t="str">
        <f>IFERROR(__xludf.DUMMYFUNCTION("XLOOKUP($D798,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8" s="15" t="str">
        <f>IFERROR(__xludf.DUMMYFUNCTION("IFNA(XLOOKUP(""*""&amp;TRIM(REGEXREPLACE($D798, ""(?i)^(PT|CV)\.?\s+"", """"))&amp;""*"", 'DATA TARGET'!$C$2:$C998, 'DATA TARGET'!$D$2:$D998, ""Tidak Ditemukan"", 2), ""Tidak Ditemukan"")"),"Tidak Ditemukan")</f>
        <v>Tidak Ditemukan</v>
      </c>
      <c r="H798" s="17" t="str">
        <f t="shared" si="1"/>
        <v>Tidak Ditemukan</v>
      </c>
      <c r="I798" s="8"/>
    </row>
    <row r="799">
      <c r="A799" s="10" t="s">
        <v>2398</v>
      </c>
      <c r="B799" s="10" t="s">
        <v>2399</v>
      </c>
      <c r="C799" s="10" t="s">
        <v>2426</v>
      </c>
      <c r="D799" s="12" t="s">
        <v>2426</v>
      </c>
      <c r="E799" s="13" t="s">
        <v>2427</v>
      </c>
      <c r="F799" s="15" t="str">
        <f>IFERROR(__xludf.DUMMYFUNCTION("XLOOKUP($D799,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799" s="15" t="str">
        <f>IFERROR(__xludf.DUMMYFUNCTION("IFNA(XLOOKUP(""*""&amp;TRIM(REGEXREPLACE($D799, ""(?i)^(PT|CV)\.?\s+"", """"))&amp;""*"", 'DATA TARGET'!$C$2:$C998, 'DATA TARGET'!$D$2:$D998, ""Tidak Ditemukan"", 2), ""Tidak Ditemukan"")"),"Tidak Ditemukan")</f>
        <v>Tidak Ditemukan</v>
      </c>
      <c r="H799" s="17" t="str">
        <f t="shared" si="1"/>
        <v>Tidak Ditemukan</v>
      </c>
      <c r="I799" s="8"/>
    </row>
    <row r="800">
      <c r="A800" s="10" t="s">
        <v>2398</v>
      </c>
      <c r="B800" s="10" t="s">
        <v>2399</v>
      </c>
      <c r="C800" s="10" t="s">
        <v>2428</v>
      </c>
      <c r="D800" s="12" t="s">
        <v>2428</v>
      </c>
      <c r="E800" s="13" t="s">
        <v>2429</v>
      </c>
      <c r="F800" s="15" t="str">
        <f>IFERROR(__xludf.DUMMYFUNCTION("XLOOKUP($D800,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800" s="15" t="str">
        <f>IFERROR(__xludf.DUMMYFUNCTION("IFNA(XLOOKUP(""*""&amp;TRIM(REGEXREPLACE($D800, ""(?i)^(PT|CV)\.?\s+"", """"))&amp;""*"", 'DATA TARGET'!$C$2:$C998, 'DATA TARGET'!$D$2:$D998, ""Tidak Ditemukan"", 2), ""Tidak Ditemukan"")"),"Tidak Ditemukan")</f>
        <v>Tidak Ditemukan</v>
      </c>
      <c r="H800" s="17" t="str">
        <f t="shared" si="1"/>
        <v>Tidak Ditemukan</v>
      </c>
      <c r="I800" s="8"/>
    </row>
    <row r="801">
      <c r="A801" s="10" t="s">
        <v>2398</v>
      </c>
      <c r="B801" s="10" t="s">
        <v>2399</v>
      </c>
      <c r="C801" s="10" t="s">
        <v>2430</v>
      </c>
      <c r="D801" s="12" t="s">
        <v>2430</v>
      </c>
      <c r="E801" s="13" t="s">
        <v>2431</v>
      </c>
      <c r="F801" s="15" t="str">
        <f>IFERROR(__xludf.DUMMYFUNCTION("XLOOKUP($D801, IMPORTRANGE(""https://docs.google.com/spreadsheets/d/1RJrFMGUC-XijmB6MWr0bUJNzuN7BM1j8R_D0vOt0s8I/edit?usp=sharing"", ""'Master Data TK V0.2 (AUTO)'!F6:F""), IMPORTRANGE(""https://docs.google.com/spreadsheets/d/1RJrFMGUC-XijmB6MWr0bUJNzuN7B"&amp;"M1j8R_D0vOt0s8I/edit?usp=sharing"", ""'Master Data TK V0.2 (AUTO)'!R6:R""))"),"")</f>
        <v/>
      </c>
      <c r="G801" s="15" t="str">
        <f>IFERROR(__xludf.DUMMYFUNCTION("IFNA(XLOOKUP(""*""&amp;TRIM(REGEXREPLACE($D801, ""(?i)^(PT|CV)\.?\s+"", """"))&amp;""*"", 'DATA TARGET'!$C$2:$C998, 'DATA TARGET'!$D$2:$D998, ""Tidak Ditemukan"", 2), ""Tidak Ditemukan"")"),"Tidak Ditemukan")</f>
        <v>Tidak Ditemukan</v>
      </c>
      <c r="H801" s="17" t="str">
        <f t="shared" si="1"/>
        <v>Tidak Ditemukan</v>
      </c>
      <c r="I801" s="8"/>
    </row>
    <row r="802">
      <c r="A802" s="8"/>
      <c r="B802" s="8"/>
      <c r="C802" s="8"/>
      <c r="D802" s="8"/>
      <c r="E802" s="8"/>
      <c r="F802" s="8"/>
      <c r="G802" s="8"/>
      <c r="H802" s="22">
        <f>SUM(H2:H801)</f>
        <v>431238.76</v>
      </c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88"/>
    <col customWidth="1" min="3" max="3" width="71.38"/>
    <col customWidth="1" min="4" max="4" width="12.0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1" t="s">
        <v>17</v>
      </c>
      <c r="B2" s="11" t="s">
        <v>19</v>
      </c>
      <c r="C2" s="11" t="s">
        <v>21</v>
      </c>
      <c r="D2" s="14">
        <v>69.57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1" t="s">
        <v>17</v>
      </c>
      <c r="B3" s="11" t="s">
        <v>19</v>
      </c>
      <c r="C3" s="11" t="s">
        <v>22</v>
      </c>
      <c r="D3" s="14">
        <v>22.0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1" t="s">
        <v>17</v>
      </c>
      <c r="B4" s="11" t="s">
        <v>19</v>
      </c>
      <c r="C4" s="11" t="s">
        <v>23</v>
      </c>
      <c r="D4" s="14">
        <v>346.2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1" t="s">
        <v>17</v>
      </c>
      <c r="B5" s="11" t="s">
        <v>19</v>
      </c>
      <c r="C5" s="11" t="s">
        <v>24</v>
      </c>
      <c r="D5" s="14">
        <v>77.89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1" t="s">
        <v>17</v>
      </c>
      <c r="B6" s="11" t="s">
        <v>19</v>
      </c>
      <c r="C6" s="11" t="s">
        <v>25</v>
      </c>
      <c r="D6" s="14">
        <v>155.07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1" t="s">
        <v>17</v>
      </c>
      <c r="B7" s="11" t="s">
        <v>19</v>
      </c>
      <c r="C7" s="11" t="s">
        <v>26</v>
      </c>
      <c r="D7" s="14">
        <v>60.54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1" t="s">
        <v>17</v>
      </c>
      <c r="B8" s="11" t="s">
        <v>19</v>
      </c>
      <c r="C8" s="11" t="s">
        <v>27</v>
      </c>
      <c r="D8" s="14">
        <v>15.51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1" t="s">
        <v>17</v>
      </c>
      <c r="B9" s="11" t="s">
        <v>19</v>
      </c>
      <c r="C9" s="11" t="s">
        <v>30</v>
      </c>
      <c r="D9" s="14">
        <v>510.39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1" t="s">
        <v>17</v>
      </c>
      <c r="B10" s="11" t="s">
        <v>31</v>
      </c>
      <c r="C10" s="11" t="s">
        <v>32</v>
      </c>
      <c r="D10" s="14">
        <v>1.59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1" t="s">
        <v>17</v>
      </c>
      <c r="B11" s="11" t="s">
        <v>31</v>
      </c>
      <c r="C11" s="11" t="s">
        <v>35</v>
      </c>
      <c r="D11" s="14">
        <v>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1" t="s">
        <v>17</v>
      </c>
      <c r="B12" s="11" t="s">
        <v>31</v>
      </c>
      <c r="C12" s="11" t="s">
        <v>37</v>
      </c>
      <c r="D12" s="14">
        <v>4322.38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1" t="s">
        <v>17</v>
      </c>
      <c r="B13" s="11" t="s">
        <v>31</v>
      </c>
      <c r="C13" s="11" t="s">
        <v>40</v>
      </c>
      <c r="D13" s="14">
        <v>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1" t="s">
        <v>17</v>
      </c>
      <c r="B14" s="11" t="s">
        <v>31</v>
      </c>
      <c r="C14" s="11" t="s">
        <v>42</v>
      </c>
      <c r="D14" s="14">
        <v>786.0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1" t="s">
        <v>17</v>
      </c>
      <c r="B15" s="11" t="s">
        <v>31</v>
      </c>
      <c r="C15" s="11" t="s">
        <v>45</v>
      </c>
      <c r="D15" s="14">
        <v>0.0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1" t="s">
        <v>17</v>
      </c>
      <c r="B16" s="11" t="s">
        <v>31</v>
      </c>
      <c r="C16" s="11" t="s">
        <v>46</v>
      </c>
      <c r="D16" s="14">
        <v>0.0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1" t="s">
        <v>17</v>
      </c>
      <c r="B17" s="11" t="s">
        <v>31</v>
      </c>
      <c r="C17" s="11" t="s">
        <v>49</v>
      </c>
      <c r="D17" s="14">
        <v>0.0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1" t="s">
        <v>17</v>
      </c>
      <c r="B18" s="11" t="s">
        <v>31</v>
      </c>
      <c r="C18" s="11" t="s">
        <v>50</v>
      </c>
      <c r="D18" s="14">
        <v>233.62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1" t="s">
        <v>17</v>
      </c>
      <c r="B19" s="11" t="s">
        <v>31</v>
      </c>
      <c r="C19" s="11" t="s">
        <v>51</v>
      </c>
      <c r="D19" s="14">
        <v>106.2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1" t="s">
        <v>17</v>
      </c>
      <c r="B20" s="11" t="s">
        <v>31</v>
      </c>
      <c r="C20" s="11" t="s">
        <v>53</v>
      </c>
      <c r="D20" s="14">
        <v>0.0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1" t="s">
        <v>17</v>
      </c>
      <c r="B21" s="11" t="s">
        <v>31</v>
      </c>
      <c r="C21" s="11" t="s">
        <v>58</v>
      </c>
      <c r="D21" s="14">
        <v>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1" t="s">
        <v>17</v>
      </c>
      <c r="B22" s="11" t="s">
        <v>31</v>
      </c>
      <c r="C22" s="11" t="s">
        <v>59</v>
      </c>
      <c r="D22" s="14">
        <v>44.46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1" t="s">
        <v>17</v>
      </c>
      <c r="B23" s="11" t="s">
        <v>31</v>
      </c>
      <c r="C23" s="11" t="s">
        <v>62</v>
      </c>
      <c r="D23" s="14">
        <v>0.0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1" t="s">
        <v>17</v>
      </c>
      <c r="B24" s="11" t="s">
        <v>31</v>
      </c>
      <c r="C24" s="11" t="s">
        <v>63</v>
      </c>
      <c r="D24" s="14">
        <v>167.12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1" t="s">
        <v>17</v>
      </c>
      <c r="B25" s="11" t="s">
        <v>31</v>
      </c>
      <c r="C25" s="11" t="s">
        <v>65</v>
      </c>
      <c r="D25" s="14">
        <v>264.84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1" t="s">
        <v>17</v>
      </c>
      <c r="B26" s="11" t="s">
        <v>31</v>
      </c>
      <c r="C26" s="11" t="s">
        <v>68</v>
      </c>
      <c r="D26" s="14">
        <v>440.4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1" t="s">
        <v>17</v>
      </c>
      <c r="B27" s="11" t="s">
        <v>31</v>
      </c>
      <c r="C27" s="11" t="s">
        <v>71</v>
      </c>
      <c r="D27" s="14">
        <v>0.0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1" t="s">
        <v>17</v>
      </c>
      <c r="B28" s="11" t="s">
        <v>31</v>
      </c>
      <c r="C28" s="11" t="s">
        <v>72</v>
      </c>
      <c r="D28" s="14">
        <v>59.9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1" t="s">
        <v>17</v>
      </c>
      <c r="B29" s="11" t="s">
        <v>31</v>
      </c>
      <c r="C29" s="11" t="s">
        <v>75</v>
      </c>
      <c r="D29" s="14">
        <v>71.73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1" t="s">
        <v>17</v>
      </c>
      <c r="B30" s="11" t="s">
        <v>31</v>
      </c>
      <c r="C30" s="11" t="s">
        <v>79</v>
      </c>
      <c r="D30" s="14">
        <v>0.0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1" t="s">
        <v>17</v>
      </c>
      <c r="B31" s="11" t="s">
        <v>31</v>
      </c>
      <c r="C31" s="11" t="s">
        <v>82</v>
      </c>
      <c r="D31" s="14">
        <v>0.0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1" t="s">
        <v>17</v>
      </c>
      <c r="B32" s="11" t="s">
        <v>31</v>
      </c>
      <c r="C32" s="11" t="s">
        <v>85</v>
      </c>
      <c r="D32" s="14">
        <v>0.0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1" t="s">
        <v>17</v>
      </c>
      <c r="B33" s="11" t="s">
        <v>31</v>
      </c>
      <c r="C33" s="11" t="s">
        <v>88</v>
      </c>
      <c r="D33" s="14">
        <v>0.0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1" t="s">
        <v>17</v>
      </c>
      <c r="B34" s="11" t="s">
        <v>31</v>
      </c>
      <c r="C34" s="11" t="s">
        <v>95</v>
      </c>
      <c r="D34" s="14">
        <v>0.0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1" t="s">
        <v>17</v>
      </c>
      <c r="B35" s="11" t="s">
        <v>97</v>
      </c>
      <c r="C35" s="11" t="s">
        <v>98</v>
      </c>
      <c r="D35" s="14">
        <v>10052.38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1" t="s">
        <v>17</v>
      </c>
      <c r="B36" s="11" t="s">
        <v>97</v>
      </c>
      <c r="C36" s="11" t="s">
        <v>101</v>
      </c>
      <c r="D36" s="14">
        <v>2836.0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1" t="s">
        <v>17</v>
      </c>
      <c r="B37" s="11" t="s">
        <v>97</v>
      </c>
      <c r="C37" s="11" t="s">
        <v>104</v>
      </c>
      <c r="D37" s="14">
        <v>2783.48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1" t="s">
        <v>17</v>
      </c>
      <c r="B38" s="11" t="s">
        <v>97</v>
      </c>
      <c r="C38" s="11" t="s">
        <v>105</v>
      </c>
      <c r="D38" s="14">
        <v>9292.19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1" t="s">
        <v>17</v>
      </c>
      <c r="B39" s="11" t="s">
        <v>97</v>
      </c>
      <c r="C39" s="11" t="s">
        <v>108</v>
      </c>
      <c r="D39" s="14">
        <v>2835.75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1" t="s">
        <v>17</v>
      </c>
      <c r="B40" s="11" t="s">
        <v>97</v>
      </c>
      <c r="C40" s="11" t="s">
        <v>111</v>
      </c>
      <c r="D40" s="14">
        <v>2724.04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1" t="s">
        <v>17</v>
      </c>
      <c r="B41" s="11" t="s">
        <v>97</v>
      </c>
      <c r="C41" s="11" t="s">
        <v>112</v>
      </c>
      <c r="D41" s="14">
        <v>1910.37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1" t="s">
        <v>17</v>
      </c>
      <c r="B42" s="11" t="s">
        <v>97</v>
      </c>
      <c r="C42" s="11" t="s">
        <v>115</v>
      </c>
      <c r="D42" s="14">
        <v>128.34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1" t="s">
        <v>17</v>
      </c>
      <c r="B43" s="11" t="s">
        <v>97</v>
      </c>
      <c r="C43" s="11" t="s">
        <v>118</v>
      </c>
      <c r="D43" s="14">
        <v>9241.29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1" t="s">
        <v>17</v>
      </c>
      <c r="B44" s="11" t="s">
        <v>97</v>
      </c>
      <c r="C44" s="11" t="s">
        <v>121</v>
      </c>
      <c r="D44" s="14">
        <v>4873.86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1" t="s">
        <v>124</v>
      </c>
      <c r="B45" s="11" t="s">
        <v>125</v>
      </c>
      <c r="C45" s="11" t="s">
        <v>126</v>
      </c>
      <c r="D45" s="14">
        <v>3285.83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1" t="s">
        <v>124</v>
      </c>
      <c r="B46" s="11" t="s">
        <v>125</v>
      </c>
      <c r="C46" s="11" t="s">
        <v>129</v>
      </c>
      <c r="D46" s="14">
        <v>3452.19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1" t="s">
        <v>124</v>
      </c>
      <c r="B47" s="11" t="s">
        <v>125</v>
      </c>
      <c r="C47" s="11" t="s">
        <v>132</v>
      </c>
      <c r="D47" s="14">
        <v>2463.89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1" t="s">
        <v>124</v>
      </c>
      <c r="B48" s="11" t="s">
        <v>125</v>
      </c>
      <c r="C48" s="11" t="s">
        <v>134</v>
      </c>
      <c r="D48" s="14">
        <v>250.49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1" t="s">
        <v>124</v>
      </c>
      <c r="B49" s="11" t="s">
        <v>125</v>
      </c>
      <c r="C49" s="11" t="s">
        <v>137</v>
      </c>
      <c r="D49" s="14">
        <v>5279.61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1" t="s">
        <v>124</v>
      </c>
      <c r="B50" s="11" t="s">
        <v>125</v>
      </c>
      <c r="C50" s="11" t="s">
        <v>140</v>
      </c>
      <c r="D50" s="14">
        <v>1468.74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1" t="s">
        <v>124</v>
      </c>
      <c r="B51" s="11" t="s">
        <v>125</v>
      </c>
      <c r="C51" s="11" t="s">
        <v>144</v>
      </c>
      <c r="D51" s="14">
        <v>946.23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1" t="s">
        <v>124</v>
      </c>
      <c r="B52" s="11" t="s">
        <v>125</v>
      </c>
      <c r="C52" s="11" t="s">
        <v>147</v>
      </c>
      <c r="D52" s="14">
        <v>4157.86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1" t="s">
        <v>124</v>
      </c>
      <c r="B53" s="11" t="s">
        <v>125</v>
      </c>
      <c r="C53" s="11" t="s">
        <v>151</v>
      </c>
      <c r="D53" s="14">
        <v>3014.12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1" t="s">
        <v>124</v>
      </c>
      <c r="B54" s="11" t="s">
        <v>125</v>
      </c>
      <c r="C54" s="11" t="s">
        <v>153</v>
      </c>
      <c r="D54" s="14">
        <v>4522.19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1" t="s">
        <v>124</v>
      </c>
      <c r="B55" s="11" t="s">
        <v>125</v>
      </c>
      <c r="C55" s="11" t="s">
        <v>157</v>
      </c>
      <c r="D55" s="14">
        <v>2268.19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1" t="s">
        <v>124</v>
      </c>
      <c r="B56" s="11" t="s">
        <v>125</v>
      </c>
      <c r="C56" s="11" t="s">
        <v>159</v>
      </c>
      <c r="D56" s="14">
        <v>3626.12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1" t="s">
        <v>124</v>
      </c>
      <c r="B57" s="11" t="s">
        <v>125</v>
      </c>
      <c r="C57" s="11" t="s">
        <v>162</v>
      </c>
      <c r="D57" s="14">
        <v>3839.43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1" t="s">
        <v>124</v>
      </c>
      <c r="B58" s="11" t="s">
        <v>125</v>
      </c>
      <c r="C58" s="11" t="s">
        <v>165</v>
      </c>
      <c r="D58" s="14">
        <v>4579.57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1" t="s">
        <v>124</v>
      </c>
      <c r="B59" s="11" t="s">
        <v>125</v>
      </c>
      <c r="C59" s="11" t="s">
        <v>168</v>
      </c>
      <c r="D59" s="14">
        <v>2041.21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1" t="s">
        <v>124</v>
      </c>
      <c r="B60" s="11" t="s">
        <v>125</v>
      </c>
      <c r="C60" s="11" t="s">
        <v>169</v>
      </c>
      <c r="D60" s="14">
        <v>4724.66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1" t="s">
        <v>124</v>
      </c>
      <c r="B61" s="11" t="s">
        <v>125</v>
      </c>
      <c r="C61" s="11" t="s">
        <v>172</v>
      </c>
      <c r="D61" s="14">
        <v>4648.22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1" t="s">
        <v>124</v>
      </c>
      <c r="B62" s="11" t="s">
        <v>125</v>
      </c>
      <c r="C62" s="11" t="s">
        <v>173</v>
      </c>
      <c r="D62" s="14">
        <v>2420.65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1" t="s">
        <v>124</v>
      </c>
      <c r="B63" s="11" t="s">
        <v>125</v>
      </c>
      <c r="C63" s="11" t="s">
        <v>176</v>
      </c>
      <c r="D63" s="14">
        <v>4648.18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1" t="s">
        <v>124</v>
      </c>
      <c r="B64" s="11" t="s">
        <v>125</v>
      </c>
      <c r="C64" s="11" t="s">
        <v>179</v>
      </c>
      <c r="D64" s="14">
        <v>3834.49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1" t="s">
        <v>124</v>
      </c>
      <c r="B65" s="11" t="s">
        <v>125</v>
      </c>
      <c r="C65" s="11" t="s">
        <v>181</v>
      </c>
      <c r="D65" s="14">
        <v>34.0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1" t="s">
        <v>124</v>
      </c>
      <c r="B66" s="11" t="s">
        <v>125</v>
      </c>
      <c r="C66" s="11" t="s">
        <v>184</v>
      </c>
      <c r="D66" s="14">
        <v>1104.56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1" t="s">
        <v>185</v>
      </c>
      <c r="B67" s="11" t="s">
        <v>186</v>
      </c>
      <c r="C67" s="11" t="s">
        <v>188</v>
      </c>
      <c r="D67" s="14">
        <v>423.0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1" t="s">
        <v>185</v>
      </c>
      <c r="B68" s="11" t="s">
        <v>186</v>
      </c>
      <c r="C68" s="11" t="s">
        <v>189</v>
      </c>
      <c r="D68" s="14">
        <v>1633.37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1" t="s">
        <v>185</v>
      </c>
      <c r="B69" s="11" t="s">
        <v>186</v>
      </c>
      <c r="C69" s="11" t="s">
        <v>191</v>
      </c>
      <c r="D69" s="14">
        <v>3663.17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1" t="s">
        <v>185</v>
      </c>
      <c r="B70" s="11" t="s">
        <v>186</v>
      </c>
      <c r="C70" s="11" t="s">
        <v>193</v>
      </c>
      <c r="D70" s="14">
        <v>774.0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1" t="s">
        <v>185</v>
      </c>
      <c r="B71" s="11" t="s">
        <v>186</v>
      </c>
      <c r="C71" s="11" t="s">
        <v>194</v>
      </c>
      <c r="D71" s="14">
        <v>265.0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1" t="s">
        <v>185</v>
      </c>
      <c r="B72" s="11" t="s">
        <v>186</v>
      </c>
      <c r="C72" s="11" t="s">
        <v>197</v>
      </c>
      <c r="D72" s="14">
        <v>83.0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1" t="s">
        <v>185</v>
      </c>
      <c r="B73" s="11" t="s">
        <v>186</v>
      </c>
      <c r="C73" s="11" t="s">
        <v>203</v>
      </c>
      <c r="D73" s="14">
        <v>73.0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1" t="s">
        <v>185</v>
      </c>
      <c r="B74" s="11" t="s">
        <v>186</v>
      </c>
      <c r="C74" s="11" t="s">
        <v>205</v>
      </c>
      <c r="D74" s="14">
        <v>94.0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1" t="s">
        <v>185</v>
      </c>
      <c r="B75" s="11" t="s">
        <v>186</v>
      </c>
      <c r="C75" s="11" t="s">
        <v>206</v>
      </c>
      <c r="D75" s="14">
        <v>132.0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1" t="s">
        <v>185</v>
      </c>
      <c r="B76" s="11" t="s">
        <v>186</v>
      </c>
      <c r="C76" s="11" t="s">
        <v>210</v>
      </c>
      <c r="D76" s="14">
        <v>1850.0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1" t="s">
        <v>185</v>
      </c>
      <c r="B77" s="11" t="s">
        <v>186</v>
      </c>
      <c r="C77" s="11" t="s">
        <v>211</v>
      </c>
      <c r="D77" s="14">
        <v>12.0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1" t="s">
        <v>185</v>
      </c>
      <c r="B78" s="11" t="s">
        <v>186</v>
      </c>
      <c r="C78" s="11" t="s">
        <v>215</v>
      </c>
      <c r="D78" s="14">
        <v>639.8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1" t="s">
        <v>185</v>
      </c>
      <c r="B79" s="11" t="s">
        <v>186</v>
      </c>
      <c r="C79" s="11" t="s">
        <v>217</v>
      </c>
      <c r="D79" s="14">
        <v>65.0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1" t="s">
        <v>185</v>
      </c>
      <c r="B80" s="11" t="s">
        <v>186</v>
      </c>
      <c r="C80" s="11" t="s">
        <v>219</v>
      </c>
      <c r="D80" s="14">
        <v>172.87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1" t="s">
        <v>185</v>
      </c>
      <c r="B81" s="11" t="s">
        <v>186</v>
      </c>
      <c r="C81" s="11" t="s">
        <v>223</v>
      </c>
      <c r="D81" s="14">
        <v>256.42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1" t="s">
        <v>185</v>
      </c>
      <c r="B82" s="11" t="s">
        <v>186</v>
      </c>
      <c r="C82" s="11" t="s">
        <v>224</v>
      </c>
      <c r="D82" s="14">
        <v>823.35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1" t="s">
        <v>185</v>
      </c>
      <c r="B83" s="11" t="s">
        <v>186</v>
      </c>
      <c r="C83" s="11" t="s">
        <v>228</v>
      </c>
      <c r="D83" s="14">
        <v>39.04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1" t="s">
        <v>185</v>
      </c>
      <c r="B84" s="11" t="s">
        <v>186</v>
      </c>
      <c r="C84" s="11" t="s">
        <v>233</v>
      </c>
      <c r="D84" s="14">
        <v>247.54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1" t="s">
        <v>185</v>
      </c>
      <c r="B85" s="11" t="s">
        <v>186</v>
      </c>
      <c r="C85" s="11" t="s">
        <v>236</v>
      </c>
      <c r="D85" s="14">
        <v>675.83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1" t="s">
        <v>185</v>
      </c>
      <c r="B86" s="11" t="s">
        <v>186</v>
      </c>
      <c r="C86" s="11" t="s">
        <v>237</v>
      </c>
      <c r="D86" s="14">
        <v>749.6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1" t="s">
        <v>185</v>
      </c>
      <c r="B87" s="11" t="s">
        <v>186</v>
      </c>
      <c r="C87" s="11" t="s">
        <v>242</v>
      </c>
      <c r="D87" s="14">
        <v>786.38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1" t="s">
        <v>185</v>
      </c>
      <c r="B88" s="11" t="s">
        <v>186</v>
      </c>
      <c r="C88" s="11" t="s">
        <v>245</v>
      </c>
      <c r="D88" s="14">
        <v>677.77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1" t="s">
        <v>185</v>
      </c>
      <c r="B89" s="11" t="s">
        <v>186</v>
      </c>
      <c r="C89" s="11" t="s">
        <v>249</v>
      </c>
      <c r="D89" s="14">
        <v>13.68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1" t="s">
        <v>185</v>
      </c>
      <c r="B90" s="11" t="s">
        <v>186</v>
      </c>
      <c r="C90" s="11" t="s">
        <v>251</v>
      </c>
      <c r="D90" s="14">
        <v>200.0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1" t="s">
        <v>185</v>
      </c>
      <c r="B91" s="11" t="s">
        <v>186</v>
      </c>
      <c r="C91" s="11" t="s">
        <v>255</v>
      </c>
      <c r="D91" s="14">
        <v>3.0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1" t="s">
        <v>185</v>
      </c>
      <c r="B92" s="11" t="s">
        <v>186</v>
      </c>
      <c r="C92" s="11" t="s">
        <v>259</v>
      </c>
      <c r="D92" s="14">
        <v>338.9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1" t="s">
        <v>185</v>
      </c>
      <c r="B93" s="11" t="s">
        <v>186</v>
      </c>
      <c r="C93" s="11" t="s">
        <v>263</v>
      </c>
      <c r="D93" s="14">
        <v>99.45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1" t="s">
        <v>185</v>
      </c>
      <c r="B94" s="11" t="s">
        <v>186</v>
      </c>
      <c r="C94" s="11" t="s">
        <v>266</v>
      </c>
      <c r="D94" s="14">
        <v>47.19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1" t="s">
        <v>185</v>
      </c>
      <c r="B95" s="11" t="s">
        <v>186</v>
      </c>
      <c r="C95" s="11" t="s">
        <v>268</v>
      </c>
      <c r="D95" s="14">
        <v>50.74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1" t="s">
        <v>185</v>
      </c>
      <c r="B96" s="11" t="s">
        <v>186</v>
      </c>
      <c r="C96" s="11" t="s">
        <v>271</v>
      </c>
      <c r="D96" s="14">
        <v>602.31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1" t="s">
        <v>185</v>
      </c>
      <c r="B97" s="11" t="s">
        <v>186</v>
      </c>
      <c r="C97" s="11" t="s">
        <v>273</v>
      </c>
      <c r="D97" s="14">
        <v>736.06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1" t="s">
        <v>185</v>
      </c>
      <c r="B98" s="11" t="s">
        <v>186</v>
      </c>
      <c r="C98" s="11" t="s">
        <v>276</v>
      </c>
      <c r="D98" s="14">
        <v>806.56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1" t="s">
        <v>185</v>
      </c>
      <c r="B99" s="11" t="s">
        <v>186</v>
      </c>
      <c r="C99" s="11" t="s">
        <v>280</v>
      </c>
      <c r="D99" s="14">
        <v>165.79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1" t="s">
        <v>185</v>
      </c>
      <c r="B100" s="11" t="s">
        <v>186</v>
      </c>
      <c r="C100" s="11" t="s">
        <v>281</v>
      </c>
      <c r="D100" s="14">
        <v>0.0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1" t="s">
        <v>185</v>
      </c>
      <c r="B101" s="11" t="s">
        <v>186</v>
      </c>
      <c r="C101" s="11" t="s">
        <v>285</v>
      </c>
      <c r="D101" s="14">
        <v>104.65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1" t="s">
        <v>185</v>
      </c>
      <c r="B102" s="11" t="s">
        <v>186</v>
      </c>
      <c r="C102" s="11" t="s">
        <v>289</v>
      </c>
      <c r="D102" s="14">
        <v>175.0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1" t="s">
        <v>185</v>
      </c>
      <c r="B103" s="11" t="s">
        <v>186</v>
      </c>
      <c r="C103" s="11" t="s">
        <v>290</v>
      </c>
      <c r="D103" s="14">
        <v>220.85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1" t="s">
        <v>185</v>
      </c>
      <c r="B104" s="11" t="s">
        <v>186</v>
      </c>
      <c r="C104" s="11" t="s">
        <v>293</v>
      </c>
      <c r="D104" s="14">
        <v>395.12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1" t="s">
        <v>185</v>
      </c>
      <c r="B105" s="11" t="s">
        <v>186</v>
      </c>
      <c r="C105" s="11" t="s">
        <v>295</v>
      </c>
      <c r="D105" s="14">
        <v>71.0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1" t="s">
        <v>185</v>
      </c>
      <c r="B106" s="11" t="s">
        <v>186</v>
      </c>
      <c r="C106" s="11" t="s">
        <v>297</v>
      </c>
      <c r="D106" s="14">
        <v>200.77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1" t="s">
        <v>185</v>
      </c>
      <c r="B107" s="11" t="s">
        <v>186</v>
      </c>
      <c r="C107" s="11" t="s">
        <v>300</v>
      </c>
      <c r="D107" s="14">
        <v>74.0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1" t="s">
        <v>185</v>
      </c>
      <c r="B108" s="11" t="s">
        <v>186</v>
      </c>
      <c r="C108" s="11" t="s">
        <v>303</v>
      </c>
      <c r="D108" s="14">
        <v>701.3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1" t="s">
        <v>185</v>
      </c>
      <c r="B109" s="11" t="s">
        <v>186</v>
      </c>
      <c r="C109" s="11" t="s">
        <v>304</v>
      </c>
      <c r="D109" s="14">
        <v>246.92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1" t="s">
        <v>185</v>
      </c>
      <c r="B110" s="11" t="s">
        <v>186</v>
      </c>
      <c r="C110" s="11" t="s">
        <v>294</v>
      </c>
      <c r="D110" s="14">
        <v>596.2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1" t="s">
        <v>185</v>
      </c>
      <c r="B111" s="11" t="s">
        <v>186</v>
      </c>
      <c r="C111" s="11" t="s">
        <v>301</v>
      </c>
      <c r="D111" s="14">
        <v>326.4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1" t="s">
        <v>185</v>
      </c>
      <c r="B112" s="11" t="s">
        <v>186</v>
      </c>
      <c r="C112" s="11" t="s">
        <v>309</v>
      </c>
      <c r="D112" s="14">
        <v>8.0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1" t="s">
        <v>185</v>
      </c>
      <c r="B113" s="11" t="s">
        <v>186</v>
      </c>
      <c r="C113" s="11" t="s">
        <v>313</v>
      </c>
      <c r="D113" s="14">
        <v>329.34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1" t="s">
        <v>185</v>
      </c>
      <c r="B114" s="11" t="s">
        <v>186</v>
      </c>
      <c r="C114" s="11" t="s">
        <v>316</v>
      </c>
      <c r="D114" s="14">
        <v>1458.7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1" t="s">
        <v>185</v>
      </c>
      <c r="B115" s="11" t="s">
        <v>186</v>
      </c>
      <c r="C115" s="11" t="s">
        <v>319</v>
      </c>
      <c r="D115" s="14">
        <v>75.0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1" t="s">
        <v>185</v>
      </c>
      <c r="B116" s="11" t="s">
        <v>186</v>
      </c>
      <c r="C116" s="11" t="s">
        <v>322</v>
      </c>
      <c r="D116" s="14">
        <v>1802.71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1" t="s">
        <v>185</v>
      </c>
      <c r="B117" s="11" t="s">
        <v>186</v>
      </c>
      <c r="C117" s="11" t="s">
        <v>307</v>
      </c>
      <c r="D117" s="14">
        <v>242.0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1" t="s">
        <v>185</v>
      </c>
      <c r="B118" s="11" t="s">
        <v>186</v>
      </c>
      <c r="C118" s="11" t="s">
        <v>325</v>
      </c>
      <c r="D118" s="14">
        <v>0.0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1" t="s">
        <v>185</v>
      </c>
      <c r="B119" s="11" t="s">
        <v>186</v>
      </c>
      <c r="C119" s="11" t="s">
        <v>328</v>
      </c>
      <c r="D119" s="14">
        <v>15.1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1" t="s">
        <v>185</v>
      </c>
      <c r="B120" s="11" t="s">
        <v>186</v>
      </c>
      <c r="C120" s="11" t="s">
        <v>331</v>
      </c>
      <c r="D120" s="14">
        <v>481.2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1" t="s">
        <v>185</v>
      </c>
      <c r="B121" s="11" t="s">
        <v>186</v>
      </c>
      <c r="C121" s="11" t="s">
        <v>334</v>
      </c>
      <c r="D121" s="14">
        <v>306.0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1" t="s">
        <v>185</v>
      </c>
      <c r="B122" s="11" t="s">
        <v>186</v>
      </c>
      <c r="C122" s="11" t="s">
        <v>335</v>
      </c>
      <c r="D122" s="14">
        <v>7.0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1" t="s">
        <v>185</v>
      </c>
      <c r="B123" s="11" t="s">
        <v>186</v>
      </c>
      <c r="C123" s="11" t="s">
        <v>338</v>
      </c>
      <c r="D123" s="14">
        <v>80.0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1" t="s">
        <v>185</v>
      </c>
      <c r="B124" s="11" t="s">
        <v>186</v>
      </c>
      <c r="C124" s="11" t="s">
        <v>339</v>
      </c>
      <c r="D124" s="14">
        <v>180.0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1" t="s">
        <v>185</v>
      </c>
      <c r="B125" s="11" t="s">
        <v>186</v>
      </c>
      <c r="C125" s="11" t="s">
        <v>341</v>
      </c>
      <c r="D125" s="14">
        <v>1473.47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1" t="s">
        <v>185</v>
      </c>
      <c r="B126" s="11" t="s">
        <v>186</v>
      </c>
      <c r="C126" s="11" t="s">
        <v>343</v>
      </c>
      <c r="D126" s="14">
        <v>1988.0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1" t="s">
        <v>185</v>
      </c>
      <c r="B127" s="11" t="s">
        <v>186</v>
      </c>
      <c r="C127" s="11" t="s">
        <v>346</v>
      </c>
      <c r="D127" s="14">
        <v>732.69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1" t="s">
        <v>185</v>
      </c>
      <c r="B128" s="11" t="s">
        <v>186</v>
      </c>
      <c r="C128" s="11" t="s">
        <v>349</v>
      </c>
      <c r="D128" s="14">
        <v>0.0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1" t="s">
        <v>185</v>
      </c>
      <c r="B129" s="11" t="s">
        <v>186</v>
      </c>
      <c r="C129" s="11" t="s">
        <v>350</v>
      </c>
      <c r="D129" s="14">
        <v>765.6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1" t="s">
        <v>185</v>
      </c>
      <c r="B130" s="11" t="s">
        <v>186</v>
      </c>
      <c r="C130" s="11" t="s">
        <v>353</v>
      </c>
      <c r="D130" s="14">
        <v>16.8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1" t="s">
        <v>185</v>
      </c>
      <c r="B131" s="11" t="s">
        <v>186</v>
      </c>
      <c r="C131" s="11" t="s">
        <v>356</v>
      </c>
      <c r="D131" s="14">
        <v>0.0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1" t="s">
        <v>185</v>
      </c>
      <c r="B132" s="11" t="s">
        <v>186</v>
      </c>
      <c r="C132" s="11" t="s">
        <v>359</v>
      </c>
      <c r="D132" s="14">
        <v>1324.01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1" t="s">
        <v>185</v>
      </c>
      <c r="B133" s="11" t="s">
        <v>186</v>
      </c>
      <c r="C133" s="11" t="s">
        <v>360</v>
      </c>
      <c r="D133" s="14">
        <v>48.0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1" t="s">
        <v>185</v>
      </c>
      <c r="B134" s="11" t="s">
        <v>186</v>
      </c>
      <c r="C134" s="11" t="s">
        <v>363</v>
      </c>
      <c r="D134" s="14">
        <v>3.5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1" t="s">
        <v>185</v>
      </c>
      <c r="B135" s="11" t="s">
        <v>186</v>
      </c>
      <c r="C135" s="11" t="s">
        <v>364</v>
      </c>
      <c r="D135" s="14">
        <v>265.0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1" t="s">
        <v>185</v>
      </c>
      <c r="B136" s="11" t="s">
        <v>186</v>
      </c>
      <c r="C136" s="11" t="s">
        <v>367</v>
      </c>
      <c r="D136" s="14">
        <v>53.95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1" t="s">
        <v>185</v>
      </c>
      <c r="B137" s="11" t="s">
        <v>186</v>
      </c>
      <c r="C137" s="11" t="s">
        <v>370</v>
      </c>
      <c r="D137" s="14">
        <v>132.0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1" t="s">
        <v>185</v>
      </c>
      <c r="B138" s="11" t="s">
        <v>186</v>
      </c>
      <c r="C138" s="11" t="s">
        <v>371</v>
      </c>
      <c r="D138" s="14">
        <v>6.0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1" t="s">
        <v>185</v>
      </c>
      <c r="B139" s="11" t="s">
        <v>186</v>
      </c>
      <c r="C139" s="11" t="s">
        <v>374</v>
      </c>
      <c r="D139" s="14">
        <v>0.0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1" t="s">
        <v>185</v>
      </c>
      <c r="B140" s="11" t="s">
        <v>186</v>
      </c>
      <c r="C140" s="11" t="s">
        <v>377</v>
      </c>
      <c r="D140" s="14">
        <v>126.29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1" t="s">
        <v>185</v>
      </c>
      <c r="B141" s="11" t="s">
        <v>186</v>
      </c>
      <c r="C141" s="11" t="s">
        <v>378</v>
      </c>
      <c r="D141" s="14">
        <v>12.65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1" t="s">
        <v>185</v>
      </c>
      <c r="B142" s="11" t="s">
        <v>186</v>
      </c>
      <c r="C142" s="11" t="s">
        <v>381</v>
      </c>
      <c r="D142" s="14">
        <v>5.89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1" t="s">
        <v>185</v>
      </c>
      <c r="B143" s="11" t="s">
        <v>186</v>
      </c>
      <c r="C143" s="11" t="s">
        <v>384</v>
      </c>
      <c r="D143" s="14">
        <v>123.56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1" t="s">
        <v>185</v>
      </c>
      <c r="B144" s="11" t="s">
        <v>186</v>
      </c>
      <c r="C144" s="11" t="s">
        <v>389</v>
      </c>
      <c r="D144" s="14">
        <v>6.59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1" t="s">
        <v>185</v>
      </c>
      <c r="B145" s="11" t="s">
        <v>186</v>
      </c>
      <c r="C145" s="11" t="s">
        <v>390</v>
      </c>
      <c r="D145" s="14">
        <v>91.72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1" t="s">
        <v>185</v>
      </c>
      <c r="B146" s="11" t="s">
        <v>186</v>
      </c>
      <c r="C146" s="11" t="s">
        <v>391</v>
      </c>
      <c r="D146" s="14">
        <v>0.0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1" t="s">
        <v>185</v>
      </c>
      <c r="B147" s="11" t="s">
        <v>186</v>
      </c>
      <c r="C147" s="11" t="s">
        <v>394</v>
      </c>
      <c r="D147" s="14">
        <v>0.0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1" t="s">
        <v>185</v>
      </c>
      <c r="B148" s="11" t="s">
        <v>186</v>
      </c>
      <c r="C148" s="11" t="s">
        <v>395</v>
      </c>
      <c r="D148" s="14">
        <v>46.44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1" t="s">
        <v>185</v>
      </c>
      <c r="B149" s="11" t="s">
        <v>186</v>
      </c>
      <c r="C149" s="11" t="s">
        <v>398</v>
      </c>
      <c r="D149" s="14">
        <v>30.3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1" t="s">
        <v>185</v>
      </c>
      <c r="B150" s="11" t="s">
        <v>186</v>
      </c>
      <c r="C150" s="11" t="s">
        <v>399</v>
      </c>
      <c r="D150" s="14">
        <v>150.0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1" t="s">
        <v>185</v>
      </c>
      <c r="B151" s="11" t="s">
        <v>186</v>
      </c>
      <c r="C151" s="11" t="s">
        <v>402</v>
      </c>
      <c r="D151" s="14">
        <v>118.68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1" t="s">
        <v>185</v>
      </c>
      <c r="B152" s="11" t="s">
        <v>186</v>
      </c>
      <c r="C152" s="11" t="s">
        <v>403</v>
      </c>
      <c r="D152" s="14">
        <v>57.09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1" t="s">
        <v>185</v>
      </c>
      <c r="B153" s="11" t="s">
        <v>186</v>
      </c>
      <c r="C153" s="11" t="s">
        <v>406</v>
      </c>
      <c r="D153" s="14">
        <v>59.0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1" t="s">
        <v>185</v>
      </c>
      <c r="B154" s="11" t="s">
        <v>186</v>
      </c>
      <c r="C154" s="11" t="s">
        <v>409</v>
      </c>
      <c r="D154" s="14">
        <v>313.64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1" t="s">
        <v>185</v>
      </c>
      <c r="B155" s="11" t="s">
        <v>186</v>
      </c>
      <c r="C155" s="11" t="s">
        <v>412</v>
      </c>
      <c r="D155" s="14">
        <v>0.63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1" t="s">
        <v>185</v>
      </c>
      <c r="B156" s="11" t="s">
        <v>186</v>
      </c>
      <c r="C156" s="11" t="s">
        <v>413</v>
      </c>
      <c r="D156" s="14">
        <v>495.55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1" t="s">
        <v>185</v>
      </c>
      <c r="B157" s="11" t="s">
        <v>186</v>
      </c>
      <c r="C157" s="11" t="s">
        <v>416</v>
      </c>
      <c r="D157" s="14">
        <v>250.0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1" t="s">
        <v>185</v>
      </c>
      <c r="B158" s="11" t="s">
        <v>186</v>
      </c>
      <c r="C158" s="11" t="s">
        <v>418</v>
      </c>
      <c r="D158" s="14">
        <v>551.04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1" t="s">
        <v>185</v>
      </c>
      <c r="B159" s="11" t="s">
        <v>186</v>
      </c>
      <c r="C159" s="11" t="s">
        <v>420</v>
      </c>
      <c r="D159" s="14">
        <v>20.0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1" t="s">
        <v>185</v>
      </c>
      <c r="B160" s="11" t="s">
        <v>186</v>
      </c>
      <c r="C160" s="11" t="s">
        <v>423</v>
      </c>
      <c r="D160" s="14">
        <v>33.0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1" t="s">
        <v>185</v>
      </c>
      <c r="B161" s="11" t="s">
        <v>186</v>
      </c>
      <c r="C161" s="11" t="s">
        <v>426</v>
      </c>
      <c r="D161" s="14">
        <v>2855.8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1" t="s">
        <v>185</v>
      </c>
      <c r="B162" s="11" t="s">
        <v>186</v>
      </c>
      <c r="C162" s="11" t="s">
        <v>429</v>
      </c>
      <c r="D162" s="14">
        <v>178.7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1" t="s">
        <v>185</v>
      </c>
      <c r="B163" s="11" t="s">
        <v>186</v>
      </c>
      <c r="C163" s="11" t="s">
        <v>432</v>
      </c>
      <c r="D163" s="14">
        <v>6.53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1" t="s">
        <v>185</v>
      </c>
      <c r="B164" s="11" t="s">
        <v>186</v>
      </c>
      <c r="C164" s="11" t="s">
        <v>435</v>
      </c>
      <c r="D164" s="14">
        <v>315.39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1" t="s">
        <v>185</v>
      </c>
      <c r="B165" s="11" t="s">
        <v>186</v>
      </c>
      <c r="C165" s="11" t="s">
        <v>438</v>
      </c>
      <c r="D165" s="14">
        <v>75.0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1" t="s">
        <v>185</v>
      </c>
      <c r="B166" s="11" t="s">
        <v>186</v>
      </c>
      <c r="C166" s="11" t="s">
        <v>291</v>
      </c>
      <c r="D166" s="14">
        <v>22.0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1" t="s">
        <v>185</v>
      </c>
      <c r="B167" s="11" t="s">
        <v>186</v>
      </c>
      <c r="C167" s="11" t="s">
        <v>443</v>
      </c>
      <c r="D167" s="14">
        <v>134.7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1" t="s">
        <v>185</v>
      </c>
      <c r="B168" s="11" t="s">
        <v>186</v>
      </c>
      <c r="C168" s="11" t="s">
        <v>447</v>
      </c>
      <c r="D168" s="14">
        <v>27.01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1" t="s">
        <v>185</v>
      </c>
      <c r="B169" s="11" t="s">
        <v>186</v>
      </c>
      <c r="C169" s="11" t="s">
        <v>449</v>
      </c>
      <c r="D169" s="14">
        <v>467.81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1" t="s">
        <v>185</v>
      </c>
      <c r="B170" s="11" t="s">
        <v>186</v>
      </c>
      <c r="C170" s="11" t="s">
        <v>453</v>
      </c>
      <c r="D170" s="14">
        <v>6747.0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1" t="s">
        <v>185</v>
      </c>
      <c r="B171" s="11" t="s">
        <v>186</v>
      </c>
      <c r="C171" s="11" t="s">
        <v>456</v>
      </c>
      <c r="D171" s="14">
        <v>4.21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1" t="s">
        <v>185</v>
      </c>
      <c r="B172" s="11" t="s">
        <v>186</v>
      </c>
      <c r="C172" s="11" t="s">
        <v>460</v>
      </c>
      <c r="D172" s="14">
        <v>1498.21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1" t="s">
        <v>185</v>
      </c>
      <c r="B173" s="11" t="s">
        <v>186</v>
      </c>
      <c r="C173" s="11" t="s">
        <v>463</v>
      </c>
      <c r="D173" s="14">
        <v>24.0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1" t="s">
        <v>185</v>
      </c>
      <c r="B174" s="11" t="s">
        <v>186</v>
      </c>
      <c r="C174" s="11" t="s">
        <v>466</v>
      </c>
      <c r="D174" s="14">
        <v>53.0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1" t="s">
        <v>185</v>
      </c>
      <c r="B175" s="11" t="s">
        <v>186</v>
      </c>
      <c r="C175" s="11" t="s">
        <v>469</v>
      </c>
      <c r="D175" s="14">
        <v>65.0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1" t="s">
        <v>185</v>
      </c>
      <c r="B176" s="11" t="s">
        <v>186</v>
      </c>
      <c r="C176" s="11" t="s">
        <v>472</v>
      </c>
      <c r="D176" s="14">
        <v>1029.33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1" t="s">
        <v>185</v>
      </c>
      <c r="B177" s="11" t="s">
        <v>475</v>
      </c>
      <c r="C177" s="11" t="s">
        <v>476</v>
      </c>
      <c r="D177" s="14">
        <v>0.0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1" t="s">
        <v>185</v>
      </c>
      <c r="B178" s="11" t="s">
        <v>475</v>
      </c>
      <c r="C178" s="11" t="s">
        <v>479</v>
      </c>
      <c r="D178" s="14">
        <v>0.0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1" t="s">
        <v>185</v>
      </c>
      <c r="B179" s="11" t="s">
        <v>475</v>
      </c>
      <c r="C179" s="11" t="s">
        <v>481</v>
      </c>
      <c r="D179" s="14">
        <v>0.0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1" t="s">
        <v>185</v>
      </c>
      <c r="B180" s="11" t="s">
        <v>475</v>
      </c>
      <c r="C180" s="11" t="s">
        <v>485</v>
      </c>
      <c r="D180" s="14">
        <v>0.0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1" t="s">
        <v>185</v>
      </c>
      <c r="B181" s="11" t="s">
        <v>475</v>
      </c>
      <c r="C181" s="11" t="s">
        <v>486</v>
      </c>
      <c r="D181" s="14">
        <v>0.0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1" t="s">
        <v>185</v>
      </c>
      <c r="B182" s="11" t="s">
        <v>475</v>
      </c>
      <c r="C182" s="11" t="s">
        <v>489</v>
      </c>
      <c r="D182" s="14">
        <v>0.0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1" t="s">
        <v>185</v>
      </c>
      <c r="B183" s="11" t="s">
        <v>475</v>
      </c>
      <c r="C183" s="11" t="s">
        <v>491</v>
      </c>
      <c r="D183" s="14">
        <v>67.01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1" t="s">
        <v>185</v>
      </c>
      <c r="B184" s="11" t="s">
        <v>475</v>
      </c>
      <c r="C184" s="11" t="s">
        <v>495</v>
      </c>
      <c r="D184" s="14">
        <v>398.99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1" t="s">
        <v>185</v>
      </c>
      <c r="B185" s="11" t="s">
        <v>475</v>
      </c>
      <c r="C185" s="11" t="s">
        <v>498</v>
      </c>
      <c r="D185" s="14">
        <v>0.0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1" t="s">
        <v>185</v>
      </c>
      <c r="B186" s="11" t="s">
        <v>475</v>
      </c>
      <c r="C186" s="11" t="s">
        <v>499</v>
      </c>
      <c r="D186" s="14">
        <v>1901.32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1" t="s">
        <v>185</v>
      </c>
      <c r="B187" s="11" t="s">
        <v>475</v>
      </c>
      <c r="C187" s="11" t="s">
        <v>502</v>
      </c>
      <c r="D187" s="14">
        <v>328.49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1" t="s">
        <v>185</v>
      </c>
      <c r="B188" s="11" t="s">
        <v>475</v>
      </c>
      <c r="C188" s="11" t="s">
        <v>505</v>
      </c>
      <c r="D188" s="14">
        <v>0.0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1" t="s">
        <v>185</v>
      </c>
      <c r="B189" s="11" t="s">
        <v>475</v>
      </c>
      <c r="C189" s="11" t="s">
        <v>508</v>
      </c>
      <c r="D189" s="14">
        <v>1053.5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1" t="s">
        <v>185</v>
      </c>
      <c r="B190" s="11" t="s">
        <v>475</v>
      </c>
      <c r="C190" s="11" t="s">
        <v>511</v>
      </c>
      <c r="D190" s="14">
        <v>304.2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1" t="s">
        <v>185</v>
      </c>
      <c r="B191" s="11" t="s">
        <v>475</v>
      </c>
      <c r="C191" s="11" t="s">
        <v>512</v>
      </c>
      <c r="D191" s="14">
        <v>0.0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1" t="s">
        <v>185</v>
      </c>
      <c r="B192" s="11" t="s">
        <v>475</v>
      </c>
      <c r="C192" s="11" t="s">
        <v>515</v>
      </c>
      <c r="D192" s="14">
        <v>66.6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1" t="s">
        <v>185</v>
      </c>
      <c r="B193" s="11" t="s">
        <v>475</v>
      </c>
      <c r="C193" s="11" t="s">
        <v>516</v>
      </c>
      <c r="D193" s="14">
        <v>0.0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1" t="s">
        <v>185</v>
      </c>
      <c r="B194" s="11" t="s">
        <v>475</v>
      </c>
      <c r="C194" s="11" t="s">
        <v>519</v>
      </c>
      <c r="D194" s="14">
        <v>83.0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1" t="s">
        <v>185</v>
      </c>
      <c r="B195" s="11" t="s">
        <v>475</v>
      </c>
      <c r="C195" s="11" t="s">
        <v>522</v>
      </c>
      <c r="D195" s="14">
        <v>0.0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1" t="s">
        <v>185</v>
      </c>
      <c r="B196" s="11" t="s">
        <v>475</v>
      </c>
      <c r="C196" s="11" t="s">
        <v>525</v>
      </c>
      <c r="D196" s="14">
        <v>33.39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1" t="s">
        <v>185</v>
      </c>
      <c r="B197" s="11" t="s">
        <v>475</v>
      </c>
      <c r="C197" s="11" t="s">
        <v>526</v>
      </c>
      <c r="D197" s="14">
        <v>143.22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1" t="s">
        <v>185</v>
      </c>
      <c r="B198" s="11" t="s">
        <v>475</v>
      </c>
      <c r="C198" s="11" t="s">
        <v>530</v>
      </c>
      <c r="D198" s="14">
        <v>0.0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1" t="s">
        <v>185</v>
      </c>
      <c r="B199" s="11" t="s">
        <v>475</v>
      </c>
      <c r="C199" s="11" t="s">
        <v>534</v>
      </c>
      <c r="D199" s="14">
        <v>27.84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1" t="s">
        <v>185</v>
      </c>
      <c r="B200" s="11" t="s">
        <v>475</v>
      </c>
      <c r="C200" s="11" t="s">
        <v>536</v>
      </c>
      <c r="D200" s="14">
        <v>50.14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1" t="s">
        <v>185</v>
      </c>
      <c r="B201" s="11" t="s">
        <v>475</v>
      </c>
      <c r="C201" s="11" t="s">
        <v>540</v>
      </c>
      <c r="D201" s="14">
        <v>162.09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1" t="s">
        <v>185</v>
      </c>
      <c r="B202" s="11" t="s">
        <v>475</v>
      </c>
      <c r="C202" s="11" t="s">
        <v>543</v>
      </c>
      <c r="D202" s="14">
        <v>54.0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1" t="s">
        <v>185</v>
      </c>
      <c r="B203" s="11" t="s">
        <v>475</v>
      </c>
      <c r="C203" s="11" t="s">
        <v>546</v>
      </c>
      <c r="D203" s="14">
        <v>44.5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1" t="s">
        <v>185</v>
      </c>
      <c r="B204" s="11" t="s">
        <v>475</v>
      </c>
      <c r="C204" s="11" t="s">
        <v>549</v>
      </c>
      <c r="D204" s="14">
        <v>89.51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1" t="s">
        <v>185</v>
      </c>
      <c r="B205" s="11" t="s">
        <v>475</v>
      </c>
      <c r="C205" s="11" t="s">
        <v>551</v>
      </c>
      <c r="D205" s="14">
        <v>32.38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1" t="s">
        <v>553</v>
      </c>
      <c r="B206" s="11" t="s">
        <v>554</v>
      </c>
      <c r="C206" s="11" t="s">
        <v>555</v>
      </c>
      <c r="D206" s="14">
        <v>8639.31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1" t="s">
        <v>553</v>
      </c>
      <c r="B207" s="11" t="s">
        <v>554</v>
      </c>
      <c r="C207" s="11" t="s">
        <v>558</v>
      </c>
      <c r="D207" s="14">
        <v>6836.95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1" t="s">
        <v>553</v>
      </c>
      <c r="B208" s="11" t="s">
        <v>554</v>
      </c>
      <c r="C208" s="11" t="s">
        <v>561</v>
      </c>
      <c r="D208" s="14">
        <v>7533.16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1" t="s">
        <v>553</v>
      </c>
      <c r="B209" s="11" t="s">
        <v>554</v>
      </c>
      <c r="C209" s="11" t="s">
        <v>564</v>
      </c>
      <c r="D209" s="14">
        <v>1573.49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1" t="s">
        <v>553</v>
      </c>
      <c r="B210" s="11" t="s">
        <v>554</v>
      </c>
      <c r="C210" s="11" t="s">
        <v>567</v>
      </c>
      <c r="D210" s="14">
        <v>1386.07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1" t="s">
        <v>553</v>
      </c>
      <c r="B211" s="11" t="s">
        <v>554</v>
      </c>
      <c r="C211" s="11" t="s">
        <v>570</v>
      </c>
      <c r="D211" s="14">
        <v>12152.49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1" t="s">
        <v>573</v>
      </c>
      <c r="B212" s="11" t="s">
        <v>575</v>
      </c>
      <c r="C212" s="11" t="s">
        <v>576</v>
      </c>
      <c r="D212" s="14">
        <v>34.78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1" t="s">
        <v>573</v>
      </c>
      <c r="B213" s="11" t="s">
        <v>575</v>
      </c>
      <c r="C213" s="11" t="s">
        <v>579</v>
      </c>
      <c r="D213" s="14">
        <v>41.5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1" t="s">
        <v>573</v>
      </c>
      <c r="B214" s="11" t="s">
        <v>575</v>
      </c>
      <c r="C214" s="11" t="s">
        <v>581</v>
      </c>
      <c r="D214" s="14">
        <v>15.0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1" t="s">
        <v>573</v>
      </c>
      <c r="B215" s="11" t="s">
        <v>575</v>
      </c>
      <c r="C215" s="11" t="s">
        <v>583</v>
      </c>
      <c r="D215" s="14">
        <v>0.0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1" t="s">
        <v>573</v>
      </c>
      <c r="B216" s="11" t="s">
        <v>575</v>
      </c>
      <c r="C216" s="11" t="s">
        <v>587</v>
      </c>
      <c r="D216" s="14">
        <v>26.5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1" t="s">
        <v>573</v>
      </c>
      <c r="B217" s="11" t="s">
        <v>575</v>
      </c>
      <c r="C217" s="11" t="s">
        <v>590</v>
      </c>
      <c r="D217" s="14">
        <v>76.77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1" t="s">
        <v>573</v>
      </c>
      <c r="B218" s="11" t="s">
        <v>575</v>
      </c>
      <c r="C218" s="11" t="s">
        <v>594</v>
      </c>
      <c r="D218" s="14">
        <v>22.0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1" t="s">
        <v>573</v>
      </c>
      <c r="B219" s="11" t="s">
        <v>575</v>
      </c>
      <c r="C219" s="11" t="s">
        <v>598</v>
      </c>
      <c r="D219" s="14">
        <v>29.0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1" t="s">
        <v>573</v>
      </c>
      <c r="B220" s="11" t="s">
        <v>575</v>
      </c>
      <c r="C220" s="11" t="s">
        <v>601</v>
      </c>
      <c r="D220" s="14">
        <v>207.92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1" t="s">
        <v>573</v>
      </c>
      <c r="B221" s="11" t="s">
        <v>575</v>
      </c>
      <c r="C221" s="11" t="s">
        <v>602</v>
      </c>
      <c r="D221" s="14">
        <v>29.0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1" t="s">
        <v>573</v>
      </c>
      <c r="B222" s="11" t="s">
        <v>575</v>
      </c>
      <c r="C222" s="11" t="s">
        <v>606</v>
      </c>
      <c r="D222" s="14">
        <v>86.0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1" t="s">
        <v>573</v>
      </c>
      <c r="B223" s="11" t="s">
        <v>575</v>
      </c>
      <c r="C223" s="11" t="s">
        <v>609</v>
      </c>
      <c r="D223" s="14">
        <v>0.0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1" t="s">
        <v>573</v>
      </c>
      <c r="B224" s="11" t="s">
        <v>611</v>
      </c>
      <c r="C224" s="11" t="s">
        <v>612</v>
      </c>
      <c r="D224" s="14">
        <v>0.0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1" t="s">
        <v>573</v>
      </c>
      <c r="B225" s="11" t="s">
        <v>611</v>
      </c>
      <c r="C225" s="11" t="s">
        <v>615</v>
      </c>
      <c r="D225" s="14">
        <v>0.0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1" t="s">
        <v>573</v>
      </c>
      <c r="B226" s="11" t="s">
        <v>611</v>
      </c>
      <c r="C226" s="11" t="s">
        <v>619</v>
      </c>
      <c r="D226" s="14">
        <v>0.0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1" t="s">
        <v>573</v>
      </c>
      <c r="B227" s="11" t="s">
        <v>611</v>
      </c>
      <c r="C227" s="11" t="s">
        <v>623</v>
      </c>
      <c r="D227" s="14">
        <v>0.0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1" t="s">
        <v>573</v>
      </c>
      <c r="B228" s="11" t="s">
        <v>611</v>
      </c>
      <c r="C228" s="11" t="s">
        <v>624</v>
      </c>
      <c r="D228" s="14">
        <v>0.0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1" t="s">
        <v>573</v>
      </c>
      <c r="B229" s="11" t="s">
        <v>611</v>
      </c>
      <c r="C229" s="11" t="s">
        <v>627</v>
      </c>
      <c r="D229" s="14">
        <v>188.94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1" t="s">
        <v>573</v>
      </c>
      <c r="B230" s="11" t="s">
        <v>611</v>
      </c>
      <c r="C230" s="11" t="s">
        <v>630</v>
      </c>
      <c r="D230" s="14">
        <v>376.65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1" t="s">
        <v>573</v>
      </c>
      <c r="B231" s="11" t="s">
        <v>611</v>
      </c>
      <c r="C231" s="11" t="s">
        <v>632</v>
      </c>
      <c r="D231" s="14">
        <v>0.0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1" t="s">
        <v>573</v>
      </c>
      <c r="B232" s="11" t="s">
        <v>611</v>
      </c>
      <c r="C232" s="11" t="s">
        <v>634</v>
      </c>
      <c r="D232" s="14">
        <v>0.0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1" t="s">
        <v>573</v>
      </c>
      <c r="B233" s="11" t="s">
        <v>611</v>
      </c>
      <c r="C233" s="11" t="s">
        <v>638</v>
      </c>
      <c r="D233" s="14">
        <v>0.0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1" t="s">
        <v>573</v>
      </c>
      <c r="B234" s="11" t="s">
        <v>611</v>
      </c>
      <c r="C234" s="11" t="s">
        <v>640</v>
      </c>
      <c r="D234" s="14">
        <v>0.0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1" t="s">
        <v>573</v>
      </c>
      <c r="B235" s="11" t="s">
        <v>611</v>
      </c>
      <c r="C235" s="11" t="s">
        <v>644</v>
      </c>
      <c r="D235" s="14">
        <v>0.0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1" t="s">
        <v>573</v>
      </c>
      <c r="B236" s="11" t="s">
        <v>611</v>
      </c>
      <c r="C236" s="11" t="s">
        <v>646</v>
      </c>
      <c r="D236" s="14">
        <v>0.0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1" t="s">
        <v>573</v>
      </c>
      <c r="B237" s="11" t="s">
        <v>611</v>
      </c>
      <c r="C237" s="11" t="s">
        <v>649</v>
      </c>
      <c r="D237" s="14">
        <v>0.0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1" t="s">
        <v>573</v>
      </c>
      <c r="B238" s="11" t="s">
        <v>611</v>
      </c>
      <c r="C238" s="11" t="s">
        <v>652</v>
      </c>
      <c r="D238" s="14">
        <v>0.0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1" t="s">
        <v>573</v>
      </c>
      <c r="B239" s="11" t="s">
        <v>611</v>
      </c>
      <c r="C239" s="11" t="s">
        <v>654</v>
      </c>
      <c r="D239" s="14">
        <v>0.0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1" t="s">
        <v>573</v>
      </c>
      <c r="B240" s="11" t="s">
        <v>656</v>
      </c>
      <c r="C240" s="11" t="s">
        <v>657</v>
      </c>
      <c r="D240" s="14">
        <v>1254.67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1" t="s">
        <v>573</v>
      </c>
      <c r="B241" s="11" t="s">
        <v>656</v>
      </c>
      <c r="C241" s="11" t="s">
        <v>660</v>
      </c>
      <c r="D241" s="14">
        <v>0.0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1" t="s">
        <v>573</v>
      </c>
      <c r="B242" s="11" t="s">
        <v>656</v>
      </c>
      <c r="C242" s="11" t="s">
        <v>663</v>
      </c>
      <c r="D242" s="14">
        <v>112.26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1" t="s">
        <v>573</v>
      </c>
      <c r="B243" s="11" t="s">
        <v>656</v>
      </c>
      <c r="C243" s="11" t="s">
        <v>664</v>
      </c>
      <c r="D243" s="14">
        <v>566.8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1" t="s">
        <v>573</v>
      </c>
      <c r="B244" s="11" t="s">
        <v>656</v>
      </c>
      <c r="C244" s="11" t="s">
        <v>667</v>
      </c>
      <c r="D244" s="14">
        <v>807.92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1" t="s">
        <v>573</v>
      </c>
      <c r="B245" s="11" t="s">
        <v>668</v>
      </c>
      <c r="C245" s="11" t="s">
        <v>669</v>
      </c>
      <c r="D245" s="14">
        <v>86.49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1" t="s">
        <v>573</v>
      </c>
      <c r="B246" s="11" t="s">
        <v>668</v>
      </c>
      <c r="C246" s="11" t="s">
        <v>672</v>
      </c>
      <c r="D246" s="14">
        <v>0.0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1" t="s">
        <v>573</v>
      </c>
      <c r="B247" s="11" t="s">
        <v>668</v>
      </c>
      <c r="C247" s="11" t="s">
        <v>673</v>
      </c>
      <c r="D247" s="14">
        <v>0.0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1" t="s">
        <v>573</v>
      </c>
      <c r="B248" s="11" t="s">
        <v>668</v>
      </c>
      <c r="C248" s="11" t="s">
        <v>676</v>
      </c>
      <c r="D248" s="14">
        <v>3901.41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1" t="s">
        <v>573</v>
      </c>
      <c r="B249" s="11" t="s">
        <v>668</v>
      </c>
      <c r="C249" s="11" t="s">
        <v>677</v>
      </c>
      <c r="D249" s="14">
        <v>0.0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1" t="s">
        <v>573</v>
      </c>
      <c r="B250" s="11" t="s">
        <v>668</v>
      </c>
      <c r="C250" s="11" t="s">
        <v>680</v>
      </c>
      <c r="D250" s="14">
        <v>0.0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1" t="s">
        <v>573</v>
      </c>
      <c r="B251" s="11" t="s">
        <v>668</v>
      </c>
      <c r="C251" s="11" t="s">
        <v>681</v>
      </c>
      <c r="D251" s="14">
        <v>0.0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1" t="s">
        <v>573</v>
      </c>
      <c r="B252" s="11" t="s">
        <v>668</v>
      </c>
      <c r="C252" s="11" t="s">
        <v>684</v>
      </c>
      <c r="D252" s="14">
        <v>4.89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1" t="s">
        <v>573</v>
      </c>
      <c r="B253" s="11" t="s">
        <v>668</v>
      </c>
      <c r="C253" s="11" t="s">
        <v>685</v>
      </c>
      <c r="D253" s="14">
        <v>0.0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1" t="s">
        <v>573</v>
      </c>
      <c r="B254" s="11" t="s">
        <v>668</v>
      </c>
      <c r="C254" s="11" t="s">
        <v>686</v>
      </c>
      <c r="D254" s="14">
        <v>20.63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1" t="s">
        <v>573</v>
      </c>
      <c r="B255" s="11" t="s">
        <v>668</v>
      </c>
      <c r="C255" s="11" t="s">
        <v>689</v>
      </c>
      <c r="D255" s="14">
        <v>0.0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1" t="s">
        <v>573</v>
      </c>
      <c r="B256" s="11" t="s">
        <v>668</v>
      </c>
      <c r="C256" s="11" t="s">
        <v>690</v>
      </c>
      <c r="D256" s="14">
        <v>0.0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1" t="s">
        <v>573</v>
      </c>
      <c r="B257" s="11" t="s">
        <v>668</v>
      </c>
      <c r="C257" s="11" t="s">
        <v>693</v>
      </c>
      <c r="D257" s="14">
        <v>141.81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1" t="s">
        <v>573</v>
      </c>
      <c r="B258" s="11" t="s">
        <v>668</v>
      </c>
      <c r="C258" s="11" t="s">
        <v>695</v>
      </c>
      <c r="D258" s="14">
        <v>16.04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1" t="s">
        <v>573</v>
      </c>
      <c r="B259" s="11" t="s">
        <v>668</v>
      </c>
      <c r="C259" s="11" t="s">
        <v>697</v>
      </c>
      <c r="D259" s="14">
        <v>59.56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1" t="s">
        <v>573</v>
      </c>
      <c r="B260" s="11" t="s">
        <v>668</v>
      </c>
      <c r="C260" s="11" t="s">
        <v>699</v>
      </c>
      <c r="D260" s="14">
        <v>3.18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1" t="s">
        <v>573</v>
      </c>
      <c r="B261" s="11" t="s">
        <v>668</v>
      </c>
      <c r="C261" s="11" t="s">
        <v>701</v>
      </c>
      <c r="D261" s="14">
        <v>194.45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1" t="s">
        <v>573</v>
      </c>
      <c r="B262" s="11" t="s">
        <v>668</v>
      </c>
      <c r="C262" s="11" t="s">
        <v>703</v>
      </c>
      <c r="D262" s="14">
        <v>9.19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1" t="s">
        <v>573</v>
      </c>
      <c r="B263" s="11" t="s">
        <v>668</v>
      </c>
      <c r="C263" s="11" t="s">
        <v>705</v>
      </c>
      <c r="D263" s="14">
        <v>12.03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1" t="s">
        <v>573</v>
      </c>
      <c r="B264" s="11" t="s">
        <v>668</v>
      </c>
      <c r="C264" s="11" t="s">
        <v>708</v>
      </c>
      <c r="D264" s="14">
        <v>1180.94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1" t="s">
        <v>573</v>
      </c>
      <c r="B265" s="11" t="s">
        <v>668</v>
      </c>
      <c r="C265" s="11" t="s">
        <v>711</v>
      </c>
      <c r="D265" s="14">
        <v>43.0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1" t="s">
        <v>573</v>
      </c>
      <c r="B266" s="11" t="s">
        <v>668</v>
      </c>
      <c r="C266" s="11" t="s">
        <v>714</v>
      </c>
      <c r="D266" s="14">
        <v>22.37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1" t="s">
        <v>573</v>
      </c>
      <c r="B267" s="11" t="s">
        <v>668</v>
      </c>
      <c r="C267" s="11" t="s">
        <v>717</v>
      </c>
      <c r="D267" s="14">
        <v>326.59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1" t="s">
        <v>573</v>
      </c>
      <c r="B268" s="11" t="s">
        <v>668</v>
      </c>
      <c r="C268" s="11" t="s">
        <v>721</v>
      </c>
      <c r="D268" s="14">
        <v>0.0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1" t="s">
        <v>573</v>
      </c>
      <c r="B269" s="11" t="s">
        <v>668</v>
      </c>
      <c r="C269" s="11" t="s">
        <v>722</v>
      </c>
      <c r="D269" s="14">
        <v>454.32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1" t="s">
        <v>573</v>
      </c>
      <c r="B270" s="11" t="s">
        <v>668</v>
      </c>
      <c r="C270" s="11" t="s">
        <v>725</v>
      </c>
      <c r="D270" s="14">
        <v>0.0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1" t="s">
        <v>573</v>
      </c>
      <c r="B271" s="11" t="s">
        <v>668</v>
      </c>
      <c r="C271" s="11" t="s">
        <v>728</v>
      </c>
      <c r="D271" s="14">
        <v>0.0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1" t="s">
        <v>573</v>
      </c>
      <c r="B272" s="11" t="s">
        <v>668</v>
      </c>
      <c r="C272" s="11" t="s">
        <v>731</v>
      </c>
      <c r="D272" s="14">
        <v>0.0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1" t="s">
        <v>573</v>
      </c>
      <c r="B273" s="11" t="s">
        <v>668</v>
      </c>
      <c r="C273" s="11" t="s">
        <v>734</v>
      </c>
      <c r="D273" s="14">
        <v>75.55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1" t="s">
        <v>573</v>
      </c>
      <c r="B274" s="11" t="s">
        <v>668</v>
      </c>
      <c r="C274" s="11" t="s">
        <v>737</v>
      </c>
      <c r="D274" s="14">
        <v>0.0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1" t="s">
        <v>573</v>
      </c>
      <c r="B275" s="11" t="s">
        <v>668</v>
      </c>
      <c r="C275" s="11" t="s">
        <v>740</v>
      </c>
      <c r="D275" s="14">
        <v>0.0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1" t="s">
        <v>573</v>
      </c>
      <c r="B276" s="11" t="s">
        <v>668</v>
      </c>
      <c r="C276" s="11" t="s">
        <v>744</v>
      </c>
      <c r="D276" s="14">
        <v>0.0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1" t="s">
        <v>573</v>
      </c>
      <c r="B277" s="11" t="s">
        <v>668</v>
      </c>
      <c r="C277" s="11" t="s">
        <v>748</v>
      </c>
      <c r="D277" s="14">
        <v>326.0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1" t="s">
        <v>573</v>
      </c>
      <c r="B278" s="11" t="s">
        <v>668</v>
      </c>
      <c r="C278" s="11" t="s">
        <v>749</v>
      </c>
      <c r="D278" s="14">
        <v>34.29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1" t="s">
        <v>573</v>
      </c>
      <c r="B279" s="11" t="s">
        <v>668</v>
      </c>
      <c r="C279" s="11" t="s">
        <v>753</v>
      </c>
      <c r="D279" s="14">
        <v>0.0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1" t="s">
        <v>573</v>
      </c>
      <c r="B280" s="11" t="s">
        <v>668</v>
      </c>
      <c r="C280" s="11" t="s">
        <v>754</v>
      </c>
      <c r="D280" s="14">
        <v>0.0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1" t="s">
        <v>573</v>
      </c>
      <c r="B281" s="11" t="s">
        <v>668</v>
      </c>
      <c r="C281" s="11" t="s">
        <v>758</v>
      </c>
      <c r="D281" s="14">
        <v>0.0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1" t="s">
        <v>573</v>
      </c>
      <c r="B282" s="11" t="s">
        <v>668</v>
      </c>
      <c r="C282" s="11" t="s">
        <v>761</v>
      </c>
      <c r="D282" s="14">
        <v>148.7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1" t="s">
        <v>573</v>
      </c>
      <c r="B283" s="11" t="s">
        <v>668</v>
      </c>
      <c r="C283" s="11" t="s">
        <v>763</v>
      </c>
      <c r="D283" s="14">
        <v>0.0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1" t="s">
        <v>573</v>
      </c>
      <c r="B284" s="11" t="s">
        <v>668</v>
      </c>
      <c r="C284" s="11" t="s">
        <v>767</v>
      </c>
      <c r="D284" s="14">
        <v>160.0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1" t="s">
        <v>573</v>
      </c>
      <c r="B285" s="11" t="s">
        <v>668</v>
      </c>
      <c r="C285" s="11" t="s">
        <v>772</v>
      </c>
      <c r="D285" s="14">
        <v>0.0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1" t="s">
        <v>573</v>
      </c>
      <c r="B286" s="11" t="s">
        <v>668</v>
      </c>
      <c r="C286" s="11" t="s">
        <v>773</v>
      </c>
      <c r="D286" s="14">
        <v>0.0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1" t="s">
        <v>573</v>
      </c>
      <c r="B287" s="11" t="s">
        <v>668</v>
      </c>
      <c r="C287" s="11" t="s">
        <v>776</v>
      </c>
      <c r="D287" s="14">
        <v>0.0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1" t="s">
        <v>573</v>
      </c>
      <c r="B288" s="11" t="s">
        <v>668</v>
      </c>
      <c r="C288" s="11" t="s">
        <v>779</v>
      </c>
      <c r="D288" s="14">
        <v>375.84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1" t="s">
        <v>573</v>
      </c>
      <c r="B289" s="11" t="s">
        <v>668</v>
      </c>
      <c r="C289" s="11" t="s">
        <v>784</v>
      </c>
      <c r="D289" s="14">
        <v>22.0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1" t="s">
        <v>573</v>
      </c>
      <c r="B290" s="11" t="s">
        <v>668</v>
      </c>
      <c r="C290" s="11" t="s">
        <v>787</v>
      </c>
      <c r="D290" s="14">
        <v>604.25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1" t="s">
        <v>573</v>
      </c>
      <c r="B291" s="11" t="s">
        <v>668</v>
      </c>
      <c r="C291" s="11" t="s">
        <v>789</v>
      </c>
      <c r="D291" s="14">
        <v>5.65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1" t="s">
        <v>573</v>
      </c>
      <c r="B292" s="11" t="s">
        <v>668</v>
      </c>
      <c r="C292" s="11" t="s">
        <v>792</v>
      </c>
      <c r="D292" s="14">
        <v>0.0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1" t="s">
        <v>573</v>
      </c>
      <c r="B293" s="11" t="s">
        <v>668</v>
      </c>
      <c r="C293" s="11" t="s">
        <v>794</v>
      </c>
      <c r="D293" s="14">
        <v>404.0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1" t="s">
        <v>573</v>
      </c>
      <c r="B294" s="11" t="s">
        <v>668</v>
      </c>
      <c r="C294" s="11" t="s">
        <v>797</v>
      </c>
      <c r="D294" s="14">
        <v>7.94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1" t="s">
        <v>573</v>
      </c>
      <c r="B295" s="11" t="s">
        <v>668</v>
      </c>
      <c r="C295" s="11" t="s">
        <v>802</v>
      </c>
      <c r="D295" s="14">
        <v>0.0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1" t="s">
        <v>573</v>
      </c>
      <c r="B296" s="11" t="s">
        <v>668</v>
      </c>
      <c r="C296" s="11" t="s">
        <v>806</v>
      </c>
      <c r="D296" s="14">
        <v>9.65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1" t="s">
        <v>573</v>
      </c>
      <c r="B297" s="11" t="s">
        <v>668</v>
      </c>
      <c r="C297" s="11" t="s">
        <v>810</v>
      </c>
      <c r="D297" s="14">
        <v>0.0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1" t="s">
        <v>573</v>
      </c>
      <c r="B298" s="11" t="s">
        <v>668</v>
      </c>
      <c r="C298" s="11" t="s">
        <v>814</v>
      </c>
      <c r="D298" s="14">
        <v>62.13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1" t="s">
        <v>816</v>
      </c>
      <c r="B299" s="11" t="s">
        <v>818</v>
      </c>
      <c r="C299" s="11" t="s">
        <v>819</v>
      </c>
      <c r="D299" s="14">
        <v>32.0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1" t="s">
        <v>816</v>
      </c>
      <c r="B300" s="11" t="s">
        <v>818</v>
      </c>
      <c r="C300" s="11" t="s">
        <v>822</v>
      </c>
      <c r="D300" s="14">
        <v>208.45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1" t="s">
        <v>816</v>
      </c>
      <c r="B301" s="11" t="s">
        <v>818</v>
      </c>
      <c r="C301" s="11" t="s">
        <v>823</v>
      </c>
      <c r="D301" s="14">
        <v>867.0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1" t="s">
        <v>816</v>
      </c>
      <c r="B302" s="11" t="s">
        <v>818</v>
      </c>
      <c r="C302" s="11" t="s">
        <v>826</v>
      </c>
      <c r="D302" s="14">
        <v>5381.0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1" t="s">
        <v>816</v>
      </c>
      <c r="B303" s="11" t="s">
        <v>818</v>
      </c>
      <c r="C303" s="11" t="s">
        <v>829</v>
      </c>
      <c r="D303" s="14">
        <v>4621.0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1" t="s">
        <v>816</v>
      </c>
      <c r="B304" s="11" t="s">
        <v>818</v>
      </c>
      <c r="C304" s="11" t="s">
        <v>833</v>
      </c>
      <c r="D304" s="14">
        <v>2594.0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1" t="s">
        <v>816</v>
      </c>
      <c r="B305" s="11" t="s">
        <v>818</v>
      </c>
      <c r="C305" s="11" t="s">
        <v>837</v>
      </c>
      <c r="D305" s="14">
        <v>411.0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1" t="s">
        <v>816</v>
      </c>
      <c r="B306" s="11" t="s">
        <v>818</v>
      </c>
      <c r="C306" s="11" t="s">
        <v>840</v>
      </c>
      <c r="D306" s="14">
        <v>3314.0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1" t="s">
        <v>816</v>
      </c>
      <c r="B307" s="11" t="s">
        <v>818</v>
      </c>
      <c r="C307" s="11" t="s">
        <v>842</v>
      </c>
      <c r="D307" s="14">
        <v>971.0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1" t="s">
        <v>816</v>
      </c>
      <c r="B308" s="11" t="s">
        <v>818</v>
      </c>
      <c r="C308" s="11" t="s">
        <v>844</v>
      </c>
      <c r="D308" s="14">
        <v>1067.43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1" t="s">
        <v>816</v>
      </c>
      <c r="B309" s="11" t="s">
        <v>818</v>
      </c>
      <c r="C309" s="11" t="s">
        <v>847</v>
      </c>
      <c r="D309" s="14">
        <v>5361.0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1" t="s">
        <v>816</v>
      </c>
      <c r="B310" s="11" t="s">
        <v>818</v>
      </c>
      <c r="C310" s="11" t="s">
        <v>850</v>
      </c>
      <c r="D310" s="14">
        <v>66.0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1" t="s">
        <v>816</v>
      </c>
      <c r="B311" s="11" t="s">
        <v>818</v>
      </c>
      <c r="C311" s="11" t="s">
        <v>854</v>
      </c>
      <c r="D311" s="14">
        <v>158.0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1" t="s">
        <v>816</v>
      </c>
      <c r="B312" s="11" t="s">
        <v>818</v>
      </c>
      <c r="C312" s="11" t="s">
        <v>858</v>
      </c>
      <c r="D312" s="14">
        <v>3817.0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1" t="s">
        <v>816</v>
      </c>
      <c r="B313" s="11" t="s">
        <v>818</v>
      </c>
      <c r="C313" s="11" t="s">
        <v>860</v>
      </c>
      <c r="D313" s="14">
        <v>1370.0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1" t="s">
        <v>816</v>
      </c>
      <c r="B314" s="11" t="s">
        <v>818</v>
      </c>
      <c r="C314" s="11" t="s">
        <v>863</v>
      </c>
      <c r="D314" s="14">
        <v>1273.0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1" t="s">
        <v>816</v>
      </c>
      <c r="B315" s="11" t="s">
        <v>818</v>
      </c>
      <c r="C315" s="11" t="s">
        <v>864</v>
      </c>
      <c r="D315" s="14">
        <v>641.0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1" t="s">
        <v>816</v>
      </c>
      <c r="B316" s="11" t="s">
        <v>818</v>
      </c>
      <c r="C316" s="11" t="s">
        <v>867</v>
      </c>
      <c r="D316" s="14">
        <v>885.0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1" t="s">
        <v>816</v>
      </c>
      <c r="B317" s="11" t="s">
        <v>818</v>
      </c>
      <c r="C317" s="11" t="s">
        <v>870</v>
      </c>
      <c r="D317" s="14">
        <v>36.0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1" t="s">
        <v>816</v>
      </c>
      <c r="B318" s="11" t="s">
        <v>818</v>
      </c>
      <c r="C318" s="11" t="s">
        <v>874</v>
      </c>
      <c r="D318" s="14">
        <v>267.0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1" t="s">
        <v>816</v>
      </c>
      <c r="B319" s="11" t="s">
        <v>818</v>
      </c>
      <c r="C319" s="11" t="s">
        <v>876</v>
      </c>
      <c r="D319" s="14">
        <v>447.0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1" t="s">
        <v>816</v>
      </c>
      <c r="B320" s="11" t="s">
        <v>818</v>
      </c>
      <c r="C320" s="11" t="s">
        <v>879</v>
      </c>
      <c r="D320" s="14">
        <v>1211.0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1" t="s">
        <v>816</v>
      </c>
      <c r="B321" s="11" t="s">
        <v>818</v>
      </c>
      <c r="C321" s="11" t="s">
        <v>882</v>
      </c>
      <c r="D321" s="14">
        <v>554.0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1" t="s">
        <v>816</v>
      </c>
      <c r="B322" s="11" t="s">
        <v>818</v>
      </c>
      <c r="C322" s="11" t="s">
        <v>884</v>
      </c>
      <c r="D322" s="14">
        <v>1700.0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1" t="s">
        <v>816</v>
      </c>
      <c r="B323" s="11" t="s">
        <v>818</v>
      </c>
      <c r="C323" s="11" t="s">
        <v>888</v>
      </c>
      <c r="D323" s="14">
        <v>478.0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1" t="s">
        <v>816</v>
      </c>
      <c r="B324" s="11" t="s">
        <v>818</v>
      </c>
      <c r="C324" s="11" t="s">
        <v>890</v>
      </c>
      <c r="D324" s="14">
        <v>106.0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1" t="s">
        <v>816</v>
      </c>
      <c r="B325" s="11" t="s">
        <v>818</v>
      </c>
      <c r="C325" s="11" t="s">
        <v>892</v>
      </c>
      <c r="D325" s="14">
        <v>48.0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1" t="s">
        <v>816</v>
      </c>
      <c r="B326" s="11" t="s">
        <v>818</v>
      </c>
      <c r="C326" s="11" t="s">
        <v>894</v>
      </c>
      <c r="D326" s="14">
        <v>338.0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1" t="s">
        <v>816</v>
      </c>
      <c r="B327" s="11" t="s">
        <v>818</v>
      </c>
      <c r="C327" s="11" t="s">
        <v>896</v>
      </c>
      <c r="D327" s="14">
        <v>56.0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1" t="s">
        <v>816</v>
      </c>
      <c r="B328" s="11" t="s">
        <v>818</v>
      </c>
      <c r="C328" s="11" t="s">
        <v>899</v>
      </c>
      <c r="D328" s="14">
        <v>1423.0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1" t="s">
        <v>816</v>
      </c>
      <c r="B329" s="11" t="s">
        <v>818</v>
      </c>
      <c r="C329" s="11" t="s">
        <v>902</v>
      </c>
      <c r="D329" s="14">
        <v>137.0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1" t="s">
        <v>816</v>
      </c>
      <c r="B330" s="11" t="s">
        <v>903</v>
      </c>
      <c r="C330" s="11" t="s">
        <v>904</v>
      </c>
      <c r="D330" s="14">
        <v>4461.0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1" t="s">
        <v>816</v>
      </c>
      <c r="B331" s="11" t="s">
        <v>903</v>
      </c>
      <c r="C331" s="11" t="s">
        <v>908</v>
      </c>
      <c r="D331" s="14">
        <v>1300.0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1" t="s">
        <v>816</v>
      </c>
      <c r="B332" s="11" t="s">
        <v>903</v>
      </c>
      <c r="C332" s="11" t="s">
        <v>911</v>
      </c>
      <c r="D332" s="14">
        <v>3879.0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1" t="s">
        <v>816</v>
      </c>
      <c r="B333" s="11" t="s">
        <v>903</v>
      </c>
      <c r="C333" s="11" t="s">
        <v>912</v>
      </c>
      <c r="D333" s="14">
        <v>4487.0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1" t="s">
        <v>816</v>
      </c>
      <c r="B334" s="11" t="s">
        <v>903</v>
      </c>
      <c r="C334" s="11" t="s">
        <v>914</v>
      </c>
      <c r="D334" s="14">
        <v>545.0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1" t="s">
        <v>816</v>
      </c>
      <c r="B335" s="11" t="s">
        <v>903</v>
      </c>
      <c r="C335" s="11" t="s">
        <v>916</v>
      </c>
      <c r="D335" s="14">
        <v>801.06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1" t="s">
        <v>816</v>
      </c>
      <c r="B336" s="11" t="s">
        <v>903</v>
      </c>
      <c r="C336" s="11" t="s">
        <v>918</v>
      </c>
      <c r="D336" s="14">
        <v>148.0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1" t="s">
        <v>816</v>
      </c>
      <c r="B337" s="11" t="s">
        <v>903</v>
      </c>
      <c r="C337" s="11" t="s">
        <v>920</v>
      </c>
      <c r="D337" s="14">
        <v>2685.0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1" t="s">
        <v>816</v>
      </c>
      <c r="B338" s="11" t="s">
        <v>903</v>
      </c>
      <c r="C338" s="11" t="s">
        <v>922</v>
      </c>
      <c r="D338" s="14">
        <v>3819.0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1" t="s">
        <v>816</v>
      </c>
      <c r="B339" s="11" t="s">
        <v>903</v>
      </c>
      <c r="C339" s="11" t="s">
        <v>924</v>
      </c>
      <c r="D339" s="14">
        <v>2587.0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1" t="s">
        <v>816</v>
      </c>
      <c r="B340" s="11" t="s">
        <v>903</v>
      </c>
      <c r="C340" s="11" t="s">
        <v>927</v>
      </c>
      <c r="D340" s="14">
        <v>3947.0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1" t="s">
        <v>816</v>
      </c>
      <c r="B341" s="11" t="s">
        <v>903</v>
      </c>
      <c r="C341" s="11" t="s">
        <v>930</v>
      </c>
      <c r="D341" s="14">
        <v>2162.0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1" t="s">
        <v>816</v>
      </c>
      <c r="B342" s="11" t="s">
        <v>903</v>
      </c>
      <c r="C342" s="11" t="s">
        <v>932</v>
      </c>
      <c r="D342" s="14">
        <v>1808.0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1" t="s">
        <v>816</v>
      </c>
      <c r="B343" s="11" t="s">
        <v>903</v>
      </c>
      <c r="C343" s="11" t="s">
        <v>934</v>
      </c>
      <c r="D343" s="14">
        <v>141.0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1" t="s">
        <v>816</v>
      </c>
      <c r="B344" s="11" t="s">
        <v>903</v>
      </c>
      <c r="C344" s="11" t="s">
        <v>937</v>
      </c>
      <c r="D344" s="14">
        <v>858.0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1" t="s">
        <v>816</v>
      </c>
      <c r="B345" s="11" t="s">
        <v>903</v>
      </c>
      <c r="C345" s="11" t="s">
        <v>938</v>
      </c>
      <c r="D345" s="14">
        <v>77.0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1" t="s">
        <v>816</v>
      </c>
      <c r="B346" s="11" t="s">
        <v>903</v>
      </c>
      <c r="C346" s="11" t="s">
        <v>941</v>
      </c>
      <c r="D346" s="14">
        <v>200.15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1" t="s">
        <v>816</v>
      </c>
      <c r="B347" s="11" t="s">
        <v>903</v>
      </c>
      <c r="C347" s="11" t="s">
        <v>942</v>
      </c>
      <c r="D347" s="14">
        <v>85.0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1" t="s">
        <v>816</v>
      </c>
      <c r="B348" s="11" t="s">
        <v>903</v>
      </c>
      <c r="C348" s="11" t="s">
        <v>947</v>
      </c>
      <c r="D348" s="14">
        <v>280.0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1" t="s">
        <v>816</v>
      </c>
      <c r="B349" s="11" t="s">
        <v>903</v>
      </c>
      <c r="C349" s="11" t="s">
        <v>948</v>
      </c>
      <c r="D349" s="14">
        <v>386.0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1" t="s">
        <v>816</v>
      </c>
      <c r="B350" s="11" t="s">
        <v>903</v>
      </c>
      <c r="C350" s="11" t="s">
        <v>951</v>
      </c>
      <c r="D350" s="14">
        <v>239.0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1" t="s">
        <v>816</v>
      </c>
      <c r="B351" s="11" t="s">
        <v>903</v>
      </c>
      <c r="C351" s="11" t="s">
        <v>952</v>
      </c>
      <c r="D351" s="14">
        <v>135.0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1" t="s">
        <v>816</v>
      </c>
      <c r="B352" s="11" t="s">
        <v>903</v>
      </c>
      <c r="C352" s="11" t="s">
        <v>955</v>
      </c>
      <c r="D352" s="14">
        <v>457.0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1" t="s">
        <v>816</v>
      </c>
      <c r="B353" s="11" t="s">
        <v>903</v>
      </c>
      <c r="C353" s="11" t="s">
        <v>957</v>
      </c>
      <c r="D353" s="14">
        <v>146.0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1" t="s">
        <v>816</v>
      </c>
      <c r="B354" s="11" t="s">
        <v>903</v>
      </c>
      <c r="C354" s="11" t="s">
        <v>959</v>
      </c>
      <c r="D354" s="14">
        <v>376.0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1" t="s">
        <v>816</v>
      </c>
      <c r="B355" s="11" t="s">
        <v>903</v>
      </c>
      <c r="C355" s="11" t="s">
        <v>962</v>
      </c>
      <c r="D355" s="14">
        <v>323.0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1" t="s">
        <v>816</v>
      </c>
      <c r="B356" s="11" t="s">
        <v>903</v>
      </c>
      <c r="C356" s="11" t="s">
        <v>964</v>
      </c>
      <c r="D356" s="14">
        <v>1066.9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1" t="s">
        <v>816</v>
      </c>
      <c r="B357" s="11" t="s">
        <v>903</v>
      </c>
      <c r="C357" s="11" t="s">
        <v>966</v>
      </c>
      <c r="D357" s="14">
        <v>225.0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1" t="s">
        <v>816</v>
      </c>
      <c r="B358" s="11" t="s">
        <v>903</v>
      </c>
      <c r="C358" s="11" t="s">
        <v>969</v>
      </c>
      <c r="D358" s="14">
        <v>138.0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1" t="s">
        <v>816</v>
      </c>
      <c r="B359" s="11" t="s">
        <v>903</v>
      </c>
      <c r="C359" s="11" t="s">
        <v>972</v>
      </c>
      <c r="D359" s="14">
        <v>162.0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1" t="s">
        <v>816</v>
      </c>
      <c r="B360" s="11" t="s">
        <v>903</v>
      </c>
      <c r="C360" s="11" t="s">
        <v>973</v>
      </c>
      <c r="D360" s="14">
        <v>193.0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1" t="s">
        <v>816</v>
      </c>
      <c r="B361" s="11" t="s">
        <v>975</v>
      </c>
      <c r="C361" s="11" t="s">
        <v>977</v>
      </c>
      <c r="D361" s="14">
        <v>133.07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1" t="s">
        <v>816</v>
      </c>
      <c r="B362" s="11" t="s">
        <v>975</v>
      </c>
      <c r="C362" s="11" t="s">
        <v>978</v>
      </c>
      <c r="D362" s="14">
        <v>11.85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1" t="s">
        <v>816</v>
      </c>
      <c r="B363" s="11" t="s">
        <v>975</v>
      </c>
      <c r="C363" s="11" t="s">
        <v>981</v>
      </c>
      <c r="D363" s="14">
        <v>56.83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1" t="s">
        <v>816</v>
      </c>
      <c r="B364" s="11" t="s">
        <v>975</v>
      </c>
      <c r="C364" s="11" t="s">
        <v>982</v>
      </c>
      <c r="D364" s="14">
        <v>0.1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1" t="s">
        <v>816</v>
      </c>
      <c r="B365" s="11" t="s">
        <v>975</v>
      </c>
      <c r="C365" s="11" t="s">
        <v>985</v>
      </c>
      <c r="D365" s="14">
        <v>7.0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1" t="s">
        <v>816</v>
      </c>
      <c r="B366" s="11" t="s">
        <v>975</v>
      </c>
      <c r="C366" s="11" t="s">
        <v>988</v>
      </c>
      <c r="D366" s="14">
        <v>157.57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1" t="s">
        <v>816</v>
      </c>
      <c r="B367" s="11" t="s">
        <v>975</v>
      </c>
      <c r="C367" s="11" t="s">
        <v>989</v>
      </c>
      <c r="D367" s="14">
        <v>1540.84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1" t="s">
        <v>816</v>
      </c>
      <c r="B368" s="11" t="s">
        <v>975</v>
      </c>
      <c r="C368" s="11" t="s">
        <v>992</v>
      </c>
      <c r="D368" s="14">
        <v>1.17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1" t="s">
        <v>816</v>
      </c>
      <c r="B369" s="11" t="s">
        <v>975</v>
      </c>
      <c r="C369" s="11" t="s">
        <v>995</v>
      </c>
      <c r="D369" s="14">
        <v>94.96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1" t="s">
        <v>816</v>
      </c>
      <c r="B370" s="11" t="s">
        <v>975</v>
      </c>
      <c r="C370" s="11" t="s">
        <v>997</v>
      </c>
      <c r="D370" s="14">
        <v>15.04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1" t="s">
        <v>816</v>
      </c>
      <c r="B371" s="11" t="s">
        <v>975</v>
      </c>
      <c r="C371" s="11" t="s">
        <v>999</v>
      </c>
      <c r="D371" s="14">
        <v>12.22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1" t="s">
        <v>816</v>
      </c>
      <c r="B372" s="11" t="s">
        <v>975</v>
      </c>
      <c r="C372" s="11" t="s">
        <v>1002</v>
      </c>
      <c r="D372" s="14">
        <v>800.35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1" t="s">
        <v>816</v>
      </c>
      <c r="B373" s="11" t="s">
        <v>975</v>
      </c>
      <c r="C373" s="11" t="s">
        <v>1004</v>
      </c>
      <c r="D373" s="14">
        <v>158.88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1" t="s">
        <v>816</v>
      </c>
      <c r="B374" s="11" t="s">
        <v>975</v>
      </c>
      <c r="C374" s="11" t="s">
        <v>1006</v>
      </c>
      <c r="D374" s="14">
        <v>1622.17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1" t="s">
        <v>816</v>
      </c>
      <c r="B375" s="11" t="s">
        <v>975</v>
      </c>
      <c r="C375" s="11" t="s">
        <v>1009</v>
      </c>
      <c r="D375" s="14">
        <v>375.64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1" t="s">
        <v>816</v>
      </c>
      <c r="B376" s="11" t="s">
        <v>975</v>
      </c>
      <c r="C376" s="11" t="s">
        <v>1012</v>
      </c>
      <c r="D376" s="14">
        <v>114.47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1" t="s">
        <v>816</v>
      </c>
      <c r="B377" s="11" t="s">
        <v>975</v>
      </c>
      <c r="C377" s="11" t="s">
        <v>1015</v>
      </c>
      <c r="D377" s="14">
        <v>5.56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1" t="s">
        <v>816</v>
      </c>
      <c r="B378" s="11" t="s">
        <v>975</v>
      </c>
      <c r="C378" s="11" t="s">
        <v>1018</v>
      </c>
      <c r="D378" s="14">
        <v>180.0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1" t="s">
        <v>816</v>
      </c>
      <c r="B379" s="11" t="s">
        <v>975</v>
      </c>
      <c r="C379" s="11" t="s">
        <v>1021</v>
      </c>
      <c r="D379" s="14">
        <v>190.0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1" t="s">
        <v>816</v>
      </c>
      <c r="B380" s="11" t="s">
        <v>975</v>
      </c>
      <c r="C380" s="11" t="s">
        <v>1022</v>
      </c>
      <c r="D380" s="14">
        <v>221.0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1" t="s">
        <v>816</v>
      </c>
      <c r="B381" s="11" t="s">
        <v>975</v>
      </c>
      <c r="C381" s="11" t="s">
        <v>1025</v>
      </c>
      <c r="D381" s="14">
        <v>11.55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1" t="s">
        <v>816</v>
      </c>
      <c r="B382" s="11" t="s">
        <v>975</v>
      </c>
      <c r="C382" s="11" t="s">
        <v>1028</v>
      </c>
      <c r="D382" s="14">
        <v>0.2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1" t="s">
        <v>816</v>
      </c>
      <c r="B383" s="11" t="s">
        <v>975</v>
      </c>
      <c r="C383" s="11" t="s">
        <v>1029</v>
      </c>
      <c r="D383" s="14">
        <v>0.26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1" t="s">
        <v>816</v>
      </c>
      <c r="B384" s="11" t="s">
        <v>975</v>
      </c>
      <c r="C384" s="11" t="s">
        <v>1032</v>
      </c>
      <c r="D384" s="14">
        <v>63.09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1" t="s">
        <v>816</v>
      </c>
      <c r="B385" s="11" t="s">
        <v>975</v>
      </c>
      <c r="C385" s="11" t="s">
        <v>1033</v>
      </c>
      <c r="D385" s="14">
        <v>79.65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1" t="s">
        <v>816</v>
      </c>
      <c r="B386" s="11" t="s">
        <v>975</v>
      </c>
      <c r="C386" s="11" t="s">
        <v>1035</v>
      </c>
      <c r="D386" s="14">
        <v>1585.8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1" t="s">
        <v>816</v>
      </c>
      <c r="B387" s="11" t="s">
        <v>975</v>
      </c>
      <c r="C387" s="11" t="s">
        <v>1038</v>
      </c>
      <c r="D387" s="14">
        <v>24.74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1" t="s">
        <v>816</v>
      </c>
      <c r="B388" s="11" t="s">
        <v>975</v>
      </c>
      <c r="C388" s="11" t="s">
        <v>1039</v>
      </c>
      <c r="D388" s="14">
        <v>179.27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1" t="s">
        <v>816</v>
      </c>
      <c r="B389" s="11" t="s">
        <v>975</v>
      </c>
      <c r="C389" s="11" t="s">
        <v>1042</v>
      </c>
      <c r="D389" s="14">
        <v>0.0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1" t="s">
        <v>816</v>
      </c>
      <c r="B390" s="11" t="s">
        <v>975</v>
      </c>
      <c r="C390" s="11" t="s">
        <v>1044</v>
      </c>
      <c r="D390" s="14">
        <v>138.3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1" t="s">
        <v>816</v>
      </c>
      <c r="B391" s="11" t="s">
        <v>975</v>
      </c>
      <c r="C391" s="11" t="s">
        <v>1046</v>
      </c>
      <c r="D391" s="14">
        <v>136.18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1" t="s">
        <v>816</v>
      </c>
      <c r="B392" s="11" t="s">
        <v>975</v>
      </c>
      <c r="C392" s="11" t="s">
        <v>1048</v>
      </c>
      <c r="D392" s="14">
        <v>16.33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1" t="s">
        <v>816</v>
      </c>
      <c r="B393" s="11" t="s">
        <v>975</v>
      </c>
      <c r="C393" s="11" t="s">
        <v>1051</v>
      </c>
      <c r="D393" s="14">
        <v>32.07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1" t="s">
        <v>816</v>
      </c>
      <c r="B394" s="11" t="s">
        <v>975</v>
      </c>
      <c r="C394" s="11" t="s">
        <v>1052</v>
      </c>
      <c r="D394" s="14">
        <v>1754.05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1" t="s">
        <v>816</v>
      </c>
      <c r="B395" s="11" t="s">
        <v>975</v>
      </c>
      <c r="C395" s="11" t="s">
        <v>1055</v>
      </c>
      <c r="D395" s="14">
        <v>36.57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1" t="s">
        <v>816</v>
      </c>
      <c r="B396" s="11" t="s">
        <v>975</v>
      </c>
      <c r="C396" s="11" t="s">
        <v>1057</v>
      </c>
      <c r="D396" s="14">
        <v>1162.9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1" t="s">
        <v>816</v>
      </c>
      <c r="B397" s="11" t="s">
        <v>975</v>
      </c>
      <c r="C397" s="11" t="s">
        <v>1059</v>
      </c>
      <c r="D397" s="14">
        <v>97.52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1" t="s">
        <v>816</v>
      </c>
      <c r="B398" s="11" t="s">
        <v>975</v>
      </c>
      <c r="C398" s="11" t="s">
        <v>1063</v>
      </c>
      <c r="D398" s="14">
        <v>87.83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1" t="s">
        <v>816</v>
      </c>
      <c r="B399" s="11" t="s">
        <v>975</v>
      </c>
      <c r="C399" s="11" t="s">
        <v>1065</v>
      </c>
      <c r="D399" s="14">
        <v>28.83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1" t="s">
        <v>816</v>
      </c>
      <c r="B400" s="11" t="s">
        <v>975</v>
      </c>
      <c r="C400" s="11" t="s">
        <v>1068</v>
      </c>
      <c r="D400" s="14">
        <v>30.57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1" t="s">
        <v>816</v>
      </c>
      <c r="B401" s="11" t="s">
        <v>975</v>
      </c>
      <c r="C401" s="11" t="s">
        <v>1070</v>
      </c>
      <c r="D401" s="14">
        <v>54.66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1" t="s">
        <v>816</v>
      </c>
      <c r="B402" s="11" t="s">
        <v>975</v>
      </c>
      <c r="C402" s="11" t="s">
        <v>1075</v>
      </c>
      <c r="D402" s="14">
        <v>2.07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1" t="s">
        <v>816</v>
      </c>
      <c r="B403" s="11" t="s">
        <v>975</v>
      </c>
      <c r="C403" s="11" t="s">
        <v>1078</v>
      </c>
      <c r="D403" s="14">
        <v>9.23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1" t="s">
        <v>816</v>
      </c>
      <c r="B404" s="11" t="s">
        <v>975</v>
      </c>
      <c r="C404" s="11" t="s">
        <v>1079</v>
      </c>
      <c r="D404" s="14">
        <v>97.29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1" t="s">
        <v>816</v>
      </c>
      <c r="B405" s="11" t="s">
        <v>975</v>
      </c>
      <c r="C405" s="11" t="s">
        <v>1084</v>
      </c>
      <c r="D405" s="14">
        <v>422.08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1" t="s">
        <v>816</v>
      </c>
      <c r="B406" s="11" t="s">
        <v>975</v>
      </c>
      <c r="C406" s="11" t="s">
        <v>1085</v>
      </c>
      <c r="D406" s="14">
        <v>15.0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1" t="s">
        <v>816</v>
      </c>
      <c r="B407" s="11" t="s">
        <v>975</v>
      </c>
      <c r="C407" s="11" t="s">
        <v>1088</v>
      </c>
      <c r="D407" s="14">
        <v>655.94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1" t="s">
        <v>816</v>
      </c>
      <c r="B408" s="11" t="s">
        <v>975</v>
      </c>
      <c r="C408" s="11" t="s">
        <v>1089</v>
      </c>
      <c r="D408" s="14">
        <v>480.73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1" t="s">
        <v>816</v>
      </c>
      <c r="B409" s="11" t="s">
        <v>975</v>
      </c>
      <c r="C409" s="11" t="s">
        <v>1091</v>
      </c>
      <c r="D409" s="14">
        <v>91.66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1" t="s">
        <v>1093</v>
      </c>
      <c r="B410" s="11" t="s">
        <v>1094</v>
      </c>
      <c r="C410" s="11" t="s">
        <v>1095</v>
      </c>
      <c r="D410" s="14">
        <v>395.74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1" t="s">
        <v>1093</v>
      </c>
      <c r="B411" s="11" t="s">
        <v>1094</v>
      </c>
      <c r="C411" s="11" t="s">
        <v>1098</v>
      </c>
      <c r="D411" s="14">
        <v>275.43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1" t="s">
        <v>1093</v>
      </c>
      <c r="B412" s="11" t="s">
        <v>1094</v>
      </c>
      <c r="C412" s="11" t="s">
        <v>1102</v>
      </c>
      <c r="D412" s="14">
        <v>371.0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1" t="s">
        <v>1093</v>
      </c>
      <c r="B413" s="11" t="s">
        <v>1094</v>
      </c>
      <c r="C413" s="11" t="s">
        <v>1106</v>
      </c>
      <c r="D413" s="14">
        <v>35.89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1" t="s">
        <v>1093</v>
      </c>
      <c r="B414" s="11" t="s">
        <v>1094</v>
      </c>
      <c r="C414" s="11" t="s">
        <v>1109</v>
      </c>
      <c r="D414" s="14">
        <v>284.77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1" t="s">
        <v>1093</v>
      </c>
      <c r="B415" s="11" t="s">
        <v>1094</v>
      </c>
      <c r="C415" s="11" t="s">
        <v>1113</v>
      </c>
      <c r="D415" s="14">
        <v>0.0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1" t="s">
        <v>1093</v>
      </c>
      <c r="B416" s="11" t="s">
        <v>1094</v>
      </c>
      <c r="C416" s="11" t="s">
        <v>1117</v>
      </c>
      <c r="D416" s="14">
        <v>3409.23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1" t="s">
        <v>1093</v>
      </c>
      <c r="B417" s="11" t="s">
        <v>1118</v>
      </c>
      <c r="C417" s="11" t="s">
        <v>1119</v>
      </c>
      <c r="D417" s="14">
        <v>221.0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1" t="s">
        <v>1093</v>
      </c>
      <c r="B418" s="11" t="s">
        <v>1118</v>
      </c>
      <c r="C418" s="11" t="s">
        <v>1122</v>
      </c>
      <c r="D418" s="14">
        <v>0.0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1" t="s">
        <v>1093</v>
      </c>
      <c r="B419" s="11" t="s">
        <v>1118</v>
      </c>
      <c r="C419" s="11" t="s">
        <v>1123</v>
      </c>
      <c r="D419" s="14">
        <v>0.0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1" t="s">
        <v>1093</v>
      </c>
      <c r="B420" s="11" t="s">
        <v>1118</v>
      </c>
      <c r="C420" s="11" t="s">
        <v>1126</v>
      </c>
      <c r="D420" s="14">
        <v>441.38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1" t="s">
        <v>1093</v>
      </c>
      <c r="B421" s="11" t="s">
        <v>1118</v>
      </c>
      <c r="C421" s="11" t="s">
        <v>1127</v>
      </c>
      <c r="D421" s="14">
        <v>129.81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1" t="s">
        <v>1093</v>
      </c>
      <c r="B422" s="11" t="s">
        <v>1118</v>
      </c>
      <c r="C422" s="11" t="s">
        <v>1130</v>
      </c>
      <c r="D422" s="14">
        <v>585.0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1" t="s">
        <v>1093</v>
      </c>
      <c r="B423" s="11" t="s">
        <v>1118</v>
      </c>
      <c r="C423" s="11" t="s">
        <v>1132</v>
      </c>
      <c r="D423" s="14">
        <v>445.04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1" t="s">
        <v>1093</v>
      </c>
      <c r="B424" s="11" t="s">
        <v>1118</v>
      </c>
      <c r="C424" s="11" t="s">
        <v>1133</v>
      </c>
      <c r="D424" s="14">
        <v>0.0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1" t="s">
        <v>1093</v>
      </c>
      <c r="B425" s="11" t="s">
        <v>1118</v>
      </c>
      <c r="C425" s="11" t="s">
        <v>1135</v>
      </c>
      <c r="D425" s="14">
        <v>1009.79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1" t="s">
        <v>1093</v>
      </c>
      <c r="B426" s="11" t="s">
        <v>1118</v>
      </c>
      <c r="C426" s="11" t="s">
        <v>1136</v>
      </c>
      <c r="D426" s="14">
        <v>8.0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1" t="s">
        <v>1093</v>
      </c>
      <c r="B427" s="11" t="s">
        <v>1118</v>
      </c>
      <c r="C427" s="11" t="s">
        <v>1139</v>
      </c>
      <c r="D427" s="14">
        <v>1.06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1" t="s">
        <v>1093</v>
      </c>
      <c r="B428" s="11" t="s">
        <v>1118</v>
      </c>
      <c r="C428" s="11" t="s">
        <v>1142</v>
      </c>
      <c r="D428" s="14">
        <v>9.3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1" t="s">
        <v>1093</v>
      </c>
      <c r="B429" s="11" t="s">
        <v>1144</v>
      </c>
      <c r="C429" s="11" t="s">
        <v>1146</v>
      </c>
      <c r="D429" s="14">
        <v>699.59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1" t="s">
        <v>1093</v>
      </c>
      <c r="B430" s="11" t="s">
        <v>1144</v>
      </c>
      <c r="C430" s="11" t="s">
        <v>1147</v>
      </c>
      <c r="D430" s="14">
        <v>227.4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1" t="s">
        <v>1093</v>
      </c>
      <c r="B431" s="11" t="s">
        <v>1144</v>
      </c>
      <c r="C431" s="11" t="s">
        <v>1150</v>
      </c>
      <c r="D431" s="14">
        <v>218.29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1" t="s">
        <v>1093</v>
      </c>
      <c r="B432" s="11" t="s">
        <v>1153</v>
      </c>
      <c r="C432" s="11" t="s">
        <v>1154</v>
      </c>
      <c r="D432" s="14">
        <v>0.0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1" t="s">
        <v>1093</v>
      </c>
      <c r="B433" s="11" t="s">
        <v>1153</v>
      </c>
      <c r="C433" s="11" t="s">
        <v>1156</v>
      </c>
      <c r="D433" s="14">
        <v>218.25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1" t="s">
        <v>1093</v>
      </c>
      <c r="B434" s="11" t="s">
        <v>1153</v>
      </c>
      <c r="C434" s="11" t="s">
        <v>1160</v>
      </c>
      <c r="D434" s="14">
        <v>198.02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1" t="s">
        <v>1093</v>
      </c>
      <c r="B435" s="11" t="s">
        <v>1153</v>
      </c>
      <c r="C435" s="11" t="s">
        <v>1162</v>
      </c>
      <c r="D435" s="14">
        <v>0.0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1" t="s">
        <v>1093</v>
      </c>
      <c r="B436" s="11" t="s">
        <v>1153</v>
      </c>
      <c r="C436" s="11" t="s">
        <v>1165</v>
      </c>
      <c r="D436" s="14">
        <v>0.0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1" t="s">
        <v>1093</v>
      </c>
      <c r="B437" s="11" t="s">
        <v>1153</v>
      </c>
      <c r="C437" s="11" t="s">
        <v>1168</v>
      </c>
      <c r="D437" s="14">
        <v>0.0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1" t="s">
        <v>1093</v>
      </c>
      <c r="B438" s="11" t="s">
        <v>1153</v>
      </c>
      <c r="C438" s="11" t="s">
        <v>1171</v>
      </c>
      <c r="D438" s="14">
        <v>0.0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1" t="s">
        <v>1093</v>
      </c>
      <c r="B439" s="11" t="s">
        <v>1153</v>
      </c>
      <c r="C439" s="11" t="s">
        <v>1174</v>
      </c>
      <c r="D439" s="14">
        <v>0.0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1" t="s">
        <v>1093</v>
      </c>
      <c r="B440" s="11" t="s">
        <v>1153</v>
      </c>
      <c r="C440" s="11" t="s">
        <v>1176</v>
      </c>
      <c r="D440" s="14">
        <v>0.0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1" t="s">
        <v>1093</v>
      </c>
      <c r="B441" s="11" t="s">
        <v>1153</v>
      </c>
      <c r="C441" s="11" t="s">
        <v>1177</v>
      </c>
      <c r="D441" s="14">
        <v>0.0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1" t="s">
        <v>1093</v>
      </c>
      <c r="B442" s="11" t="s">
        <v>1153</v>
      </c>
      <c r="C442" s="11" t="s">
        <v>1180</v>
      </c>
      <c r="D442" s="14">
        <v>191.89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1" t="s">
        <v>1093</v>
      </c>
      <c r="B443" s="11" t="s">
        <v>1153</v>
      </c>
      <c r="C443" s="11" t="s">
        <v>1181</v>
      </c>
      <c r="D443" s="14">
        <v>0.0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1" t="s">
        <v>1093</v>
      </c>
      <c r="B444" s="11" t="s">
        <v>1153</v>
      </c>
      <c r="C444" s="11" t="s">
        <v>1183</v>
      </c>
      <c r="D444" s="14">
        <v>0.0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1" t="s">
        <v>1093</v>
      </c>
      <c r="B445" s="11" t="s">
        <v>1153</v>
      </c>
      <c r="C445" s="11" t="s">
        <v>1185</v>
      </c>
      <c r="D445" s="14">
        <v>0.0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1" t="s">
        <v>1093</v>
      </c>
      <c r="B446" s="11" t="s">
        <v>1153</v>
      </c>
      <c r="C446" s="11" t="s">
        <v>1186</v>
      </c>
      <c r="D446" s="14">
        <v>231.81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1" t="s">
        <v>1093</v>
      </c>
      <c r="B447" s="11" t="s">
        <v>1153</v>
      </c>
      <c r="C447" s="11" t="s">
        <v>1189</v>
      </c>
      <c r="D447" s="14">
        <v>0.0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1" t="s">
        <v>1093</v>
      </c>
      <c r="B448" s="11" t="s">
        <v>1153</v>
      </c>
      <c r="C448" s="11" t="s">
        <v>1192</v>
      </c>
      <c r="D448" s="14">
        <v>273.83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1" t="s">
        <v>1093</v>
      </c>
      <c r="B449" s="11" t="s">
        <v>1153</v>
      </c>
      <c r="C449" s="11" t="s">
        <v>1193</v>
      </c>
      <c r="D449" s="14">
        <v>22.31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1" t="s">
        <v>1093</v>
      </c>
      <c r="B450" s="11" t="s">
        <v>1153</v>
      </c>
      <c r="C450" s="11" t="s">
        <v>1196</v>
      </c>
      <c r="D450" s="14">
        <v>0.0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1" t="s">
        <v>1093</v>
      </c>
      <c r="B451" s="11" t="s">
        <v>1153</v>
      </c>
      <c r="C451" s="11" t="s">
        <v>1198</v>
      </c>
      <c r="D451" s="14">
        <v>0.0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1" t="s">
        <v>1093</v>
      </c>
      <c r="B452" s="11" t="s">
        <v>1153</v>
      </c>
      <c r="C452" s="11" t="s">
        <v>1202</v>
      </c>
      <c r="D452" s="14">
        <v>13.72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1" t="s">
        <v>1093</v>
      </c>
      <c r="B453" s="11" t="s">
        <v>1153</v>
      </c>
      <c r="C453" s="11" t="s">
        <v>1203</v>
      </c>
      <c r="D453" s="14">
        <v>0.0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1" t="s">
        <v>1093</v>
      </c>
      <c r="B454" s="11" t="s">
        <v>1153</v>
      </c>
      <c r="C454" s="11" t="s">
        <v>1207</v>
      </c>
      <c r="D454" s="14">
        <v>0.0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1" t="s">
        <v>1093</v>
      </c>
      <c r="B455" s="11" t="s">
        <v>1153</v>
      </c>
      <c r="C455" s="11" t="s">
        <v>1208</v>
      </c>
      <c r="D455" s="14">
        <v>0.0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1" t="s">
        <v>1093</v>
      </c>
      <c r="B456" s="11" t="s">
        <v>1153</v>
      </c>
      <c r="C456" s="11" t="s">
        <v>1210</v>
      </c>
      <c r="D456" s="14">
        <v>7.59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1" t="s">
        <v>1093</v>
      </c>
      <c r="B457" s="11" t="s">
        <v>1153</v>
      </c>
      <c r="C457" s="11" t="s">
        <v>1212</v>
      </c>
      <c r="D457" s="14">
        <v>0.0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1" t="s">
        <v>1093</v>
      </c>
      <c r="B458" s="11" t="s">
        <v>1153</v>
      </c>
      <c r="C458" s="11" t="s">
        <v>1213</v>
      </c>
      <c r="D458" s="14">
        <v>0.0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1" t="s">
        <v>1093</v>
      </c>
      <c r="B459" s="11" t="s">
        <v>1153</v>
      </c>
      <c r="C459" s="11" t="s">
        <v>1216</v>
      </c>
      <c r="D459" s="14">
        <v>152.34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1" t="s">
        <v>1093</v>
      </c>
      <c r="B460" s="11" t="s">
        <v>1153</v>
      </c>
      <c r="C460" s="11" t="s">
        <v>1217</v>
      </c>
      <c r="D460" s="14">
        <v>22.31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1" t="s">
        <v>1093</v>
      </c>
      <c r="B461" s="11" t="s">
        <v>1153</v>
      </c>
      <c r="C461" s="11" t="s">
        <v>1218</v>
      </c>
      <c r="D461" s="14">
        <v>0.0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1" t="s">
        <v>1093</v>
      </c>
      <c r="B462" s="11" t="s">
        <v>1153</v>
      </c>
      <c r="C462" s="11" t="s">
        <v>1222</v>
      </c>
      <c r="D462" s="14">
        <v>396.41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1" t="s">
        <v>1093</v>
      </c>
      <c r="B463" s="11" t="s">
        <v>1153</v>
      </c>
      <c r="C463" s="11" t="s">
        <v>1223</v>
      </c>
      <c r="D463" s="14">
        <v>0.0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1" t="s">
        <v>1093</v>
      </c>
      <c r="B464" s="11" t="s">
        <v>1153</v>
      </c>
      <c r="C464" s="11" t="s">
        <v>1226</v>
      </c>
      <c r="D464" s="14">
        <v>14.04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1" t="s">
        <v>1093</v>
      </c>
      <c r="B465" s="11" t="s">
        <v>1153</v>
      </c>
      <c r="C465" s="11" t="s">
        <v>1227</v>
      </c>
      <c r="D465" s="14">
        <v>0.0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1" t="s">
        <v>1093</v>
      </c>
      <c r="B466" s="11" t="s">
        <v>1153</v>
      </c>
      <c r="C466" s="11" t="s">
        <v>1231</v>
      </c>
      <c r="D466" s="14">
        <v>128.95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1" t="s">
        <v>1093</v>
      </c>
      <c r="B467" s="11" t="s">
        <v>1153</v>
      </c>
      <c r="C467" s="11" t="s">
        <v>1233</v>
      </c>
      <c r="D467" s="14">
        <v>228.82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1" t="s">
        <v>1093</v>
      </c>
      <c r="B468" s="11" t="s">
        <v>1153</v>
      </c>
      <c r="C468" s="11" t="s">
        <v>1235</v>
      </c>
      <c r="D468" s="14">
        <v>0.0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1" t="s">
        <v>1093</v>
      </c>
      <c r="B469" s="11" t="s">
        <v>1153</v>
      </c>
      <c r="C469" s="11" t="s">
        <v>1238</v>
      </c>
      <c r="D469" s="14">
        <v>0.0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1" t="s">
        <v>1093</v>
      </c>
      <c r="B470" s="11" t="s">
        <v>1153</v>
      </c>
      <c r="C470" s="11" t="s">
        <v>1239</v>
      </c>
      <c r="D470" s="14">
        <v>0.0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1" t="s">
        <v>1093</v>
      </c>
      <c r="B471" s="11" t="s">
        <v>1153</v>
      </c>
      <c r="C471" s="11" t="s">
        <v>1242</v>
      </c>
      <c r="D471" s="14">
        <v>0.0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1" t="s">
        <v>1093</v>
      </c>
      <c r="B472" s="11" t="s">
        <v>1153</v>
      </c>
      <c r="C472" s="11" t="s">
        <v>1245</v>
      </c>
      <c r="D472" s="14">
        <v>50.87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1" t="s">
        <v>1093</v>
      </c>
      <c r="B473" s="11" t="s">
        <v>1153</v>
      </c>
      <c r="C473" s="11" t="s">
        <v>1248</v>
      </c>
      <c r="D473" s="14">
        <v>0.0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1" t="s">
        <v>1093</v>
      </c>
      <c r="B474" s="11" t="s">
        <v>1153</v>
      </c>
      <c r="C474" s="11" t="s">
        <v>1252</v>
      </c>
      <c r="D474" s="14">
        <v>49.09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1" t="s">
        <v>1093</v>
      </c>
      <c r="B475" s="11" t="s">
        <v>1153</v>
      </c>
      <c r="C475" s="11" t="s">
        <v>1255</v>
      </c>
      <c r="D475" s="14">
        <v>0.0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1" t="s">
        <v>1093</v>
      </c>
      <c r="B476" s="11" t="s">
        <v>1153</v>
      </c>
      <c r="C476" s="11" t="s">
        <v>1257</v>
      </c>
      <c r="D476" s="14">
        <v>312.23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1" t="s">
        <v>1093</v>
      </c>
      <c r="B477" s="11" t="s">
        <v>1153</v>
      </c>
      <c r="C477" s="11" t="s">
        <v>1260</v>
      </c>
      <c r="D477" s="14">
        <v>0.0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1" t="s">
        <v>1093</v>
      </c>
      <c r="B478" s="11" t="s">
        <v>1153</v>
      </c>
      <c r="C478" s="11" t="s">
        <v>1261</v>
      </c>
      <c r="D478" s="14">
        <v>0.0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1" t="s">
        <v>1093</v>
      </c>
      <c r="B479" s="11" t="s">
        <v>1153</v>
      </c>
      <c r="C479" s="11" t="s">
        <v>1264</v>
      </c>
      <c r="D479" s="14">
        <v>1028.22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1" t="s">
        <v>1093</v>
      </c>
      <c r="B480" s="11" t="s">
        <v>1153</v>
      </c>
      <c r="C480" s="11" t="s">
        <v>1265</v>
      </c>
      <c r="D480" s="14">
        <v>0.0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1" t="s">
        <v>1093</v>
      </c>
      <c r="B481" s="11" t="s">
        <v>1153</v>
      </c>
      <c r="C481" s="11" t="s">
        <v>1268</v>
      </c>
      <c r="D481" s="14">
        <v>21.51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1" t="s">
        <v>1269</v>
      </c>
      <c r="B482" s="11" t="s">
        <v>1271</v>
      </c>
      <c r="C482" s="11" t="s">
        <v>1273</v>
      </c>
      <c r="D482" s="14">
        <v>1.27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1" t="s">
        <v>1269</v>
      </c>
      <c r="B483" s="11" t="s">
        <v>1271</v>
      </c>
      <c r="C483" s="11" t="s">
        <v>1274</v>
      </c>
      <c r="D483" s="14">
        <v>835.93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1" t="s">
        <v>1269</v>
      </c>
      <c r="B484" s="11" t="s">
        <v>1271</v>
      </c>
      <c r="C484" s="11" t="s">
        <v>1277</v>
      </c>
      <c r="D484" s="14">
        <v>5.8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1" t="s">
        <v>1269</v>
      </c>
      <c r="B485" s="11" t="s">
        <v>1271</v>
      </c>
      <c r="C485" s="11" t="s">
        <v>1278</v>
      </c>
      <c r="D485" s="14">
        <v>1312.42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1" t="s">
        <v>1269</v>
      </c>
      <c r="B486" s="11" t="s">
        <v>1271</v>
      </c>
      <c r="C486" s="11" t="s">
        <v>1281</v>
      </c>
      <c r="D486" s="14">
        <v>0.0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1" t="s">
        <v>1269</v>
      </c>
      <c r="B487" s="11" t="s">
        <v>1271</v>
      </c>
      <c r="C487" s="11" t="s">
        <v>1282</v>
      </c>
      <c r="D487" s="14">
        <v>211.44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1" t="s">
        <v>1269</v>
      </c>
      <c r="B488" s="11" t="s">
        <v>1271</v>
      </c>
      <c r="C488" s="11" t="s">
        <v>1285</v>
      </c>
      <c r="D488" s="14">
        <v>8.15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1" t="s">
        <v>1269</v>
      </c>
      <c r="B489" s="11" t="s">
        <v>1271</v>
      </c>
      <c r="C489" s="11" t="s">
        <v>1287</v>
      </c>
      <c r="D489" s="14">
        <v>2.47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1" t="s">
        <v>1269</v>
      </c>
      <c r="B490" s="11" t="s">
        <v>1271</v>
      </c>
      <c r="C490" s="11" t="s">
        <v>1289</v>
      </c>
      <c r="D490" s="14">
        <v>1761.74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1" t="s">
        <v>1269</v>
      </c>
      <c r="B491" s="11" t="s">
        <v>1271</v>
      </c>
      <c r="C491" s="11" t="s">
        <v>1292</v>
      </c>
      <c r="D491" s="14">
        <v>4.58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1" t="s">
        <v>1269</v>
      </c>
      <c r="B492" s="11" t="s">
        <v>1271</v>
      </c>
      <c r="C492" s="11" t="s">
        <v>1294</v>
      </c>
      <c r="D492" s="14">
        <v>1527.0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1" t="s">
        <v>1269</v>
      </c>
      <c r="B493" s="11" t="s">
        <v>1271</v>
      </c>
      <c r="C493" s="11" t="s">
        <v>1296</v>
      </c>
      <c r="D493" s="14">
        <v>1623.3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1" t="s">
        <v>1269</v>
      </c>
      <c r="B494" s="11" t="s">
        <v>1271</v>
      </c>
      <c r="C494" s="11" t="s">
        <v>1299</v>
      </c>
      <c r="D494" s="14">
        <v>1463.81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1" t="s">
        <v>1269</v>
      </c>
      <c r="B495" s="11" t="s">
        <v>1271</v>
      </c>
      <c r="C495" s="11" t="s">
        <v>1301</v>
      </c>
      <c r="D495" s="14">
        <v>6.46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1" t="s">
        <v>1269</v>
      </c>
      <c r="B496" s="11" t="s">
        <v>1271</v>
      </c>
      <c r="C496" s="11" t="s">
        <v>1302</v>
      </c>
      <c r="D496" s="14">
        <v>5463.88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1" t="s">
        <v>1269</v>
      </c>
      <c r="B497" s="11" t="s">
        <v>1271</v>
      </c>
      <c r="C497" s="11" t="s">
        <v>1305</v>
      </c>
      <c r="D497" s="14">
        <v>213.6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1" t="s">
        <v>1269</v>
      </c>
      <c r="B498" s="11" t="s">
        <v>1271</v>
      </c>
      <c r="C498" s="11" t="s">
        <v>1307</v>
      </c>
      <c r="D498" s="14">
        <v>1655.71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1" t="s">
        <v>1269</v>
      </c>
      <c r="B499" s="11" t="s">
        <v>1271</v>
      </c>
      <c r="C499" s="11" t="s">
        <v>1310</v>
      </c>
      <c r="D499" s="14">
        <v>646.31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1" t="s">
        <v>1269</v>
      </c>
      <c r="B500" s="11" t="s">
        <v>1271</v>
      </c>
      <c r="C500" s="11" t="s">
        <v>1313</v>
      </c>
      <c r="D500" s="14">
        <v>10.21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1" t="s">
        <v>1269</v>
      </c>
      <c r="B501" s="11" t="s">
        <v>1271</v>
      </c>
      <c r="C501" s="11" t="s">
        <v>1314</v>
      </c>
      <c r="D501" s="14">
        <v>0.0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1" t="s">
        <v>1269</v>
      </c>
      <c r="B502" s="11" t="s">
        <v>1271</v>
      </c>
      <c r="C502" s="11" t="s">
        <v>1318</v>
      </c>
      <c r="D502" s="14">
        <v>34.97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1" t="s">
        <v>1269</v>
      </c>
      <c r="B503" s="11" t="s">
        <v>1271</v>
      </c>
      <c r="C503" s="11" t="s">
        <v>1322</v>
      </c>
      <c r="D503" s="14">
        <v>15.11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1" t="s">
        <v>1269</v>
      </c>
      <c r="B504" s="11" t="s">
        <v>1271</v>
      </c>
      <c r="C504" s="11" t="s">
        <v>1324</v>
      </c>
      <c r="D504" s="14">
        <v>335.29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1" t="s">
        <v>1269</v>
      </c>
      <c r="B505" s="11" t="s">
        <v>1271</v>
      </c>
      <c r="C505" s="11" t="s">
        <v>1326</v>
      </c>
      <c r="D505" s="14">
        <v>6466.2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1" t="s">
        <v>1269</v>
      </c>
      <c r="B506" s="11" t="s">
        <v>1271</v>
      </c>
      <c r="C506" s="11" t="s">
        <v>1329</v>
      </c>
      <c r="D506" s="14">
        <v>785.54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1" t="s">
        <v>1269</v>
      </c>
      <c r="B507" s="11" t="s">
        <v>1271</v>
      </c>
      <c r="C507" s="11" t="s">
        <v>1330</v>
      </c>
      <c r="D507" s="14">
        <v>0.0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1" t="s">
        <v>1269</v>
      </c>
      <c r="B508" s="11" t="s">
        <v>1271</v>
      </c>
      <c r="C508" s="11" t="s">
        <v>1333</v>
      </c>
      <c r="D508" s="14">
        <v>5.28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1" t="s">
        <v>1269</v>
      </c>
      <c r="B509" s="11" t="s">
        <v>1271</v>
      </c>
      <c r="C509" s="11" t="s">
        <v>1334</v>
      </c>
      <c r="D509" s="14">
        <v>58.91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1" t="s">
        <v>1269</v>
      </c>
      <c r="B510" s="11" t="s">
        <v>1271</v>
      </c>
      <c r="C510" s="11" t="s">
        <v>1337</v>
      </c>
      <c r="D510" s="14">
        <v>0.0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1" t="s">
        <v>1269</v>
      </c>
      <c r="B511" s="11" t="s">
        <v>1271</v>
      </c>
      <c r="C511" s="11" t="s">
        <v>1340</v>
      </c>
      <c r="D511" s="14">
        <v>1009.98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1" t="s">
        <v>1269</v>
      </c>
      <c r="B512" s="11" t="s">
        <v>1271</v>
      </c>
      <c r="C512" s="11" t="s">
        <v>1342</v>
      </c>
      <c r="D512" s="14">
        <v>1070.94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1" t="s">
        <v>1269</v>
      </c>
      <c r="B513" s="11" t="s">
        <v>1271</v>
      </c>
      <c r="C513" s="11" t="s">
        <v>1345</v>
      </c>
      <c r="D513" s="14">
        <v>0.0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1" t="s">
        <v>1269</v>
      </c>
      <c r="B514" s="11" t="s">
        <v>1271</v>
      </c>
      <c r="C514" s="11" t="s">
        <v>1346</v>
      </c>
      <c r="D514" s="14">
        <v>0.0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1" t="s">
        <v>1269</v>
      </c>
      <c r="B515" s="11" t="s">
        <v>1271</v>
      </c>
      <c r="C515" s="11" t="s">
        <v>1347</v>
      </c>
      <c r="D515" s="14">
        <v>0.0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1" t="s">
        <v>1269</v>
      </c>
      <c r="B516" s="11" t="s">
        <v>1271</v>
      </c>
      <c r="C516" s="11" t="s">
        <v>1349</v>
      </c>
      <c r="D516" s="14">
        <v>857.31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1" t="s">
        <v>1269</v>
      </c>
      <c r="B517" s="11" t="s">
        <v>1271</v>
      </c>
      <c r="C517" s="11" t="s">
        <v>1351</v>
      </c>
      <c r="D517" s="14">
        <v>0.0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1" t="s">
        <v>1269</v>
      </c>
      <c r="B518" s="11" t="s">
        <v>1271</v>
      </c>
      <c r="C518" s="11" t="s">
        <v>1354</v>
      </c>
      <c r="D518" s="14">
        <v>2696.97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1" t="s">
        <v>1269</v>
      </c>
      <c r="B519" s="11" t="s">
        <v>1271</v>
      </c>
      <c r="C519" s="11" t="s">
        <v>1355</v>
      </c>
      <c r="D519" s="14">
        <v>37.72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1" t="s">
        <v>1269</v>
      </c>
      <c r="B520" s="11" t="s">
        <v>1271</v>
      </c>
      <c r="C520" s="11" t="s">
        <v>1358</v>
      </c>
      <c r="D520" s="14">
        <v>34.9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1" t="s">
        <v>1269</v>
      </c>
      <c r="B521" s="11" t="s">
        <v>1271</v>
      </c>
      <c r="C521" s="11" t="s">
        <v>1359</v>
      </c>
      <c r="D521" s="14">
        <v>0.0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1" t="s">
        <v>1269</v>
      </c>
      <c r="B522" s="11" t="s">
        <v>1271</v>
      </c>
      <c r="C522" s="11" t="s">
        <v>1362</v>
      </c>
      <c r="D522" s="14">
        <v>349.74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1" t="s">
        <v>1269</v>
      </c>
      <c r="B523" s="11" t="s">
        <v>1271</v>
      </c>
      <c r="C523" s="11" t="s">
        <v>1363</v>
      </c>
      <c r="D523" s="14">
        <v>1374.81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1" t="s">
        <v>1269</v>
      </c>
      <c r="B524" s="11" t="s">
        <v>1271</v>
      </c>
      <c r="C524" s="11" t="s">
        <v>1366</v>
      </c>
      <c r="D524" s="14">
        <v>581.47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1" t="s">
        <v>1269</v>
      </c>
      <c r="B525" s="11" t="s">
        <v>1271</v>
      </c>
      <c r="C525" s="11" t="s">
        <v>1367</v>
      </c>
      <c r="D525" s="14">
        <v>129.61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1" t="s">
        <v>1269</v>
      </c>
      <c r="B526" s="11" t="s">
        <v>1271</v>
      </c>
      <c r="C526" s="11" t="s">
        <v>1373</v>
      </c>
      <c r="D526" s="14">
        <v>51.52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1" t="s">
        <v>1269</v>
      </c>
      <c r="B527" s="11" t="s">
        <v>1271</v>
      </c>
      <c r="C527" s="11" t="s">
        <v>1374</v>
      </c>
      <c r="D527" s="14">
        <v>207.0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1" t="s">
        <v>1269</v>
      </c>
      <c r="B528" s="11" t="s">
        <v>1271</v>
      </c>
      <c r="C528" s="11" t="s">
        <v>1377</v>
      </c>
      <c r="D528" s="14">
        <v>873.21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1" t="s">
        <v>1269</v>
      </c>
      <c r="B529" s="11" t="s">
        <v>1271</v>
      </c>
      <c r="C529" s="11" t="s">
        <v>1380</v>
      </c>
      <c r="D529" s="14">
        <v>631.24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1" t="s">
        <v>1269</v>
      </c>
      <c r="B530" s="11" t="s">
        <v>1271</v>
      </c>
      <c r="C530" s="11" t="s">
        <v>1383</v>
      </c>
      <c r="D530" s="14">
        <v>0.25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1" t="s">
        <v>1269</v>
      </c>
      <c r="B531" s="11" t="s">
        <v>1271</v>
      </c>
      <c r="C531" s="11" t="s">
        <v>1384</v>
      </c>
      <c r="D531" s="14">
        <v>791.66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1" t="s">
        <v>1269</v>
      </c>
      <c r="B532" s="11" t="s">
        <v>1271</v>
      </c>
      <c r="C532" s="11" t="s">
        <v>1387</v>
      </c>
      <c r="D532" s="14">
        <v>0.0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1" t="s">
        <v>1269</v>
      </c>
      <c r="B533" s="11" t="s">
        <v>1271</v>
      </c>
      <c r="C533" s="11" t="s">
        <v>1390</v>
      </c>
      <c r="D533" s="14">
        <v>592.77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1" t="s">
        <v>1269</v>
      </c>
      <c r="B534" s="11" t="s">
        <v>1271</v>
      </c>
      <c r="C534" s="11" t="s">
        <v>1393</v>
      </c>
      <c r="D534" s="14">
        <v>48.63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1" t="s">
        <v>1269</v>
      </c>
      <c r="B535" s="11" t="s">
        <v>1271</v>
      </c>
      <c r="C535" s="11" t="s">
        <v>1394</v>
      </c>
      <c r="D535" s="14">
        <v>0.21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1" t="s">
        <v>1269</v>
      </c>
      <c r="B536" s="11" t="s">
        <v>1271</v>
      </c>
      <c r="C536" s="11" t="s">
        <v>1398</v>
      </c>
      <c r="D536" s="14">
        <v>513.32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1" t="s">
        <v>1269</v>
      </c>
      <c r="B537" s="11" t="s">
        <v>1271</v>
      </c>
      <c r="C537" s="11" t="s">
        <v>1400</v>
      </c>
      <c r="D537" s="14">
        <v>175.2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1" t="s">
        <v>1269</v>
      </c>
      <c r="B538" s="11" t="s">
        <v>1271</v>
      </c>
      <c r="C538" s="11" t="s">
        <v>1404</v>
      </c>
      <c r="D538" s="14">
        <v>110.41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1" t="s">
        <v>1269</v>
      </c>
      <c r="B539" s="11" t="s">
        <v>1271</v>
      </c>
      <c r="C539" s="11" t="s">
        <v>1408</v>
      </c>
      <c r="D539" s="14">
        <v>1.26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1" t="s">
        <v>1269</v>
      </c>
      <c r="B540" s="11" t="s">
        <v>1271</v>
      </c>
      <c r="C540" s="11" t="s">
        <v>1410</v>
      </c>
      <c r="D540" s="14">
        <v>350.69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1" t="s">
        <v>1269</v>
      </c>
      <c r="B541" s="11" t="s">
        <v>1271</v>
      </c>
      <c r="C541" s="11" t="s">
        <v>1414</v>
      </c>
      <c r="D541" s="14">
        <v>598.91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1" t="s">
        <v>1269</v>
      </c>
      <c r="B542" s="11" t="s">
        <v>1271</v>
      </c>
      <c r="C542" s="11" t="s">
        <v>1417</v>
      </c>
      <c r="D542" s="14">
        <v>189.68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1" t="s">
        <v>1269</v>
      </c>
      <c r="B543" s="11" t="s">
        <v>1271</v>
      </c>
      <c r="C543" s="11" t="s">
        <v>1420</v>
      </c>
      <c r="D543" s="14">
        <v>315.09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1" t="s">
        <v>1269</v>
      </c>
      <c r="B544" s="11" t="s">
        <v>1271</v>
      </c>
      <c r="C544" s="11" t="s">
        <v>1422</v>
      </c>
      <c r="D544" s="14">
        <v>0.0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1" t="s">
        <v>1269</v>
      </c>
      <c r="B545" s="11" t="s">
        <v>1271</v>
      </c>
      <c r="C545" s="11" t="s">
        <v>1425</v>
      </c>
      <c r="D545" s="14">
        <v>104.0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1" t="s">
        <v>1269</v>
      </c>
      <c r="B546" s="11" t="s">
        <v>1271</v>
      </c>
      <c r="C546" s="11" t="s">
        <v>1428</v>
      </c>
      <c r="D546" s="14">
        <v>3.39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1" t="s">
        <v>1269</v>
      </c>
      <c r="B547" s="11" t="s">
        <v>1271</v>
      </c>
      <c r="C547" s="11" t="s">
        <v>1429</v>
      </c>
      <c r="D547" s="14">
        <v>90.05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1" t="s">
        <v>1269</v>
      </c>
      <c r="B548" s="11" t="s">
        <v>1271</v>
      </c>
      <c r="C548" s="11" t="s">
        <v>1432</v>
      </c>
      <c r="D548" s="14">
        <v>0.02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1" t="s">
        <v>1269</v>
      </c>
      <c r="B549" s="11" t="s">
        <v>1271</v>
      </c>
      <c r="C549" s="11" t="s">
        <v>1435</v>
      </c>
      <c r="D549" s="14">
        <v>149.5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1" t="s">
        <v>1269</v>
      </c>
      <c r="B550" s="11" t="s">
        <v>1271</v>
      </c>
      <c r="C550" s="11" t="s">
        <v>1438</v>
      </c>
      <c r="D550" s="14">
        <v>0.0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1" t="s">
        <v>1269</v>
      </c>
      <c r="B551" s="11" t="s">
        <v>1271</v>
      </c>
      <c r="C551" s="11" t="s">
        <v>1441</v>
      </c>
      <c r="D551" s="14">
        <v>214.89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1" t="s">
        <v>1269</v>
      </c>
      <c r="B552" s="11" t="s">
        <v>1271</v>
      </c>
      <c r="C552" s="11" t="s">
        <v>1444</v>
      </c>
      <c r="D552" s="14">
        <v>62.0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1" t="s">
        <v>1269</v>
      </c>
      <c r="B553" s="11" t="s">
        <v>1271</v>
      </c>
      <c r="C553" s="11" t="s">
        <v>1447</v>
      </c>
      <c r="D553" s="14">
        <v>462.73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1" t="s">
        <v>1269</v>
      </c>
      <c r="B554" s="11" t="s">
        <v>1271</v>
      </c>
      <c r="C554" s="11" t="s">
        <v>1449</v>
      </c>
      <c r="D554" s="14">
        <v>0.04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1" t="s">
        <v>1269</v>
      </c>
      <c r="B555" s="11" t="s">
        <v>1271</v>
      </c>
      <c r="C555" s="11" t="s">
        <v>1451</v>
      </c>
      <c r="D555" s="14">
        <v>0.02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1" t="s">
        <v>1269</v>
      </c>
      <c r="B556" s="11" t="s">
        <v>1271</v>
      </c>
      <c r="C556" s="11" t="s">
        <v>1453</v>
      </c>
      <c r="D556" s="14">
        <v>231.76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1" t="s">
        <v>1269</v>
      </c>
      <c r="B557" s="11" t="s">
        <v>1271</v>
      </c>
      <c r="C557" s="11" t="s">
        <v>1457</v>
      </c>
      <c r="D557" s="14">
        <v>7.64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1" t="s">
        <v>1269</v>
      </c>
      <c r="B558" s="11" t="s">
        <v>1271</v>
      </c>
      <c r="C558" s="11" t="s">
        <v>1458</v>
      </c>
      <c r="D558" s="14">
        <v>6.46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1" t="s">
        <v>1269</v>
      </c>
      <c r="B559" s="11" t="s">
        <v>1271</v>
      </c>
      <c r="C559" s="11" t="s">
        <v>1461</v>
      </c>
      <c r="D559" s="14">
        <v>268.0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1" t="s">
        <v>1269</v>
      </c>
      <c r="B560" s="11" t="s">
        <v>1271</v>
      </c>
      <c r="C560" s="11" t="s">
        <v>1462</v>
      </c>
      <c r="D560" s="14">
        <v>52.51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1" t="s">
        <v>1269</v>
      </c>
      <c r="B561" s="11" t="s">
        <v>1271</v>
      </c>
      <c r="C561" s="11" t="s">
        <v>1465</v>
      </c>
      <c r="D561" s="14">
        <v>1346.08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1" t="s">
        <v>1269</v>
      </c>
      <c r="B562" s="11" t="s">
        <v>1271</v>
      </c>
      <c r="C562" s="11" t="s">
        <v>1466</v>
      </c>
      <c r="D562" s="14">
        <v>43.85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1" t="s">
        <v>1269</v>
      </c>
      <c r="B563" s="11" t="s">
        <v>1271</v>
      </c>
      <c r="C563" s="11" t="s">
        <v>1467</v>
      </c>
      <c r="D563" s="14">
        <v>113.76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1" t="s">
        <v>1269</v>
      </c>
      <c r="B564" s="11" t="s">
        <v>1271</v>
      </c>
      <c r="C564" s="11" t="s">
        <v>1470</v>
      </c>
      <c r="D564" s="14">
        <v>0.0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1" t="s">
        <v>1269</v>
      </c>
      <c r="B565" s="11" t="s">
        <v>1271</v>
      </c>
      <c r="C565" s="11" t="s">
        <v>1471</v>
      </c>
      <c r="D565" s="14">
        <v>3052.28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1" t="s">
        <v>1269</v>
      </c>
      <c r="B566" s="11" t="s">
        <v>1271</v>
      </c>
      <c r="C566" s="11" t="s">
        <v>1472</v>
      </c>
      <c r="D566" s="14">
        <v>1588.14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1" t="s">
        <v>1269</v>
      </c>
      <c r="B567" s="11" t="s">
        <v>1271</v>
      </c>
      <c r="C567" s="11" t="s">
        <v>1475</v>
      </c>
      <c r="D567" s="14">
        <v>445.57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1" t="s">
        <v>1269</v>
      </c>
      <c r="B568" s="11" t="s">
        <v>1271</v>
      </c>
      <c r="C568" s="11" t="s">
        <v>1476</v>
      </c>
      <c r="D568" s="14">
        <v>345.26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1" t="s">
        <v>1269</v>
      </c>
      <c r="B569" s="11" t="s">
        <v>1271</v>
      </c>
      <c r="C569" s="11" t="s">
        <v>1477</v>
      </c>
      <c r="D569" s="14">
        <v>2252.0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1" t="s">
        <v>1269</v>
      </c>
      <c r="B570" s="11" t="s">
        <v>1271</v>
      </c>
      <c r="C570" s="11" t="s">
        <v>1480</v>
      </c>
      <c r="D570" s="14">
        <v>37.63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1" t="s">
        <v>1269</v>
      </c>
      <c r="B571" s="11" t="s">
        <v>1271</v>
      </c>
      <c r="C571" s="11" t="s">
        <v>1481</v>
      </c>
      <c r="D571" s="14">
        <v>169.0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1" t="s">
        <v>1269</v>
      </c>
      <c r="B572" s="11" t="s">
        <v>1271</v>
      </c>
      <c r="C572" s="11" t="s">
        <v>1484</v>
      </c>
      <c r="D572" s="14">
        <v>165.32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1" t="s">
        <v>1269</v>
      </c>
      <c r="B573" s="11" t="s">
        <v>1271</v>
      </c>
      <c r="C573" s="11" t="s">
        <v>1485</v>
      </c>
      <c r="D573" s="14">
        <v>4106.0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1" t="s">
        <v>1269</v>
      </c>
      <c r="B574" s="11" t="s">
        <v>1271</v>
      </c>
      <c r="C574" s="11" t="s">
        <v>1488</v>
      </c>
      <c r="D574" s="14">
        <v>1085.89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1" t="s">
        <v>1269</v>
      </c>
      <c r="B575" s="11" t="s">
        <v>1271</v>
      </c>
      <c r="C575" s="11" t="s">
        <v>1489</v>
      </c>
      <c r="D575" s="14">
        <v>2.79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1" t="s">
        <v>1269</v>
      </c>
      <c r="B576" s="11" t="s">
        <v>1271</v>
      </c>
      <c r="C576" s="11" t="s">
        <v>1493</v>
      </c>
      <c r="D576" s="14">
        <v>563.29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1" t="s">
        <v>1269</v>
      </c>
      <c r="B577" s="11" t="s">
        <v>1271</v>
      </c>
      <c r="C577" s="11" t="s">
        <v>1495</v>
      </c>
      <c r="D577" s="14">
        <v>1305.0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1" t="s">
        <v>1269</v>
      </c>
      <c r="B578" s="11" t="s">
        <v>1271</v>
      </c>
      <c r="C578" s="11" t="s">
        <v>1498</v>
      </c>
      <c r="D578" s="14">
        <v>94.64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1" t="s">
        <v>1269</v>
      </c>
      <c r="B579" s="11" t="s">
        <v>1271</v>
      </c>
      <c r="C579" s="11" t="s">
        <v>1499</v>
      </c>
      <c r="D579" s="14">
        <v>121.0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1" t="s">
        <v>1269</v>
      </c>
      <c r="B580" s="11" t="s">
        <v>1271</v>
      </c>
      <c r="C580" s="11" t="s">
        <v>1504</v>
      </c>
      <c r="D580" s="14">
        <v>170.04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1" t="s">
        <v>1269</v>
      </c>
      <c r="B581" s="11" t="s">
        <v>1271</v>
      </c>
      <c r="C581" s="11" t="s">
        <v>1507</v>
      </c>
      <c r="D581" s="14">
        <v>1633.0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1" t="s">
        <v>1269</v>
      </c>
      <c r="B582" s="11" t="s">
        <v>1271</v>
      </c>
      <c r="C582" s="11" t="s">
        <v>1508</v>
      </c>
      <c r="D582" s="14">
        <v>303.27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1" t="s">
        <v>1269</v>
      </c>
      <c r="B583" s="11" t="s">
        <v>1271</v>
      </c>
      <c r="C583" s="11" t="s">
        <v>1511</v>
      </c>
      <c r="D583" s="14">
        <v>4236.03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1" t="s">
        <v>1269</v>
      </c>
      <c r="B584" s="11" t="s">
        <v>1271</v>
      </c>
      <c r="C584" s="11" t="s">
        <v>1512</v>
      </c>
      <c r="D584" s="14">
        <v>0.0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1" t="s">
        <v>1269</v>
      </c>
      <c r="B585" s="11" t="s">
        <v>1271</v>
      </c>
      <c r="C585" s="11" t="s">
        <v>1515</v>
      </c>
      <c r="D585" s="14">
        <v>365.52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1" t="s">
        <v>1269</v>
      </c>
      <c r="B586" s="11" t="s">
        <v>1516</v>
      </c>
      <c r="C586" s="11" t="s">
        <v>1518</v>
      </c>
      <c r="D586" s="14">
        <v>0.0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1" t="s">
        <v>1269</v>
      </c>
      <c r="B587" s="11" t="s">
        <v>1516</v>
      </c>
      <c r="C587" s="11" t="s">
        <v>1520</v>
      </c>
      <c r="D587" s="14">
        <v>143.53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1" t="s">
        <v>1269</v>
      </c>
      <c r="B588" s="11" t="s">
        <v>1516</v>
      </c>
      <c r="C588" s="11" t="s">
        <v>1523</v>
      </c>
      <c r="D588" s="14">
        <v>0.0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1" t="s">
        <v>1269</v>
      </c>
      <c r="B589" s="11" t="s">
        <v>1516</v>
      </c>
      <c r="C589" s="11" t="s">
        <v>1525</v>
      </c>
      <c r="D589" s="14">
        <v>2904.6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1" t="s">
        <v>1269</v>
      </c>
      <c r="B590" s="11" t="s">
        <v>1516</v>
      </c>
      <c r="C590" s="11" t="s">
        <v>1528</v>
      </c>
      <c r="D590" s="14">
        <v>155.94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1" t="s">
        <v>1269</v>
      </c>
      <c r="B591" s="11" t="s">
        <v>1516</v>
      </c>
      <c r="C591" s="11" t="s">
        <v>1529</v>
      </c>
      <c r="D591" s="14">
        <v>14.7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1" t="s">
        <v>1269</v>
      </c>
      <c r="B592" s="11" t="s">
        <v>1516</v>
      </c>
      <c r="C592" s="11" t="s">
        <v>1532</v>
      </c>
      <c r="D592" s="14">
        <v>2.0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1" t="s">
        <v>1269</v>
      </c>
      <c r="B593" s="11" t="s">
        <v>1516</v>
      </c>
      <c r="C593" s="11" t="s">
        <v>1535</v>
      </c>
      <c r="D593" s="14">
        <v>0.0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1" t="s">
        <v>1269</v>
      </c>
      <c r="B594" s="11" t="s">
        <v>1516</v>
      </c>
      <c r="C594" s="11" t="s">
        <v>1540</v>
      </c>
      <c r="D594" s="14">
        <v>0.0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1" t="s">
        <v>1269</v>
      </c>
      <c r="B595" s="11" t="s">
        <v>1516</v>
      </c>
      <c r="C595" s="11" t="s">
        <v>1543</v>
      </c>
      <c r="D595" s="14">
        <v>324.46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1" t="s">
        <v>1269</v>
      </c>
      <c r="B596" s="11" t="s">
        <v>1516</v>
      </c>
      <c r="C596" s="11" t="s">
        <v>1544</v>
      </c>
      <c r="D596" s="14">
        <v>22.19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1" t="s">
        <v>1269</v>
      </c>
      <c r="B597" s="11" t="s">
        <v>1516</v>
      </c>
      <c r="C597" s="11" t="s">
        <v>1547</v>
      </c>
      <c r="D597" s="14">
        <v>54.09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1" t="s">
        <v>1269</v>
      </c>
      <c r="B598" s="11" t="s">
        <v>1516</v>
      </c>
      <c r="C598" s="11" t="s">
        <v>1548</v>
      </c>
      <c r="D598" s="14">
        <v>10.44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1" t="s">
        <v>1269</v>
      </c>
      <c r="B599" s="11" t="s">
        <v>1516</v>
      </c>
      <c r="C599" s="11" t="s">
        <v>1550</v>
      </c>
      <c r="D599" s="14">
        <v>873.05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1" t="s">
        <v>1269</v>
      </c>
      <c r="B600" s="11" t="s">
        <v>1516</v>
      </c>
      <c r="C600" s="11" t="s">
        <v>1552</v>
      </c>
      <c r="D600" s="14">
        <v>4857.27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1" t="s">
        <v>1269</v>
      </c>
      <c r="B601" s="11" t="s">
        <v>1516</v>
      </c>
      <c r="C601" s="11" t="s">
        <v>1553</v>
      </c>
      <c r="D601" s="14">
        <v>0.0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1" t="s">
        <v>1269</v>
      </c>
      <c r="B602" s="11" t="s">
        <v>1516</v>
      </c>
      <c r="C602" s="11" t="s">
        <v>1556</v>
      </c>
      <c r="D602" s="14">
        <v>10.0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1" t="s">
        <v>1269</v>
      </c>
      <c r="B603" s="11" t="s">
        <v>1516</v>
      </c>
      <c r="C603" s="11" t="s">
        <v>1558</v>
      </c>
      <c r="D603" s="14">
        <v>0.0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1" t="s">
        <v>1269</v>
      </c>
      <c r="B604" s="11" t="s">
        <v>1516</v>
      </c>
      <c r="C604" s="11" t="s">
        <v>1559</v>
      </c>
      <c r="D604" s="14">
        <v>28.0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1" t="s">
        <v>1269</v>
      </c>
      <c r="B605" s="11" t="s">
        <v>1516</v>
      </c>
      <c r="C605" s="11" t="s">
        <v>1563</v>
      </c>
      <c r="D605" s="14">
        <v>0.19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1" t="s">
        <v>1269</v>
      </c>
      <c r="B606" s="11" t="s">
        <v>1516</v>
      </c>
      <c r="C606" s="11" t="s">
        <v>1564</v>
      </c>
      <c r="D606" s="14">
        <v>33.34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1" t="s">
        <v>1269</v>
      </c>
      <c r="B607" s="11" t="s">
        <v>1516</v>
      </c>
      <c r="C607" s="11" t="s">
        <v>1565</v>
      </c>
      <c r="D607" s="14">
        <v>0.0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1" t="s">
        <v>1269</v>
      </c>
      <c r="B608" s="11" t="s">
        <v>1516</v>
      </c>
      <c r="C608" s="11" t="s">
        <v>1568</v>
      </c>
      <c r="D608" s="14">
        <v>0.0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1" t="s">
        <v>1269</v>
      </c>
      <c r="B609" s="11" t="s">
        <v>1516</v>
      </c>
      <c r="C609" s="11" t="s">
        <v>1569</v>
      </c>
      <c r="D609" s="14">
        <v>0.0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1" t="s">
        <v>1269</v>
      </c>
      <c r="B610" s="11" t="s">
        <v>1516</v>
      </c>
      <c r="C610" s="11" t="s">
        <v>1570</v>
      </c>
      <c r="D610" s="14">
        <v>0.0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1" t="s">
        <v>1269</v>
      </c>
      <c r="B611" s="11" t="s">
        <v>1516</v>
      </c>
      <c r="C611" s="11" t="s">
        <v>1573</v>
      </c>
      <c r="D611" s="14">
        <v>0.0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1" t="s">
        <v>1269</v>
      </c>
      <c r="B612" s="11" t="s">
        <v>1516</v>
      </c>
      <c r="C612" s="11" t="s">
        <v>1574</v>
      </c>
      <c r="D612" s="14">
        <v>0.0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1" t="s">
        <v>1269</v>
      </c>
      <c r="B613" s="11" t="s">
        <v>1516</v>
      </c>
      <c r="C613" s="11" t="s">
        <v>1579</v>
      </c>
      <c r="D613" s="14">
        <v>23.58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1" t="s">
        <v>1269</v>
      </c>
      <c r="B614" s="11" t="s">
        <v>1516</v>
      </c>
      <c r="C614" s="11" t="s">
        <v>1580</v>
      </c>
      <c r="D614" s="14">
        <v>1397.0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1" t="s">
        <v>1269</v>
      </c>
      <c r="B615" s="11" t="s">
        <v>1516</v>
      </c>
      <c r="C615" s="11" t="s">
        <v>1583</v>
      </c>
      <c r="D615" s="14">
        <v>4.38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1" t="s">
        <v>1269</v>
      </c>
      <c r="B616" s="11" t="s">
        <v>1516</v>
      </c>
      <c r="C616" s="11" t="s">
        <v>1584</v>
      </c>
      <c r="D616" s="14">
        <v>0.0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1" t="s">
        <v>1269</v>
      </c>
      <c r="B617" s="11" t="s">
        <v>1516</v>
      </c>
      <c r="C617" s="11" t="s">
        <v>1587</v>
      </c>
      <c r="D617" s="14">
        <v>0.0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1" t="s">
        <v>1269</v>
      </c>
      <c r="B618" s="11" t="s">
        <v>1516</v>
      </c>
      <c r="C618" s="11" t="s">
        <v>1588</v>
      </c>
      <c r="D618" s="14">
        <v>22.27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1" t="s">
        <v>1269</v>
      </c>
      <c r="B619" s="11" t="s">
        <v>1516</v>
      </c>
      <c r="C619" s="11" t="s">
        <v>1591</v>
      </c>
      <c r="D619" s="14">
        <v>0.0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1" t="s">
        <v>1269</v>
      </c>
      <c r="B620" s="11" t="s">
        <v>1516</v>
      </c>
      <c r="C620" s="11" t="s">
        <v>1592</v>
      </c>
      <c r="D620" s="14">
        <v>321.49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1" t="s">
        <v>1269</v>
      </c>
      <c r="B621" s="11" t="s">
        <v>1516</v>
      </c>
      <c r="C621" s="11" t="s">
        <v>1595</v>
      </c>
      <c r="D621" s="14">
        <v>37.27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1" t="s">
        <v>1269</v>
      </c>
      <c r="B622" s="11" t="s">
        <v>1516</v>
      </c>
      <c r="C622" s="11" t="s">
        <v>1597</v>
      </c>
      <c r="D622" s="14">
        <v>226.0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1" t="s">
        <v>1269</v>
      </c>
      <c r="B623" s="11" t="s">
        <v>1516</v>
      </c>
      <c r="C623" s="11" t="s">
        <v>1599</v>
      </c>
      <c r="D623" s="14">
        <v>2370.45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1" t="s">
        <v>1269</v>
      </c>
      <c r="B624" s="11" t="s">
        <v>1516</v>
      </c>
      <c r="C624" s="11" t="s">
        <v>1602</v>
      </c>
      <c r="D624" s="14">
        <v>594.95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1" t="s">
        <v>1269</v>
      </c>
      <c r="B625" s="11" t="s">
        <v>1516</v>
      </c>
      <c r="C625" s="11" t="s">
        <v>1603</v>
      </c>
      <c r="D625" s="14">
        <v>286.09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1" t="s">
        <v>1269</v>
      </c>
      <c r="B626" s="11" t="s">
        <v>1516</v>
      </c>
      <c r="C626" s="11" t="s">
        <v>1606</v>
      </c>
      <c r="D626" s="14">
        <v>257.42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1" t="s">
        <v>1269</v>
      </c>
      <c r="B627" s="11" t="s">
        <v>1516</v>
      </c>
      <c r="C627" s="11" t="s">
        <v>1608</v>
      </c>
      <c r="D627" s="14">
        <v>709.3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1" t="s">
        <v>1269</v>
      </c>
      <c r="B628" s="11" t="s">
        <v>1516</v>
      </c>
      <c r="C628" s="11" t="s">
        <v>1609</v>
      </c>
      <c r="D628" s="14">
        <v>0.85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1" t="s">
        <v>1269</v>
      </c>
      <c r="B629" s="11" t="s">
        <v>1516</v>
      </c>
      <c r="C629" s="11" t="s">
        <v>1612</v>
      </c>
      <c r="D629" s="14">
        <v>24.63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1" t="s">
        <v>1269</v>
      </c>
      <c r="B630" s="11" t="s">
        <v>1516</v>
      </c>
      <c r="C630" s="11" t="s">
        <v>1615</v>
      </c>
      <c r="D630" s="14">
        <v>9.0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1" t="s">
        <v>1269</v>
      </c>
      <c r="B631" s="11" t="s">
        <v>1516</v>
      </c>
      <c r="C631" s="11" t="s">
        <v>1617</v>
      </c>
      <c r="D631" s="14">
        <v>575.11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1" t="s">
        <v>1269</v>
      </c>
      <c r="B632" s="11" t="s">
        <v>1516</v>
      </c>
      <c r="C632" s="11" t="s">
        <v>1619</v>
      </c>
      <c r="D632" s="14">
        <v>0.0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1" t="s">
        <v>1269</v>
      </c>
      <c r="B633" s="11" t="s">
        <v>1516</v>
      </c>
      <c r="C633" s="11" t="s">
        <v>1620</v>
      </c>
      <c r="D633" s="14">
        <v>18.56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1" t="s">
        <v>1269</v>
      </c>
      <c r="B634" s="11" t="s">
        <v>1516</v>
      </c>
      <c r="C634" s="11" t="s">
        <v>1623</v>
      </c>
      <c r="D634" s="14">
        <v>0.0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1" t="s">
        <v>1269</v>
      </c>
      <c r="B635" s="11" t="s">
        <v>1516</v>
      </c>
      <c r="C635" s="11" t="s">
        <v>1624</v>
      </c>
      <c r="D635" s="14">
        <v>3339.0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1" t="s">
        <v>1269</v>
      </c>
      <c r="B636" s="11" t="s">
        <v>1516</v>
      </c>
      <c r="C636" s="11" t="s">
        <v>1626</v>
      </c>
      <c r="D636" s="14">
        <v>1100.98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1" t="s">
        <v>1269</v>
      </c>
      <c r="B637" s="11" t="s">
        <v>1516</v>
      </c>
      <c r="C637" s="11" t="s">
        <v>1628</v>
      </c>
      <c r="D637" s="14">
        <v>0.0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1" t="s">
        <v>1269</v>
      </c>
      <c r="B638" s="11" t="s">
        <v>1516</v>
      </c>
      <c r="C638" s="11" t="s">
        <v>1629</v>
      </c>
      <c r="D638" s="14">
        <v>173.68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1" t="s">
        <v>1269</v>
      </c>
      <c r="B639" s="11" t="s">
        <v>1516</v>
      </c>
      <c r="C639" s="11" t="s">
        <v>1632</v>
      </c>
      <c r="D639" s="14">
        <v>9541.71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1" t="s">
        <v>1633</v>
      </c>
      <c r="B640" s="11" t="s">
        <v>1634</v>
      </c>
      <c r="C640" s="11" t="s">
        <v>1635</v>
      </c>
      <c r="D640" s="14">
        <v>0.0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1" t="s">
        <v>1633</v>
      </c>
      <c r="B641" s="11" t="s">
        <v>1634</v>
      </c>
      <c r="C641" s="11" t="s">
        <v>1637</v>
      </c>
      <c r="D641" s="14">
        <v>10.48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1" t="s">
        <v>1633</v>
      </c>
      <c r="B642" s="11" t="s">
        <v>1634</v>
      </c>
      <c r="C642" s="11" t="s">
        <v>1639</v>
      </c>
      <c r="D642" s="14">
        <v>1853.95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1" t="s">
        <v>1633</v>
      </c>
      <c r="B643" s="11" t="s">
        <v>1634</v>
      </c>
      <c r="C643" s="11" t="s">
        <v>1642</v>
      </c>
      <c r="D643" s="14">
        <v>1365.83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1" t="s">
        <v>1633</v>
      </c>
      <c r="B644" s="11" t="s">
        <v>1634</v>
      </c>
      <c r="C644" s="11" t="s">
        <v>1643</v>
      </c>
      <c r="D644" s="14">
        <v>0.0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1" t="s">
        <v>1633</v>
      </c>
      <c r="B645" s="11" t="s">
        <v>1634</v>
      </c>
      <c r="C645" s="11" t="s">
        <v>1646</v>
      </c>
      <c r="D645" s="14">
        <v>0.0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1" t="s">
        <v>1633</v>
      </c>
      <c r="B646" s="11" t="s">
        <v>1634</v>
      </c>
      <c r="C646" s="11" t="s">
        <v>1647</v>
      </c>
      <c r="D646" s="14">
        <v>2.92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1" t="s">
        <v>1633</v>
      </c>
      <c r="B647" s="11" t="s">
        <v>1634</v>
      </c>
      <c r="C647" s="11" t="s">
        <v>1648</v>
      </c>
      <c r="D647" s="14">
        <v>12.71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1" t="s">
        <v>1633</v>
      </c>
      <c r="B648" s="11" t="s">
        <v>1634</v>
      </c>
      <c r="C648" s="11" t="s">
        <v>1651</v>
      </c>
      <c r="D648" s="14">
        <v>0.0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1" t="s">
        <v>1633</v>
      </c>
      <c r="B649" s="11" t="s">
        <v>1634</v>
      </c>
      <c r="C649" s="11" t="s">
        <v>1652</v>
      </c>
      <c r="D649" s="14">
        <v>0.0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1" t="s">
        <v>1633</v>
      </c>
      <c r="B650" s="11" t="s">
        <v>1634</v>
      </c>
      <c r="C650" s="11" t="s">
        <v>1655</v>
      </c>
      <c r="D650" s="14">
        <v>0.0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1" t="s">
        <v>1633</v>
      </c>
      <c r="B651" s="11" t="s">
        <v>1634</v>
      </c>
      <c r="C651" s="11" t="s">
        <v>1656</v>
      </c>
      <c r="D651" s="14">
        <v>7.2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1" t="s">
        <v>1633</v>
      </c>
      <c r="B652" s="11" t="s">
        <v>1634</v>
      </c>
      <c r="C652" s="11" t="s">
        <v>1661</v>
      </c>
      <c r="D652" s="14">
        <v>0.0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1" t="s">
        <v>1633</v>
      </c>
      <c r="B653" s="11" t="s">
        <v>1634</v>
      </c>
      <c r="C653" s="11" t="s">
        <v>1662</v>
      </c>
      <c r="D653" s="14">
        <v>890.01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1" t="s">
        <v>1633</v>
      </c>
      <c r="B654" s="11" t="s">
        <v>1634</v>
      </c>
      <c r="C654" s="11" t="s">
        <v>1666</v>
      </c>
      <c r="D654" s="14">
        <v>0.0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1" t="s">
        <v>1633</v>
      </c>
      <c r="B655" s="11" t="s">
        <v>1634</v>
      </c>
      <c r="C655" s="11" t="s">
        <v>1670</v>
      </c>
      <c r="D655" s="14">
        <v>0.0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1" t="s">
        <v>1633</v>
      </c>
      <c r="B656" s="11" t="s">
        <v>1634</v>
      </c>
      <c r="C656" s="11" t="s">
        <v>1673</v>
      </c>
      <c r="D656" s="14">
        <v>0.49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1" t="s">
        <v>1633</v>
      </c>
      <c r="B657" s="11" t="s">
        <v>1634</v>
      </c>
      <c r="C657" s="11" t="s">
        <v>1675</v>
      </c>
      <c r="D657" s="14">
        <v>479.88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1" t="s">
        <v>1633</v>
      </c>
      <c r="B658" s="11" t="s">
        <v>1634</v>
      </c>
      <c r="C658" s="11" t="s">
        <v>1678</v>
      </c>
      <c r="D658" s="14">
        <v>0.0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1" t="s">
        <v>1633</v>
      </c>
      <c r="B659" s="11" t="s">
        <v>1634</v>
      </c>
      <c r="C659" s="11" t="s">
        <v>1679</v>
      </c>
      <c r="D659" s="14">
        <v>29.19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1" t="s">
        <v>1633</v>
      </c>
      <c r="B660" s="11" t="s">
        <v>1634</v>
      </c>
      <c r="C660" s="11" t="s">
        <v>1681</v>
      </c>
      <c r="D660" s="14">
        <v>1259.23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1" t="s">
        <v>1633</v>
      </c>
      <c r="B661" s="11" t="s">
        <v>1634</v>
      </c>
      <c r="C661" s="11" t="s">
        <v>1683</v>
      </c>
      <c r="D661" s="14">
        <v>0.0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1" t="s">
        <v>1633</v>
      </c>
      <c r="B662" s="11" t="s">
        <v>1634</v>
      </c>
      <c r="C662" s="11" t="s">
        <v>1684</v>
      </c>
      <c r="D662" s="14">
        <v>0.0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1" t="s">
        <v>1633</v>
      </c>
      <c r="B663" s="11" t="s">
        <v>1634</v>
      </c>
      <c r="C663" s="11" t="s">
        <v>1687</v>
      </c>
      <c r="D663" s="14">
        <v>0.0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1" t="s">
        <v>1633</v>
      </c>
      <c r="B664" s="11" t="s">
        <v>1634</v>
      </c>
      <c r="C664" s="11" t="s">
        <v>1688</v>
      </c>
      <c r="D664" s="14">
        <v>32.0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1" t="s">
        <v>1633</v>
      </c>
      <c r="B665" s="11" t="s">
        <v>1634</v>
      </c>
      <c r="C665" s="11" t="s">
        <v>1691</v>
      </c>
      <c r="D665" s="14">
        <v>0.0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1" t="s">
        <v>1633</v>
      </c>
      <c r="B666" s="11" t="s">
        <v>1634</v>
      </c>
      <c r="C666" s="11" t="s">
        <v>1692</v>
      </c>
      <c r="D666" s="14">
        <v>1903.47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1" t="s">
        <v>1633</v>
      </c>
      <c r="B667" s="11" t="s">
        <v>1634</v>
      </c>
      <c r="C667" s="11" t="s">
        <v>1695</v>
      </c>
      <c r="D667" s="14">
        <v>1014.59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1" t="s">
        <v>1633</v>
      </c>
      <c r="B668" s="11" t="s">
        <v>1634</v>
      </c>
      <c r="C668" s="11" t="s">
        <v>1696</v>
      </c>
      <c r="D668" s="14">
        <v>0.0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1" t="s">
        <v>1633</v>
      </c>
      <c r="B669" s="11" t="s">
        <v>1634</v>
      </c>
      <c r="C669" s="11" t="s">
        <v>1699</v>
      </c>
      <c r="D669" s="14">
        <v>214.0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1" t="s">
        <v>1633</v>
      </c>
      <c r="B670" s="11" t="s">
        <v>1634</v>
      </c>
      <c r="C670" s="11" t="s">
        <v>1700</v>
      </c>
      <c r="D670" s="14">
        <v>39.0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1" t="s">
        <v>1633</v>
      </c>
      <c r="B671" s="11" t="s">
        <v>1634</v>
      </c>
      <c r="C671" s="11" t="s">
        <v>1702</v>
      </c>
      <c r="D671" s="14">
        <v>4.9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1" t="s">
        <v>1633</v>
      </c>
      <c r="B672" s="11" t="s">
        <v>1634</v>
      </c>
      <c r="C672" s="11" t="s">
        <v>1704</v>
      </c>
      <c r="D672" s="14">
        <v>0.0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1" t="s">
        <v>1633</v>
      </c>
      <c r="B673" s="11" t="s">
        <v>1634</v>
      </c>
      <c r="C673" s="11" t="s">
        <v>1705</v>
      </c>
      <c r="D673" s="14">
        <v>0.0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1" t="s">
        <v>1633</v>
      </c>
      <c r="B674" s="11" t="s">
        <v>1634</v>
      </c>
      <c r="C674" s="11" t="s">
        <v>1708</v>
      </c>
      <c r="D674" s="14">
        <v>0.0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1" t="s">
        <v>1633</v>
      </c>
      <c r="B675" s="11" t="s">
        <v>1634</v>
      </c>
      <c r="C675" s="11" t="s">
        <v>1711</v>
      </c>
      <c r="D675" s="14">
        <v>0.0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1" t="s">
        <v>1633</v>
      </c>
      <c r="B676" s="11" t="s">
        <v>1634</v>
      </c>
      <c r="C676" s="11" t="s">
        <v>1712</v>
      </c>
      <c r="D676" s="14">
        <v>0.0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1" t="s">
        <v>1633</v>
      </c>
      <c r="B677" s="11" t="s">
        <v>1634</v>
      </c>
      <c r="C677" s="11" t="s">
        <v>1715</v>
      </c>
      <c r="D677" s="14">
        <v>0.0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1" t="s">
        <v>1633</v>
      </c>
      <c r="B678" s="11" t="s">
        <v>1634</v>
      </c>
      <c r="C678" s="11" t="s">
        <v>1718</v>
      </c>
      <c r="D678" s="14">
        <v>15.73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1" t="s">
        <v>1633</v>
      </c>
      <c r="B679" s="11" t="s">
        <v>1634</v>
      </c>
      <c r="C679" s="11" t="s">
        <v>1720</v>
      </c>
      <c r="D679" s="14">
        <v>10.0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1" t="s">
        <v>1633</v>
      </c>
      <c r="B680" s="11" t="s">
        <v>1634</v>
      </c>
      <c r="C680" s="11" t="s">
        <v>1722</v>
      </c>
      <c r="D680" s="14">
        <v>29.12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1" t="s">
        <v>1633</v>
      </c>
      <c r="B681" s="11" t="s">
        <v>1634</v>
      </c>
      <c r="C681" s="11" t="s">
        <v>1725</v>
      </c>
      <c r="D681" s="14">
        <v>0.0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1" t="s">
        <v>1633</v>
      </c>
      <c r="B682" s="11" t="s">
        <v>1634</v>
      </c>
      <c r="C682" s="11" t="s">
        <v>1726</v>
      </c>
      <c r="D682" s="14">
        <v>0.0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1" t="s">
        <v>1633</v>
      </c>
      <c r="B683" s="11" t="s">
        <v>1634</v>
      </c>
      <c r="C683" s="11" t="s">
        <v>1729</v>
      </c>
      <c r="D683" s="14">
        <v>0.0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1" t="s">
        <v>1633</v>
      </c>
      <c r="B684" s="11" t="s">
        <v>1634</v>
      </c>
      <c r="C684" s="11" t="s">
        <v>1730</v>
      </c>
      <c r="D684" s="14">
        <v>2392.51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1" t="s">
        <v>1633</v>
      </c>
      <c r="B685" s="11" t="s">
        <v>1634</v>
      </c>
      <c r="C685" s="11" t="s">
        <v>1732</v>
      </c>
      <c r="D685" s="14">
        <v>36.78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1" t="s">
        <v>1633</v>
      </c>
      <c r="B686" s="11" t="s">
        <v>1634</v>
      </c>
      <c r="C686" s="11" t="s">
        <v>1734</v>
      </c>
      <c r="D686" s="14">
        <v>0.0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1" t="s">
        <v>1633</v>
      </c>
      <c r="B687" s="11" t="s">
        <v>1634</v>
      </c>
      <c r="C687" s="11" t="s">
        <v>1735</v>
      </c>
      <c r="D687" s="14">
        <v>941.98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1" t="s">
        <v>1633</v>
      </c>
      <c r="B688" s="11" t="s">
        <v>1634</v>
      </c>
      <c r="C688" s="11" t="s">
        <v>1737</v>
      </c>
      <c r="D688" s="14">
        <v>2688.82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1" t="s">
        <v>1633</v>
      </c>
      <c r="B689" s="11" t="s">
        <v>1634</v>
      </c>
      <c r="C689" s="11" t="s">
        <v>1739</v>
      </c>
      <c r="D689" s="14">
        <v>94.64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1" t="s">
        <v>1633</v>
      </c>
      <c r="B690" s="11" t="s">
        <v>1634</v>
      </c>
      <c r="C690" s="11" t="s">
        <v>1740</v>
      </c>
      <c r="D690" s="14">
        <v>64.91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1" t="s">
        <v>1633</v>
      </c>
      <c r="B691" s="11" t="s">
        <v>1634</v>
      </c>
      <c r="C691" s="11" t="s">
        <v>1743</v>
      </c>
      <c r="D691" s="14">
        <v>315.47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1" t="s">
        <v>1633</v>
      </c>
      <c r="B692" s="11" t="s">
        <v>1634</v>
      </c>
      <c r="C692" s="11" t="s">
        <v>1745</v>
      </c>
      <c r="D692" s="14">
        <v>219.05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1" t="s">
        <v>1633</v>
      </c>
      <c r="B693" s="11" t="s">
        <v>1634</v>
      </c>
      <c r="C693" s="11" t="s">
        <v>1748</v>
      </c>
      <c r="D693" s="14">
        <v>0.0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1" t="s">
        <v>1633</v>
      </c>
      <c r="B694" s="11" t="s">
        <v>1634</v>
      </c>
      <c r="C694" s="11" t="s">
        <v>1749</v>
      </c>
      <c r="D694" s="14">
        <v>1.61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1" t="s">
        <v>1633</v>
      </c>
      <c r="B695" s="11" t="s">
        <v>1634</v>
      </c>
      <c r="C695" s="11" t="s">
        <v>1750</v>
      </c>
      <c r="D695" s="14">
        <v>4.34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1" t="s">
        <v>1633</v>
      </c>
      <c r="B696" s="11" t="s">
        <v>1634</v>
      </c>
      <c r="C696" s="11" t="s">
        <v>1751</v>
      </c>
      <c r="D696" s="14">
        <v>0.0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1" t="s">
        <v>1633</v>
      </c>
      <c r="B697" s="11" t="s">
        <v>1634</v>
      </c>
      <c r="C697" s="11" t="s">
        <v>1753</v>
      </c>
      <c r="D697" s="14">
        <v>0.0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1" t="s">
        <v>1633</v>
      </c>
      <c r="B698" s="11" t="s">
        <v>1634</v>
      </c>
      <c r="C698" s="11" t="s">
        <v>1754</v>
      </c>
      <c r="D698" s="14">
        <v>0.0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1" t="s">
        <v>1633</v>
      </c>
      <c r="B699" s="11" t="s">
        <v>1634</v>
      </c>
      <c r="C699" s="11" t="s">
        <v>1755</v>
      </c>
      <c r="D699" s="14">
        <v>24.0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1" t="s">
        <v>1633</v>
      </c>
      <c r="B700" s="11" t="s">
        <v>1634</v>
      </c>
      <c r="C700" s="11" t="s">
        <v>1757</v>
      </c>
      <c r="D700" s="14">
        <v>139.54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1" t="s">
        <v>1633</v>
      </c>
      <c r="B701" s="11" t="s">
        <v>1634</v>
      </c>
      <c r="C701" s="11" t="s">
        <v>1759</v>
      </c>
      <c r="D701" s="14">
        <v>345.27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1" t="s">
        <v>1633</v>
      </c>
      <c r="B702" s="11" t="s">
        <v>1634</v>
      </c>
      <c r="C702" s="11" t="s">
        <v>1760</v>
      </c>
      <c r="D702" s="14">
        <v>154.11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1" t="s">
        <v>1633</v>
      </c>
      <c r="B703" s="11" t="s">
        <v>1634</v>
      </c>
      <c r="C703" s="11" t="s">
        <v>1763</v>
      </c>
      <c r="D703" s="14">
        <v>0.0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1" t="s">
        <v>1633</v>
      </c>
      <c r="B704" s="11" t="s">
        <v>1634</v>
      </c>
      <c r="C704" s="11" t="s">
        <v>1764</v>
      </c>
      <c r="D704" s="14">
        <v>809.19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1" t="s">
        <v>1633</v>
      </c>
      <c r="B705" s="11" t="s">
        <v>1634</v>
      </c>
      <c r="C705" s="11" t="s">
        <v>1765</v>
      </c>
      <c r="D705" s="14">
        <v>1.72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1" t="s">
        <v>1768</v>
      </c>
      <c r="B706" s="11" t="s">
        <v>1769</v>
      </c>
      <c r="C706" s="11" t="s">
        <v>1770</v>
      </c>
      <c r="D706" s="14">
        <v>0.0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1" t="s">
        <v>1768</v>
      </c>
      <c r="B707" s="11" t="s">
        <v>1769</v>
      </c>
      <c r="C707" s="11" t="s">
        <v>1771</v>
      </c>
      <c r="D707" s="14">
        <v>0.0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1" t="s">
        <v>1768</v>
      </c>
      <c r="B708" s="11" t="s">
        <v>1769</v>
      </c>
      <c r="C708" s="11" t="s">
        <v>1772</v>
      </c>
      <c r="D708" s="14">
        <v>0.0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1" t="s">
        <v>1768</v>
      </c>
      <c r="B709" s="11" t="s">
        <v>1769</v>
      </c>
      <c r="C709" s="11" t="s">
        <v>1774</v>
      </c>
      <c r="D709" s="14">
        <v>0.0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1" t="s">
        <v>1768</v>
      </c>
      <c r="B710" s="11" t="s">
        <v>1769</v>
      </c>
      <c r="C710" s="11" t="s">
        <v>1776</v>
      </c>
      <c r="D710" s="14">
        <v>69.82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1" t="s">
        <v>1768</v>
      </c>
      <c r="B711" s="11" t="s">
        <v>1769</v>
      </c>
      <c r="C711" s="11" t="s">
        <v>1777</v>
      </c>
      <c r="D711" s="14">
        <v>0.0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1" t="s">
        <v>1768</v>
      </c>
      <c r="B712" s="11" t="s">
        <v>1769</v>
      </c>
      <c r="C712" s="11" t="s">
        <v>1778</v>
      </c>
      <c r="D712" s="14">
        <v>0.0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1" t="s">
        <v>1768</v>
      </c>
      <c r="B713" s="11" t="s">
        <v>1769</v>
      </c>
      <c r="C713" s="11" t="s">
        <v>1781</v>
      </c>
      <c r="D713" s="14">
        <v>0.0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1" t="s">
        <v>1768</v>
      </c>
      <c r="B714" s="11" t="s">
        <v>1769</v>
      </c>
      <c r="C714" s="11" t="s">
        <v>1782</v>
      </c>
      <c r="D714" s="14">
        <v>0.0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1" t="s">
        <v>1768</v>
      </c>
      <c r="B715" s="11" t="s">
        <v>1769</v>
      </c>
      <c r="C715" s="11" t="s">
        <v>1783</v>
      </c>
      <c r="D715" s="14">
        <v>0.0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1" t="s">
        <v>1768</v>
      </c>
      <c r="B716" s="11" t="s">
        <v>1769</v>
      </c>
      <c r="C716" s="11" t="s">
        <v>1786</v>
      </c>
      <c r="D716" s="14">
        <v>251.04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1" t="s">
        <v>1768</v>
      </c>
      <c r="B717" s="11" t="s">
        <v>1769</v>
      </c>
      <c r="C717" s="11" t="s">
        <v>1787</v>
      </c>
      <c r="D717" s="14">
        <v>0.0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1" t="s">
        <v>1768</v>
      </c>
      <c r="B718" s="11" t="s">
        <v>1769</v>
      </c>
      <c r="C718" s="11" t="s">
        <v>1788</v>
      </c>
      <c r="D718" s="14">
        <v>0.0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1" t="s">
        <v>1768</v>
      </c>
      <c r="B719" s="11" t="s">
        <v>1769</v>
      </c>
      <c r="C719" s="11" t="s">
        <v>1791</v>
      </c>
      <c r="D719" s="14">
        <v>861.71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1" t="s">
        <v>1768</v>
      </c>
      <c r="B720" s="11" t="s">
        <v>1769</v>
      </c>
      <c r="C720" s="11" t="s">
        <v>1792</v>
      </c>
      <c r="D720" s="14">
        <v>887.87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1" t="s">
        <v>1768</v>
      </c>
      <c r="B721" s="11" t="s">
        <v>1769</v>
      </c>
      <c r="C721" s="11" t="s">
        <v>1795</v>
      </c>
      <c r="D721" s="14">
        <v>0.0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1" t="s">
        <v>1768</v>
      </c>
      <c r="B722" s="11" t="s">
        <v>1769</v>
      </c>
      <c r="C722" s="11" t="s">
        <v>1796</v>
      </c>
      <c r="D722" s="14">
        <v>0.0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1" t="s">
        <v>1768</v>
      </c>
      <c r="B723" s="11" t="s">
        <v>1769</v>
      </c>
      <c r="C723" s="11" t="s">
        <v>1799</v>
      </c>
      <c r="D723" s="14">
        <v>46.39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1" t="s">
        <v>1768</v>
      </c>
      <c r="B724" s="11" t="s">
        <v>1769</v>
      </c>
      <c r="C724" s="11" t="s">
        <v>1800</v>
      </c>
      <c r="D724" s="14">
        <v>0.0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1" t="s">
        <v>1768</v>
      </c>
      <c r="B725" s="11" t="s">
        <v>1769</v>
      </c>
      <c r="C725" s="11" t="s">
        <v>1802</v>
      </c>
      <c r="D725" s="14">
        <v>0.0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1" t="s">
        <v>1768</v>
      </c>
      <c r="B726" s="11" t="s">
        <v>1804</v>
      </c>
      <c r="C726" s="11" t="s">
        <v>1805</v>
      </c>
      <c r="D726" s="14">
        <v>162.44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1" t="s">
        <v>1768</v>
      </c>
      <c r="B727" s="11" t="s">
        <v>1804</v>
      </c>
      <c r="C727" s="11" t="s">
        <v>1806</v>
      </c>
      <c r="D727" s="14">
        <v>0.0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1" t="s">
        <v>1768</v>
      </c>
      <c r="B728" s="11" t="s">
        <v>1804</v>
      </c>
      <c r="C728" s="11" t="s">
        <v>1809</v>
      </c>
      <c r="D728" s="14">
        <v>2.74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1" t="s">
        <v>1768</v>
      </c>
      <c r="B729" s="11" t="s">
        <v>1804</v>
      </c>
      <c r="C729" s="11" t="s">
        <v>1810</v>
      </c>
      <c r="D729" s="14">
        <v>0.0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1" t="s">
        <v>1768</v>
      </c>
      <c r="B730" s="11" t="s">
        <v>1804</v>
      </c>
      <c r="C730" s="11" t="s">
        <v>1813</v>
      </c>
      <c r="D730" s="14">
        <v>110.05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1" t="s">
        <v>1768</v>
      </c>
      <c r="B731" s="11" t="s">
        <v>1804</v>
      </c>
      <c r="C731" s="11" t="s">
        <v>1814</v>
      </c>
      <c r="D731" s="14">
        <v>767.87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1" t="s">
        <v>1768</v>
      </c>
      <c r="B732" s="11" t="s">
        <v>1804</v>
      </c>
      <c r="C732" s="11" t="s">
        <v>1815</v>
      </c>
      <c r="D732" s="14">
        <v>1101.36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1" t="s">
        <v>1768</v>
      </c>
      <c r="B733" s="11" t="s">
        <v>1804</v>
      </c>
      <c r="C733" s="11" t="s">
        <v>1818</v>
      </c>
      <c r="D733" s="14">
        <v>1087.0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1" t="s">
        <v>1768</v>
      </c>
      <c r="B734" s="11" t="s">
        <v>1804</v>
      </c>
      <c r="C734" s="11" t="s">
        <v>1820</v>
      </c>
      <c r="D734" s="14">
        <v>0.0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1" t="s">
        <v>1768</v>
      </c>
      <c r="B735" s="11" t="s">
        <v>1804</v>
      </c>
      <c r="C735" s="11" t="s">
        <v>1822</v>
      </c>
      <c r="D735" s="14">
        <v>0.0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2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2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2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2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2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2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2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2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2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2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2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2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2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2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2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2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2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2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2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2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2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2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2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2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2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2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2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2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2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2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2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2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2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2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2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2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2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2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2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2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2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2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2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2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2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2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2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2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2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2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2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2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2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2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2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2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2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2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2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2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2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2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2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2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2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2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2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2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2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2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2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2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2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2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2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2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2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2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2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2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2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2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2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2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2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2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2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2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2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2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2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2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2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2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2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2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2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2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2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2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2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2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2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2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2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2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2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2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2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2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2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2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2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2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2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2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2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2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2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2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2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2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2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2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2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2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2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2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2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2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2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2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2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2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2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2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2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2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2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2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2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2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2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2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2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2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2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2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2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2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2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2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2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2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2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2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2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2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2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2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2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2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2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2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2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2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2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2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2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2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2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2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2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2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2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2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2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2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2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2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2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2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2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2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2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2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2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2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2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2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2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2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2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2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2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2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2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2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2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2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2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2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2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2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2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2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2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2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2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2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2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2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2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2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2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2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2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2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2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2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2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2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2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2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2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2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2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2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2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2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2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2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2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2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2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2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2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2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2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2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2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2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2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2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2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2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2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2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2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2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2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2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2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2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2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2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2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2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2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2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2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2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2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drawing r:id="rId1"/>
</worksheet>
</file>