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HP" state="visible" r:id="rId4"/>
  </sheets>
  <calcPr calcId="171027"/>
</workbook>
</file>

<file path=xl/sharedStrings.xml><?xml version="1.0" encoding="utf-8"?>
<sst xmlns="http://schemas.openxmlformats.org/spreadsheetml/2006/main" count="2993" uniqueCount="825">
  <si>
    <t>LAPORAN PRODUKSI HARIAN (LHP)</t>
  </si>
  <si>
    <t>Periode: Tanggal 13/07/2026</t>
  </si>
  <si>
    <t>Wilayah</t>
  </si>
  <si>
    <t>Regional</t>
  </si>
  <si>
    <t>Distrik</t>
  </si>
  <si>
    <t>Kebun</t>
  </si>
  <si>
    <t>Luas Planted TM (Ha)</t>
  </si>
  <si>
    <t>Hari Ini</t>
  </si>
  <si>
    <t>s.d Hari Ini</t>
  </si>
  <si>
    <t>s.d Bulan Ini</t>
  </si>
  <si>
    <t>Real</t>
  </si>
  <si>
    <t>RKAP</t>
  </si>
  <si>
    <t>Produksi (Kg)</t>
  </si>
  <si>
    <t>Kinerja Panen Hari Ini</t>
  </si>
  <si>
    <t>Produktivitas (Kg/Ha)</t>
  </si>
  <si>
    <t>%</t>
  </si>
  <si>
    <t>Ha Panen</t>
  </si>
  <si>
    <t>TK Panen</t>
  </si>
  <si>
    <t>Kg Panen</t>
  </si>
  <si>
    <t>Output (Kg/Hk)</t>
  </si>
  <si>
    <t>Output (Ha/Hk)</t>
  </si>
  <si>
    <t>Restan (Kg)</t>
  </si>
  <si>
    <t>CRO I</t>
  </si>
  <si>
    <t>Aceh</t>
  </si>
  <si>
    <t/>
  </si>
  <si>
    <t>Bintang Permata Alue Waki</t>
  </si>
  <si>
    <t>Dharmasawita Nusantara</t>
  </si>
  <si>
    <t>Global Sawit Semesta</t>
  </si>
  <si>
    <t>Mestika Prima Lestari Indah</t>
  </si>
  <si>
    <t>Perkebunan dan Pertanian Sumber Asih</t>
  </si>
  <si>
    <t>Sisirau</t>
  </si>
  <si>
    <t>Teunggulon Raya</t>
  </si>
  <si>
    <t>Watu Gede Utama</t>
  </si>
  <si>
    <t>Subtotal Aceh</t>
  </si>
  <si>
    <t>Sumut 1</t>
  </si>
  <si>
    <t>Andalas Intiagro Lestari</t>
  </si>
  <si>
    <t>Anugerah Langkat Makmur</t>
  </si>
  <si>
    <t>Anugerah Sawindo</t>
  </si>
  <si>
    <t>Bandar Meriah*</t>
  </si>
  <si>
    <t>Barumun Raya Padang Langkat</t>
  </si>
  <si>
    <t>Grahadura Leidongprim/Bakrie Group</t>
  </si>
  <si>
    <t>Gunung Bangau</t>
  </si>
  <si>
    <t>Karimun Aromatics Co. Ltd</t>
  </si>
  <si>
    <t>Karya Hevea Indonesia</t>
  </si>
  <si>
    <t>Kembang Sepatu Alam Abadi</t>
  </si>
  <si>
    <t>Koperasi Produsen Maju Bersama</t>
  </si>
  <si>
    <t>Perkebunan Inti Sawit Subur</t>
  </si>
  <si>
    <t>Perkebunan Karetia</t>
  </si>
  <si>
    <t>Perkebunan Nusantara I (Eks PTPN II)</t>
  </si>
  <si>
    <t>Perkebunanan Sungai Wang</t>
  </si>
  <si>
    <t>Perusahaan Perkebunan &amp; Dagangan Indah Pontjan (1)</t>
  </si>
  <si>
    <t>Perusahaan Perkebunan &amp; Dagangan Indah Pontjan (2)</t>
  </si>
  <si>
    <t>PT. Bakrie Sumatera Plantations/Bakrie group</t>
  </si>
  <si>
    <t>Sawit Indah Abadi</t>
  </si>
  <si>
    <t>Sekoci</t>
  </si>
  <si>
    <t>Sibuah Raya</t>
  </si>
  <si>
    <t>Supra Matra Abadi</t>
  </si>
  <si>
    <t>Tondy Barumun Sejahtera</t>
  </si>
  <si>
    <t>Subtotal Sumut 1</t>
  </si>
  <si>
    <t>Sumut 2</t>
  </si>
  <si>
    <t>Distrik 1</t>
  </si>
  <si>
    <t>Bukit Harapan I</t>
  </si>
  <si>
    <t>Distrik 2</t>
  </si>
  <si>
    <t>Bukit Harapan II</t>
  </si>
  <si>
    <t>Distrik 3</t>
  </si>
  <si>
    <t>Parsub</t>
  </si>
  <si>
    <t>Patogu Janji</t>
  </si>
  <si>
    <t>Bukit Harapan I Plasma</t>
  </si>
  <si>
    <t>Bukit Harapan II Plasma</t>
  </si>
  <si>
    <t>Parsub Plasma</t>
  </si>
  <si>
    <t>Patogu Janji KSO</t>
  </si>
  <si>
    <t>Patogu Janji Plasma</t>
  </si>
  <si>
    <t>Wonorejo Perdana</t>
  </si>
  <si>
    <t>Subtotal Sumut 2</t>
  </si>
  <si>
    <t>Subtotal CRO I</t>
  </si>
  <si>
    <t>CRO II</t>
  </si>
  <si>
    <t>Riau 1</t>
  </si>
  <si>
    <t>Kencana Amal Tani (Kat) I</t>
  </si>
  <si>
    <t>Kencana Amal Tani (Kat) II</t>
  </si>
  <si>
    <t>Kencana Amal Tani (Kat) III</t>
  </si>
  <si>
    <t>Kppa Mal</t>
  </si>
  <si>
    <t>Mekar Alam Lestari (Mal) I</t>
  </si>
  <si>
    <t>Mekar Alam Lestari (Mal) II</t>
  </si>
  <si>
    <t>Siberida Subur (Ss)</t>
  </si>
  <si>
    <t>Banyu Bening Utama (Bbu) I</t>
  </si>
  <si>
    <t>Banyu Bening Utama (Bbu) II</t>
  </si>
  <si>
    <t>Palma I (Ps I)</t>
  </si>
  <si>
    <t>Palma II (Ps II)</t>
  </si>
  <si>
    <t>Panca Agro Lestari (Pal)</t>
  </si>
  <si>
    <t>Cerenti Subur (Csb) I</t>
  </si>
  <si>
    <t>Cerenti Subur (Csb) II</t>
  </si>
  <si>
    <t>Wana Jingga Timur (Wjt)</t>
  </si>
  <si>
    <t>Distrik 4</t>
  </si>
  <si>
    <t>Duta Palma Nusantara (Dpn) I</t>
  </si>
  <si>
    <t>Duta Palma Nusantara (Dpn) II</t>
  </si>
  <si>
    <t>Duta Palma Nusantara (Dpn) III</t>
  </si>
  <si>
    <t>Distrik 5</t>
  </si>
  <si>
    <t>Aditya Palma Nusantara (Apn Inti)</t>
  </si>
  <si>
    <t>Eluan Mahkota (EMA) - KT</t>
  </si>
  <si>
    <t>Johan Sentosa</t>
  </si>
  <si>
    <t>Palma Inti Lestari (PIL)</t>
  </si>
  <si>
    <t>Subtotal Riau 1</t>
  </si>
  <si>
    <t>Subtotal CRO II</t>
  </si>
  <si>
    <t>CRO III</t>
  </si>
  <si>
    <t>Riau 2</t>
  </si>
  <si>
    <t>Adimulia Agrolestari Takeover Dari Blangkolam</t>
  </si>
  <si>
    <t>Agrita Sari Prima</t>
  </si>
  <si>
    <t>Agro Mitra Rokan</t>
  </si>
  <si>
    <t>Agro Sarimas Indonesia</t>
  </si>
  <si>
    <t>Agro Wisata Industri</t>
  </si>
  <si>
    <t>Andika Permata Sawit Lestari</t>
  </si>
  <si>
    <t>Aneka Inti Persada</t>
  </si>
  <si>
    <t>Anugerah Tuah Mulya Perkasa</t>
  </si>
  <si>
    <t>Apsl Rayon 1</t>
  </si>
  <si>
    <t>Apsl Rayon 3 ( Poktan Maju Bersama)</t>
  </si>
  <si>
    <t>Arindo Trisejahtera</t>
  </si>
  <si>
    <t>Armada Putra</t>
  </si>
  <si>
    <t>Bagas Indah Perkasa</t>
  </si>
  <si>
    <t>Berkat Satu</t>
  </si>
  <si>
    <t>Berlian Agro Plantation</t>
  </si>
  <si>
    <t>Berlian Mitra Inti</t>
  </si>
  <si>
    <t>Bina Pitri Jaya</t>
  </si>
  <si>
    <t>Bintang Riau Sejahtera</t>
  </si>
  <si>
    <t>Buana Wira Lestari Mas</t>
  </si>
  <si>
    <t>Budi Tani Kembang Jaya</t>
  </si>
  <si>
    <t>Bumi Palma Lestari Persada</t>
  </si>
  <si>
    <t>Cahaya Indah Sangsurya</t>
  </si>
  <si>
    <t>Cibaliung Tunggal Plantation</t>
  </si>
  <si>
    <t>Ciliandra Perkasa</t>
  </si>
  <si>
    <t>Citra Sardela Abadi</t>
  </si>
  <si>
    <t>CV Agro Sukses Abadi/CV Sawit Makmur Lestari</t>
  </si>
  <si>
    <t>CV Alam Riau Bertuah</t>
  </si>
  <si>
    <t>CV Kamparindo (CV inti sawit Perkasa)</t>
  </si>
  <si>
    <t>CV Makmur Jaya Sentosa</t>
  </si>
  <si>
    <t>CV Sepakat Bersama Ali</t>
  </si>
  <si>
    <t>CV Sianipar Putra Mandiri</t>
  </si>
  <si>
    <t>Darmali Jaya Lestari</t>
  </si>
  <si>
    <t>Dumai Tani Unggul</t>
  </si>
  <si>
    <t>Duta Mas Makmur Perkasa</t>
  </si>
  <si>
    <t>Eka Sari Lorena /Koperasi Segati Sejahtera Mandiri</t>
  </si>
  <si>
    <t>Ekadura Indonesia</t>
  </si>
  <si>
    <t>Ganda Buanindo</t>
  </si>
  <si>
    <t>Ganderah Hendana</t>
  </si>
  <si>
    <t>Gatipura Mulya</t>
  </si>
  <si>
    <t>Gerbang Sawit Indah</t>
  </si>
  <si>
    <t>Guna Dodos</t>
  </si>
  <si>
    <t>Guna Usagri Pratama - Yingerh Gunawan</t>
  </si>
  <si>
    <t>Guntung Hasrat Makmur</t>
  </si>
  <si>
    <t>Gunung Mas Raya</t>
  </si>
  <si>
    <t>Hendri Padang</t>
  </si>
  <si>
    <t>Hotman Silalahi/Sipangkar (Perorangan)</t>
  </si>
  <si>
    <t>Hutahean</t>
  </si>
  <si>
    <t>Indograha Makmur Sentosa</t>
  </si>
  <si>
    <t>Indogreen Jaya Abadi</t>
  </si>
  <si>
    <t>Indrawan Perkasa</t>
  </si>
  <si>
    <t>Inti Indosawit Subur</t>
  </si>
  <si>
    <t>Ivo Mas Tunggal</t>
  </si>
  <si>
    <t>Jaya Gemilang Sukses</t>
  </si>
  <si>
    <t>Kelompok Tani Karya Mandiri (PT SPA)</t>
  </si>
  <si>
    <t>Kelompok Tani Kepau Jaya Sukses Lestari</t>
  </si>
  <si>
    <t>Kharisma Riau Sentosa Prima</t>
  </si>
  <si>
    <t>Koperasi Serik Indah Mandiri (GUP)</t>
  </si>
  <si>
    <t>Lahan Tani Sakti</t>
  </si>
  <si>
    <t>Masuba Citra Mandiri</t>
  </si>
  <si>
    <t>Mega Nusa Inti Sawit</t>
  </si>
  <si>
    <t>Merauke Tetap Jaya (Koperasi Guna Karya Sejahtera)</t>
  </si>
  <si>
    <t>Mitra Unggul Pusaka</t>
  </si>
  <si>
    <t>Murini Sam Sam</t>
  </si>
  <si>
    <t>Muriniwood Indah Industry</t>
  </si>
  <si>
    <t>Mustika Agro Sari</t>
  </si>
  <si>
    <t>Padasa Enam Utama</t>
  </si>
  <si>
    <t>Palm Lestari Makmur</t>
  </si>
  <si>
    <t>Pasirmas Giri Raya</t>
  </si>
  <si>
    <t>Pelintung Jaya Bersama</t>
  </si>
  <si>
    <t>Peputra Maha Raya</t>
  </si>
  <si>
    <t>Perawang Sukses Perkasa Industri</t>
  </si>
  <si>
    <t>Priatama Riau</t>
  </si>
  <si>
    <t>Prima Agro Sawitindo</t>
  </si>
  <si>
    <t>Rama Salomo (Kebun Hendri Sianipar)</t>
  </si>
  <si>
    <t>Rama Salomo Tanjung Medan (Michael Chandra Sianipar)</t>
  </si>
  <si>
    <t>Ramajaya Pramukti</t>
  </si>
  <si>
    <t>Riau Bumi Bina Makmur (Lokasi 1)</t>
  </si>
  <si>
    <t>Riau Jaya Utama</t>
  </si>
  <si>
    <t>Riau Sakti United Plantations</t>
  </si>
  <si>
    <t>Riausakti Transmandiri</t>
  </si>
  <si>
    <t>Rimba Sawit Kusuma</t>
  </si>
  <si>
    <t>Salim Ivomas Pratama/Salim</t>
  </si>
  <si>
    <t>Sandria Sukses Bersama</t>
  </si>
  <si>
    <t>Sarana Inti Pratama</t>
  </si>
  <si>
    <t>Sari Lembah Subur</t>
  </si>
  <si>
    <t>Sawit Asahan Indah</t>
  </si>
  <si>
    <t>Serikat Putra/Salim</t>
  </si>
  <si>
    <t>Setia Agrindo Mandiri</t>
  </si>
  <si>
    <t>Simas Sawit Aliantan</t>
  </si>
  <si>
    <t>Sinar Inti Sawit</t>
  </si>
  <si>
    <t>Sinar Riau Palm Oil</t>
  </si>
  <si>
    <t>Sinar Sawit Sejahtera</t>
  </si>
  <si>
    <t>Sinar Widita Pamarta</t>
  </si>
  <si>
    <t>Subur Arum Makmur</t>
  </si>
  <si>
    <t>Sugih Indah Sejati</t>
  </si>
  <si>
    <t>Sumber Alam Makmur Sentosa</t>
  </si>
  <si>
    <t>Supra Matra Abadi (Riau)</t>
  </si>
  <si>
    <t>Surya Agrolika Reksa I</t>
  </si>
  <si>
    <t>Surya Dumai Agrindo</t>
  </si>
  <si>
    <t>Surya Intisari Raya</t>
  </si>
  <si>
    <t>Tani Subur Makmur</t>
  </si>
  <si>
    <t>Telangka Indo Permai</t>
  </si>
  <si>
    <t>Teso Indah</t>
  </si>
  <si>
    <t>Th Indo Plantation</t>
  </si>
  <si>
    <t>Tri Bakti Sarimas</t>
  </si>
  <si>
    <t>Triomas FDI</t>
  </si>
  <si>
    <t>Tugu Palma Sumatera</t>
  </si>
  <si>
    <t>Tunggal Perkasa Plantation</t>
  </si>
  <si>
    <t>Udaya Lohjinawi (Sadria Sukses Bersama)</t>
  </si>
  <si>
    <t>Victorindo Alam Lestari/Permata Hijau Indonesia</t>
  </si>
  <si>
    <t>Subtotal Riau 2</t>
  </si>
  <si>
    <t>Riau 3</t>
  </si>
  <si>
    <t>Agro Sarimas Indonesia (Plasma)</t>
  </si>
  <si>
    <t>Agroraya Gematrans</t>
  </si>
  <si>
    <t>Air Jernih</t>
  </si>
  <si>
    <t>Berlian Inti Mekar</t>
  </si>
  <si>
    <t>Budi Murni Pancajaya</t>
  </si>
  <si>
    <t>Bukit Gajah Putih</t>
  </si>
  <si>
    <t>Cakra Alam Sejati</t>
  </si>
  <si>
    <t>Graha Permata Hijau</t>
  </si>
  <si>
    <t>Inti Kamparindo Sejahtera</t>
  </si>
  <si>
    <t>Karya Panen Terus</t>
  </si>
  <si>
    <t>Kelompok Tani Jaya Mandiri (awalnya PT Andalas)</t>
  </si>
  <si>
    <t>Krisna Kereta Kencana</t>
  </si>
  <si>
    <t>Marita Makmur Jaya</t>
  </si>
  <si>
    <t>Oscar Investama</t>
  </si>
  <si>
    <t>Riau Sawitindo Abadi</t>
  </si>
  <si>
    <t>Runggu Divisi I s.d IV (Koperasi Jasa Sawit Mulia)</t>
  </si>
  <si>
    <t>Selantai Agro Lestari</t>
  </si>
  <si>
    <t>Sinar Haska Lestari</t>
  </si>
  <si>
    <t>Sitapongan Lestari</t>
  </si>
  <si>
    <t>Sumatera Makmur Lestari</t>
  </si>
  <si>
    <t>Sumatera Timur Indonesia</t>
  </si>
  <si>
    <t>Sumber Jaya Indahnusa Coy</t>
  </si>
  <si>
    <t>Tasma Puja Inhu</t>
  </si>
  <si>
    <t>Tasma Puja Kampar</t>
  </si>
  <si>
    <t>Toton/Kelompok Tani Sumber Makmur Bersama</t>
  </si>
  <si>
    <t>Tri Hasta Palma</t>
  </si>
  <si>
    <t>Tunggal Mitra Plantation/Minamas</t>
  </si>
  <si>
    <t>Wanasari Nusantara</t>
  </si>
  <si>
    <t>Subtotal Riau 3</t>
  </si>
  <si>
    <t>Subtotal CRO III</t>
  </si>
  <si>
    <t>CRO IV</t>
  </si>
  <si>
    <t>Riau 4</t>
  </si>
  <si>
    <t>Tor Ganda / Togos Gopas</t>
  </si>
  <si>
    <t>Tor Ganda Kebun Batang Kumu 1</t>
  </si>
  <si>
    <t>Tor Ganda Kebun Batang Kumu 2</t>
  </si>
  <si>
    <t>Tor Ganda Kebun Karya Perdana</t>
  </si>
  <si>
    <t>Torus Ganda Kebun Rantau Kasai</t>
  </si>
  <si>
    <t>Torus Ganda Kebun Tambusai Timur</t>
  </si>
  <si>
    <t>Subtotal Riau 4</t>
  </si>
  <si>
    <t>Subtotal CRO IV</t>
  </si>
  <si>
    <t>CRO V</t>
  </si>
  <si>
    <t>Babel</t>
  </si>
  <si>
    <t>Agrolestari Subur Sejahtera (Sinarmas)</t>
  </si>
  <si>
    <t>Bumi Sawit Sukses Pratama</t>
  </si>
  <si>
    <t>Bumi Sawit Sukses Pratama (Bangka Kota)</t>
  </si>
  <si>
    <t>Fenyen Agro Lestari (Kebun Kotawaringin+Jeriji)</t>
  </si>
  <si>
    <t>Gunung Maras Lestari</t>
  </si>
  <si>
    <t>Hans Buana Inti guna Lestari</t>
  </si>
  <si>
    <t>Mp Leidong West Indonesia (Sinarmas)</t>
  </si>
  <si>
    <t>Rebinmas Jaya</t>
  </si>
  <si>
    <t>Sinar Agro Makmur Lestari (Bukit Luwi)</t>
  </si>
  <si>
    <t>Sinar Agro Makmur Lestari (Kurau)</t>
  </si>
  <si>
    <t>Swarna Nusa Sentosa (Kebun Malik)</t>
  </si>
  <si>
    <t>Swarna Nusa Sentosa (Kebun Muntok)</t>
  </si>
  <si>
    <t>Subtotal Babel</t>
  </si>
  <si>
    <t>Jambi</t>
  </si>
  <si>
    <t>Agrowiyana</t>
  </si>
  <si>
    <t>Anugrah Polanusa</t>
  </si>
  <si>
    <t>Bahana Karya Semesta</t>
  </si>
  <si>
    <t>Batanghari Sawit Sejahtera</t>
  </si>
  <si>
    <t>Bintang Selatan Agro</t>
  </si>
  <si>
    <t>Brahma Binabakti/Kirana Sakernan</t>
  </si>
  <si>
    <t>Citra Koperasindo Tani**</t>
  </si>
  <si>
    <t>Citra Mulia Manunggal</t>
  </si>
  <si>
    <t>Hutan Alam Lestari</t>
  </si>
  <si>
    <t>Muaro Kahuripan Indonesia</t>
  </si>
  <si>
    <t>Perkebunan Nusantara IV Reg IV Kebun Tj Lebar</t>
  </si>
  <si>
    <t>Prima Mas Lestari</t>
  </si>
  <si>
    <t>Produk Sawitindo Jambi (Makin Group)</t>
  </si>
  <si>
    <t>Ricky Kurniawan Kertapersada (Makin Group)</t>
  </si>
  <si>
    <t>Satya Kisma Usaha*</t>
  </si>
  <si>
    <t>Sawit Mas Perkasa</t>
  </si>
  <si>
    <t>Subtotal Jambi</t>
  </si>
  <si>
    <t>Sumbar</t>
  </si>
  <si>
    <t>AMP Plantation Luas</t>
  </si>
  <si>
    <t>Inti Melia Felindo</t>
  </si>
  <si>
    <t>Primatama Mulia Jaya</t>
  </si>
  <si>
    <t>Selago Makmur Plantation</t>
  </si>
  <si>
    <t>Sumatera Jaya Agro Lestari</t>
  </si>
  <si>
    <t>Subtotal Sumbar</t>
  </si>
  <si>
    <t>Sumsel</t>
  </si>
  <si>
    <t>Aek Tarum</t>
  </si>
  <si>
    <t>Agro Rawas Ulu</t>
  </si>
  <si>
    <t>Bahari Gembira Ria</t>
  </si>
  <si>
    <t>Bangun Tenera Sriwijaya</t>
  </si>
  <si>
    <t>Banyu Kahuripan Indonesia</t>
  </si>
  <si>
    <t>Berkat Sawit Sejati</t>
  </si>
  <si>
    <t>Berkat Sawit Sejati (BSS)</t>
  </si>
  <si>
    <t>Bina Sains Cemerlang</t>
  </si>
  <si>
    <t>Budi Tirta &amp; Tirta Agung/Salim Grup</t>
  </si>
  <si>
    <t>Bumi Persada Permai</t>
  </si>
  <si>
    <t>Bumi Sawindo Permai</t>
  </si>
  <si>
    <t>Bumi Sawit Permai</t>
  </si>
  <si>
    <t>Cahaya Cemerlang Lestari</t>
  </si>
  <si>
    <t>Campang Tiga Mukut</t>
  </si>
  <si>
    <t>Cangkul Bumi Subur</t>
  </si>
  <si>
    <t>Ciptatunggal Asri</t>
  </si>
  <si>
    <t>Citraloka Begawan</t>
  </si>
  <si>
    <t>DendyIndah Makerlestari</t>
  </si>
  <si>
    <t>Djuanda Sawit Lestari</t>
  </si>
  <si>
    <t>Ekajaya Multiperkasa</t>
  </si>
  <si>
    <t>Gunung Meraksa Jaya</t>
  </si>
  <si>
    <t>Hamita Utama Karsa</t>
  </si>
  <si>
    <t>Hindoli/Cargill Group</t>
  </si>
  <si>
    <t>London Sumatera Indonesia Kebun Bebah Kubu Pakaran</t>
  </si>
  <si>
    <t>London Sumatera Indonesia Kebun Ketapat Bening</t>
  </si>
  <si>
    <t>London Sumatera Indonesia Kebun Riam Indah</t>
  </si>
  <si>
    <t>London Sumatera Indonesia Kebun Sei Kepayang</t>
  </si>
  <si>
    <t>London Sumatera Indonesia Sei Gemang</t>
  </si>
  <si>
    <t>London Sumatera Indonesia Sei Lakitan, Margo Sido, &amp; Pelita Jaya</t>
  </si>
  <si>
    <t>Lonsum Suka Damai, Budi Tirta &amp; Tirta Agung</t>
  </si>
  <si>
    <t>Lonsum Sumatera</t>
  </si>
  <si>
    <t>Marga Agro Sejahtera</t>
  </si>
  <si>
    <t>Mata Rantai Nusantara (Proteksindo)</t>
  </si>
  <si>
    <t>Mentari Sumur Abadi</t>
  </si>
  <si>
    <t>Mitra Ogan</t>
  </si>
  <si>
    <t>Musi Banyuasin Indah</t>
  </si>
  <si>
    <t>Musi Banyuasin Indah (2)</t>
  </si>
  <si>
    <t>Musi Hutan Persada</t>
  </si>
  <si>
    <t>Mutiara Bunda Jaya</t>
  </si>
  <si>
    <t>Pelangi Intipertiwi</t>
  </si>
  <si>
    <t>Perkebunan Hasil Musi Lestari</t>
  </si>
  <si>
    <t>Perkebunan Nusantara VII</t>
  </si>
  <si>
    <t>Pp London Sumatera - Arta Kencana</t>
  </si>
  <si>
    <t>Pp London Sumatera - Gunung Bais</t>
  </si>
  <si>
    <t>Pusakasinar Dianabadi</t>
  </si>
  <si>
    <t>Sampoerna Agro</t>
  </si>
  <si>
    <t>Sumber Wangi Alam</t>
  </si>
  <si>
    <t>Surya Bumi Agro Langgeng</t>
  </si>
  <si>
    <t>Sutopo Jaya Lestari</t>
  </si>
  <si>
    <t>Swadaya Bhakti Negaramas</t>
  </si>
  <si>
    <t>Swadaya Bhakti Negaramas (SBN)</t>
  </si>
  <si>
    <t>Syarifudin, MT (Kuang Suri)</t>
  </si>
  <si>
    <t>Telaga Hikmah</t>
  </si>
  <si>
    <t>Trimata Benua</t>
  </si>
  <si>
    <t>Subtotal Sumsel</t>
  </si>
  <si>
    <t>Subtotal CRO V</t>
  </si>
  <si>
    <t>CRO VI</t>
  </si>
  <si>
    <t>Kalbar 1</t>
  </si>
  <si>
    <t>Asset - I (KSO)</t>
  </si>
  <si>
    <t>Asset - II (KSO)</t>
  </si>
  <si>
    <t>Bukit Jago Indah (BJI)</t>
  </si>
  <si>
    <t>Ledo - I</t>
  </si>
  <si>
    <t>Ledo - II</t>
  </si>
  <si>
    <t>Ledo - III (KSO)</t>
  </si>
  <si>
    <t>Semunying (KSO)</t>
  </si>
  <si>
    <t>Kaliau Mas Perkasa A (KMP A)</t>
  </si>
  <si>
    <t>Kaliau Mas Perkasa B (KMP B)</t>
  </si>
  <si>
    <t>Teluk Keramat (TKR)</t>
  </si>
  <si>
    <t>Wana Hijau Semesta I (WHS I)</t>
  </si>
  <si>
    <t>Wana Hijau Semesta II (L1)</t>
  </si>
  <si>
    <t>Wana Hijau Semesta II (L2)</t>
  </si>
  <si>
    <t>Wana Hijau Semesta II (WHS II)</t>
  </si>
  <si>
    <t>Wana Hijau Semesta III (WHS III)</t>
  </si>
  <si>
    <t>Wana Hijau Semesta IV</t>
  </si>
  <si>
    <t>Ceria Prima - I (KSO)</t>
  </si>
  <si>
    <t>Ceria Prima - II (Inti)</t>
  </si>
  <si>
    <t>Ceria Prima - II (KSO)</t>
  </si>
  <si>
    <t>Ceria Prima - III (KSO)</t>
  </si>
  <si>
    <t>Mitra Wawasan (MWS)</t>
  </si>
  <si>
    <t>Persada Alam (PA)</t>
  </si>
  <si>
    <t>Wirata  - III S</t>
  </si>
  <si>
    <t>Wirata - I</t>
  </si>
  <si>
    <t>Wirata - II A</t>
  </si>
  <si>
    <t>Wirata - II S</t>
  </si>
  <si>
    <t>Wirata - III A</t>
  </si>
  <si>
    <t>Darmex - I</t>
  </si>
  <si>
    <t>Darmex - II</t>
  </si>
  <si>
    <t>Darmex - X</t>
  </si>
  <si>
    <t>Lestari Alam Raya (LAR)</t>
  </si>
  <si>
    <t>Plasma</t>
  </si>
  <si>
    <t>Kemitraaan Sebandut (LAR)</t>
  </si>
  <si>
    <t>Kemitraan Godang Damar (Darmex)</t>
  </si>
  <si>
    <t>Kemitraan Janyat (Darmex)</t>
  </si>
  <si>
    <t>Kemitraan Kaliau (KMP)</t>
  </si>
  <si>
    <t>Kemitraan Kalimao (Ledo - I)</t>
  </si>
  <si>
    <t>Kemitraan Kinande (Darmex)</t>
  </si>
  <si>
    <t>Kemitraan Kumba (Asset)</t>
  </si>
  <si>
    <t>Kemitraan Kumba (Ledo - I)</t>
  </si>
  <si>
    <t>Kemitraan Kumba (Ledo - III)</t>
  </si>
  <si>
    <t>Kemitraan Lembah Bawang (Darmex)</t>
  </si>
  <si>
    <t>Kemitraan MDP</t>
  </si>
  <si>
    <t>Kemitraan MW</t>
  </si>
  <si>
    <t>Kemitraan Pareh (Ledo - III)</t>
  </si>
  <si>
    <t>Kemitraan Pelangor (CP - I)</t>
  </si>
  <si>
    <t>Kemitraan Santaban (KMP)</t>
  </si>
  <si>
    <t>Kemitraan Sebunga ( WHS - III)</t>
  </si>
  <si>
    <t>Kemitraan Sei Enau (WHS - IV)</t>
  </si>
  <si>
    <t>Kemitraan Sekida (Asset)</t>
  </si>
  <si>
    <t>Kemitraan Semanga (WHS - I)</t>
  </si>
  <si>
    <t>Kemitraan Semanga (WHS - IV)</t>
  </si>
  <si>
    <t>Kemitraan Semangak (Wirata - II)</t>
  </si>
  <si>
    <t>Kemitraan Semunying (Ledo - III)</t>
  </si>
  <si>
    <t>Kemitraan Senangak (CP - I)</t>
  </si>
  <si>
    <t>Kemitraan Senangak (CP - II)</t>
  </si>
  <si>
    <t>Kemitraan Sepantai (Wirata - I)</t>
  </si>
  <si>
    <t>Kemitraan Sepuk (CP - III)</t>
  </si>
  <si>
    <t>Kemitraan Serangan (LAR)</t>
  </si>
  <si>
    <t>Kemitraan Seret Ayon (Darmex)</t>
  </si>
  <si>
    <t>Kemitraan Sinar Baru (Ledo - II)</t>
  </si>
  <si>
    <t>Kemitraan Tebuah  Elok  (LPA)</t>
  </si>
  <si>
    <t>Kemitraan Trans (Teluk Keramat)</t>
  </si>
  <si>
    <t>Subtotal Kalbar 1</t>
  </si>
  <si>
    <t>Kalbar 2</t>
  </si>
  <si>
    <t>Aditya Agroindo</t>
  </si>
  <si>
    <t>Agriplus (Bumitama Gunajaya)</t>
  </si>
  <si>
    <t>Agro Palindo Sakti</t>
  </si>
  <si>
    <t>Agrolestari Kencana Makmur</t>
  </si>
  <si>
    <t>Agrolestari Mandiri</t>
  </si>
  <si>
    <t>Agronusa Investama</t>
  </si>
  <si>
    <t>Aria Hijau Alam Lestari</t>
  </si>
  <si>
    <t>Berkat Nabati Sejahtera</t>
  </si>
  <si>
    <t>Bintang Permata Khatulistiwa</t>
  </si>
  <si>
    <t>Bonti Permai Jaya Raya</t>
  </si>
  <si>
    <t>Borneo Ketapang Permai</t>
  </si>
  <si>
    <t>Buana Hijau Abadi</t>
  </si>
  <si>
    <t>Cahaya Putih Energi Alam</t>
  </si>
  <si>
    <t>Citra Nusa Inti Sawit</t>
  </si>
  <si>
    <t>Fajar Saudara Lestari</t>
  </si>
  <si>
    <t>Falcon Agripersada</t>
  </si>
  <si>
    <t>Gerbang Benua Raya</t>
  </si>
  <si>
    <t>Gunajaya Karya Gemilang</t>
  </si>
  <si>
    <t>Harapan Sawit Lestari</t>
  </si>
  <si>
    <t>Indo Sawit Kekal</t>
  </si>
  <si>
    <t>Kalimantan Bina Permai</t>
  </si>
  <si>
    <t>Karya Boga Kusuma</t>
  </si>
  <si>
    <t>Kebun Ganda Prima</t>
  </si>
  <si>
    <t>Keliau Mas Perkasa</t>
  </si>
  <si>
    <t>Khatulistiwa Agro Abadi</t>
  </si>
  <si>
    <t>Mandiri Kapital Jaya</t>
  </si>
  <si>
    <t>Mempawah Permai Lestari</t>
  </si>
  <si>
    <t>Mitra Inti Sejati Plantation</t>
  </si>
  <si>
    <t>Nusantara Sarana Alam</t>
  </si>
  <si>
    <t>Palmade Agrosia Lestari</t>
  </si>
  <si>
    <t>Parna Agromas</t>
  </si>
  <si>
    <t>Patiware</t>
  </si>
  <si>
    <t>Perkebunan Nusantara V</t>
  </si>
  <si>
    <t>Prakarsa Tani Sejati</t>
  </si>
  <si>
    <t>Pulau Tiga Lestari Jaya</t>
  </si>
  <si>
    <t>Rana Wastu Kencana</t>
  </si>
  <si>
    <t>Ratubadis Adhi Perkasa</t>
  </si>
  <si>
    <t>Rezeki Kencana</t>
  </si>
  <si>
    <t>Riau Agrotama Plantation</t>
  </si>
  <si>
    <t>Satria Manunggal Sejahtera</t>
  </si>
  <si>
    <t>Satria Multi Sukses</t>
  </si>
  <si>
    <t>Sedjahtera Indo Agro</t>
  </si>
  <si>
    <t>Sepanjang Inti Surya Utama 2</t>
  </si>
  <si>
    <t>Sinar Dinamika Kapuas</t>
  </si>
  <si>
    <t>Tanjung Rhu Plantation And Product</t>
  </si>
  <si>
    <t>Tebar Tandan Tenerah</t>
  </si>
  <si>
    <t>Tsjafiuddin</t>
  </si>
  <si>
    <t>Umekah Sari Pratama</t>
  </si>
  <si>
    <t>Wawasan Kebun Nusantara</t>
  </si>
  <si>
    <t>Subtotal Kalbar 2</t>
  </si>
  <si>
    <t>Subtotal CRO VI</t>
  </si>
  <si>
    <t>CRO VII</t>
  </si>
  <si>
    <t>Kalsel 1</t>
  </si>
  <si>
    <t>Cakung Permata Nusa (Astra Agro lestari)</t>
  </si>
  <si>
    <t>Jaya Mandiri Sukses</t>
  </si>
  <si>
    <t>Koperasi Agro Borneo Corps (ABC)</t>
  </si>
  <si>
    <t>Manunggal Adi Jaya</t>
  </si>
  <si>
    <t>Saka Kencana Sejahtera</t>
  </si>
  <si>
    <t>Singaland Asetama</t>
  </si>
  <si>
    <t>Suryabumi Tunggal Perkasa</t>
  </si>
  <si>
    <t>Subtotal Kalsel 1</t>
  </si>
  <si>
    <t>Kalsel 2</t>
  </si>
  <si>
    <t>Alamraya Kencana Mas</t>
  </si>
  <si>
    <t>Bersama Sejahtera Sakti (Minamas)</t>
  </si>
  <si>
    <t>Buana Karya Bhakti</t>
  </si>
  <si>
    <t>Citra Putra Kebun Asri</t>
  </si>
  <si>
    <t>Indoraya Everlatex</t>
  </si>
  <si>
    <t>Ladang Rumpun Subur Abadi</t>
  </si>
  <si>
    <t>Laguna Mandiri (Minamas)</t>
  </si>
  <si>
    <t>Langgeng Muara Makmur (Minamas)</t>
  </si>
  <si>
    <t>Sajang Heulang Mustika</t>
  </si>
  <si>
    <t>Smart Tbk (Sinarmas)</t>
  </si>
  <si>
    <t>Swadaya Andika (Minamas)</t>
  </si>
  <si>
    <t>Tapian Nadenggan (Sinarmas)</t>
  </si>
  <si>
    <t>Subtotal Kalsel 2</t>
  </si>
  <si>
    <t>Kaltara</t>
  </si>
  <si>
    <t>Bulungan Hijau Perkasa</t>
  </si>
  <si>
    <t>Karangjuang Hijau Lestari</t>
  </si>
  <si>
    <t>Tirta Madu Sawit Jaya</t>
  </si>
  <si>
    <t>Subtotal Kaltara</t>
  </si>
  <si>
    <t>Kaltim</t>
  </si>
  <si>
    <t>Agro Bumi Kaltim</t>
  </si>
  <si>
    <t>Agro Indomas East Kalimantan</t>
  </si>
  <si>
    <t>Agro Inti Kencana Mas</t>
  </si>
  <si>
    <t>Amalia Hani Sejahtera</t>
  </si>
  <si>
    <t>Anugerah Abadi Multi Usaha</t>
  </si>
  <si>
    <t>Anugerah Energitama</t>
  </si>
  <si>
    <t>Anugerah Kebun Mandiri</t>
  </si>
  <si>
    <t>Anugerah Lahan Kaltim</t>
  </si>
  <si>
    <t>Bima Palma Nugraha</t>
  </si>
  <si>
    <t>Borneo Indah Marjaya</t>
  </si>
  <si>
    <t>Bumi Mulia Makmur Lestari</t>
  </si>
  <si>
    <t>Cahaya Anugerah Plantation</t>
  </si>
  <si>
    <t>Cipta Palma Pertiwi*</t>
  </si>
  <si>
    <t>Dinamika Prima Artha</t>
  </si>
  <si>
    <t>Gunta Samba</t>
  </si>
  <si>
    <t>Jabontara Eka Karsa</t>
  </si>
  <si>
    <t>Jaya Mandiri Sukses (Kaltim)</t>
  </si>
  <si>
    <t>Kalpataru Sawit Plantation</t>
  </si>
  <si>
    <t>Karya Bhakti Sejahtera Agrotama</t>
  </si>
  <si>
    <t>Karya Nusa Ekadaya</t>
  </si>
  <si>
    <t>Karya Prima Agro Sejahtera</t>
  </si>
  <si>
    <t>Ketapang Agro Lestari*</t>
  </si>
  <si>
    <t>Ketapang Hijau Lestari</t>
  </si>
  <si>
    <t>Kota Bangun Plantation</t>
  </si>
  <si>
    <t>Kresna Duta Indo</t>
  </si>
  <si>
    <t>Kutai Inti Utama</t>
  </si>
  <si>
    <t>Kutai Sawit Plantation</t>
  </si>
  <si>
    <t>Long Bagun Prima Sawit</t>
  </si>
  <si>
    <t>Mahakam Sawit Plantation</t>
  </si>
  <si>
    <t>Malaya Sawit Khatulistiwa</t>
  </si>
  <si>
    <t>Mitra Bangga Utama</t>
  </si>
  <si>
    <t>Muara Kaman Sawit Sejahtera</t>
  </si>
  <si>
    <t>Multi Pasific International</t>
  </si>
  <si>
    <t>Nusa Lestari</t>
  </si>
  <si>
    <t>Perkebunan Nusantara XIII</t>
  </si>
  <si>
    <t>Preya Sawit Makmur</t>
  </si>
  <si>
    <t>Rea Kaltim Plantation</t>
  </si>
  <si>
    <t>Saraswanti Sawit Makmur</t>
  </si>
  <si>
    <t>Sasana Yudha Bhakti</t>
  </si>
  <si>
    <t>Sawit Khatulistiwa Plantation</t>
  </si>
  <si>
    <t>Setia Agro Utama</t>
  </si>
  <si>
    <t>Shabantara Rawi Sentosa</t>
  </si>
  <si>
    <t>Sima Agung Prima</t>
  </si>
  <si>
    <t>Tapian Nadenggan* (Kaltim)</t>
  </si>
  <si>
    <t>Teguh Swakarsa Sejahtera</t>
  </si>
  <si>
    <t>Telen</t>
  </si>
  <si>
    <t>Telen Prima Sawit</t>
  </si>
  <si>
    <t>Tri Tunggal Sentra Buana</t>
  </si>
  <si>
    <t>Tunas Prima Sejahtera</t>
  </si>
  <si>
    <t>Wahana Tritunggal Cemerlang</t>
  </si>
  <si>
    <t>Subtotal Kaltim</t>
  </si>
  <si>
    <t>Subtotal CRO VII</t>
  </si>
  <si>
    <t>CRO VIII</t>
  </si>
  <si>
    <t>Kalteng 1</t>
  </si>
  <si>
    <t>Andalan Sukses Makmur (Bga)</t>
  </si>
  <si>
    <t>Bahaur Era Sawit Tama</t>
  </si>
  <si>
    <t>Bangkitgiat Usaha Mandiri</t>
  </si>
  <si>
    <t>Berkah Alam Fajar Mas</t>
  </si>
  <si>
    <t>Borneo Eka Sawit Tangguh</t>
  </si>
  <si>
    <t>Bumitama Gunajaya Abadi (Bga)</t>
  </si>
  <si>
    <t>Fajar Bumi Nabatindo (Bga)</t>
  </si>
  <si>
    <t>Gemilang Subur Maju (Bga)</t>
  </si>
  <si>
    <t>Karya Luhur Sejati</t>
  </si>
  <si>
    <t>Karya Makmur Bahagia (Bga)</t>
  </si>
  <si>
    <t>Kereng Pangi Perdana</t>
  </si>
  <si>
    <t>Langgeng Bakti Persada</t>
  </si>
  <si>
    <t>Mitra Agro Persada Abadi (Msal Group)</t>
  </si>
  <si>
    <t>Nabatindo Karya Utama (Bga)</t>
  </si>
  <si>
    <t>Persada Era Agro Kencana (Msal Group)</t>
  </si>
  <si>
    <t>Persada Sejahtera Agro Makmur (Msal Group)</t>
  </si>
  <si>
    <t>Suryamas Cipta Perkasa 1</t>
  </si>
  <si>
    <t>Suryamas Cipta Perkasa 2</t>
  </si>
  <si>
    <t>Tanah Tani Lestari (Bga)</t>
  </si>
  <si>
    <t>Wahana Agrotama Makmur Perkasa</t>
  </si>
  <si>
    <t>Windu Nabantindo Sejahtera (Bga)</t>
  </si>
  <si>
    <t>Windu Nabatindo Abadi (Bga)</t>
  </si>
  <si>
    <t>Windu Nabatindo Lestari (Bga)</t>
  </si>
  <si>
    <t>Agro Kalimantan Lestari</t>
  </si>
  <si>
    <t>Arjuna Utama Sawit</t>
  </si>
  <si>
    <t>Bisma Dharma Kencana</t>
  </si>
  <si>
    <t>Hampalit Jaya</t>
  </si>
  <si>
    <t>Harapan Subur Lestari</t>
  </si>
  <si>
    <t>Intaran Permai</t>
  </si>
  <si>
    <t>Kalimantan Hijau Sentosa</t>
  </si>
  <si>
    <t>Karya Dewi Putra</t>
  </si>
  <si>
    <t>Katingan Sawit Bersama</t>
  </si>
  <si>
    <t>Koperasi Sepan Raya</t>
  </si>
  <si>
    <t>Menara Tunggal Perkasa</t>
  </si>
  <si>
    <t>Menteng Kencana Mas</t>
  </si>
  <si>
    <t>Mitra Jaya Cemerlang</t>
  </si>
  <si>
    <t>Putra Katingan Pratama</t>
  </si>
  <si>
    <t>Raya Sejahtera Plantation</t>
  </si>
  <si>
    <t>Sapta Karya Damai</t>
  </si>
  <si>
    <t>Sejahtera Aman Selaras</t>
  </si>
  <si>
    <t>Adhyaksa Dharmasatya</t>
  </si>
  <si>
    <t>Buana Adhitama (Sinarmas Group)</t>
  </si>
  <si>
    <t>Bumihutani Lestari</t>
  </si>
  <si>
    <t>Dinamika Alam Segar</t>
  </si>
  <si>
    <t>Hutan Sawit Lestari</t>
  </si>
  <si>
    <t>Intiga Prabakara Kahuripan (Dhanistha Group)</t>
  </si>
  <si>
    <t>Katingan Indah Utama</t>
  </si>
  <si>
    <t>Koperasi Antang Dahiang (PT Hsl)</t>
  </si>
  <si>
    <t>Koperasi Anugerah Baampah (PT KIU) Makin</t>
  </si>
  <si>
    <t>Koperasi Berkat Tehang (PT WYK) Makin</t>
  </si>
  <si>
    <t>Koperasi Bina Tani (Makin)</t>
  </si>
  <si>
    <t>Koperasi Bukit Lestari (PT KIU) Makin</t>
  </si>
  <si>
    <t>Koperasi Cempaga Perkasa (PT WYK) Makin</t>
  </si>
  <si>
    <t>Koperasi Ela Laya (PT SISK) Makin</t>
  </si>
  <si>
    <t>Koperasi Harapan Bersama (PT KIU) Makin</t>
  </si>
  <si>
    <t>Koperasi Harapan Itah (PT Hsl)</t>
  </si>
  <si>
    <t>Koperasi Harapan Sentosa (PT KIU) Makin</t>
  </si>
  <si>
    <t>Koperasi Hidup Lestari (PT SISK) Makin</t>
  </si>
  <si>
    <t>Koperasi Isen Mulang (PT KIU) Makin</t>
  </si>
  <si>
    <t>Koperasi Jaya Makmur (PT Hsl)</t>
  </si>
  <si>
    <t>Koperasi Karya Tani (PT KIU) Makin</t>
  </si>
  <si>
    <t>Koperasi Karya Tualan Lestari (PT Hsl)</t>
  </si>
  <si>
    <t>Koperasi Keluarga Mandiri</t>
  </si>
  <si>
    <t>Koperasi Melati Hanjalipan (PT WYK) Makin</t>
  </si>
  <si>
    <t>Koperasi Mentaya Raya (PT KIU) Makin</t>
  </si>
  <si>
    <t>Koperasi Pamalian Bauntung (PT WYK) Makin</t>
  </si>
  <si>
    <t>Koperasi Panca Karya (PT SISK) Makin</t>
  </si>
  <si>
    <t>Koperasi Petak Sembuyan (PT Hsl)</t>
  </si>
  <si>
    <t>Koperasi Putra Mangkikit Jaya</t>
  </si>
  <si>
    <t>Koperasi Santana Bersatu (PT KIU) Makin</t>
  </si>
  <si>
    <t>Koperasi Sawit Kabuau Indah (PT KIU) Makin</t>
  </si>
  <si>
    <t>Koperasi Sinar Bahagia (PT KIU) Makin</t>
  </si>
  <si>
    <t>Koperasi Suka Maju (PT SISK) Makin</t>
  </si>
  <si>
    <t>Koperasi Sumber Alam (PT SISK) Makin</t>
  </si>
  <si>
    <t>Koperasi Sumber Makmur (PT Hsl)</t>
  </si>
  <si>
    <t>Koperasi Tunas Harapan (PT KIU) Makin</t>
  </si>
  <si>
    <t>Koperasi Tunas Jaya (PT KIU) Makin</t>
  </si>
  <si>
    <t>Mukti Sawit Kahuripan</t>
  </si>
  <si>
    <t>Sarana Prima Multi Niaga</t>
  </si>
  <si>
    <t>Sinar Citra Cemerlang</t>
  </si>
  <si>
    <t>Surya Inti Sawit Kahuripan</t>
  </si>
  <si>
    <t>Swadaya Sapta Putra 1</t>
  </si>
  <si>
    <t>Swadaya Sapta Putra 2</t>
  </si>
  <si>
    <t>Tunas Agro Subur Kencana</t>
  </si>
  <si>
    <t>Unggul Lestari (Musim Mas)</t>
  </si>
  <si>
    <t>Uni Primacom</t>
  </si>
  <si>
    <t>Wana Yasa Kahuripan</t>
  </si>
  <si>
    <t>Agro Bukit</t>
  </si>
  <si>
    <t>Agro Wana Lestari</t>
  </si>
  <si>
    <t>Borneo Sawit Perdana</t>
  </si>
  <si>
    <t>Bumi Sawit Kencana (Wilmar Group)</t>
  </si>
  <si>
    <t>Globalindo Alam Perkasa (Musim Mas)</t>
  </si>
  <si>
    <t>Hamparan Masawit Bangun Persada</t>
  </si>
  <si>
    <t>Karunia Kencana Permaisejati (Wilmar Group)</t>
  </si>
  <si>
    <t>Maju Aneka Sawit (Musim Mas)</t>
  </si>
  <si>
    <t>Mananjung Hayak</t>
  </si>
  <si>
    <t>Mentaya Sawit Mas (Wilmar Group)</t>
  </si>
  <si>
    <t>Menteng Jaya Sawit Perdana</t>
  </si>
  <si>
    <t>Mulia Agro Permai</t>
  </si>
  <si>
    <t>Nusantara Sawit Persada</t>
  </si>
  <si>
    <t>Sukajadi Sawit Mekar (Musim Mas)</t>
  </si>
  <si>
    <t>Bangun Jaya Alam Permai</t>
  </si>
  <si>
    <t>Graha Indosawit Andal Tunggal</t>
  </si>
  <si>
    <t>Wana Sawit Subur Lestari</t>
  </si>
  <si>
    <t>Subtotal Kalteng 1</t>
  </si>
  <si>
    <t>Kalteng 3</t>
  </si>
  <si>
    <t>Agro Mandiri Sukses</t>
  </si>
  <si>
    <t>Antang Ganda Utama</t>
  </si>
  <si>
    <t>Austral Byna (AB)</t>
  </si>
  <si>
    <t>Berjaya Agro Kalimantan</t>
  </si>
  <si>
    <t>Bhadra Cemerlang (Astra Group)</t>
  </si>
  <si>
    <t>Borneo Ketapang Indah</t>
  </si>
  <si>
    <t>Heroes Green Energy</t>
  </si>
  <si>
    <t>Indopenta Sejahtera Abadi</t>
  </si>
  <si>
    <t>Ketapang Subur Lestari</t>
  </si>
  <si>
    <t>Kop Karya Bersama</t>
  </si>
  <si>
    <t>Koperasi Byna Mitra Utama (PT Antang Ganda Utama)</t>
  </si>
  <si>
    <t>Koperasi Citra Mandiri</t>
  </si>
  <si>
    <t>Koperasi Majangkan Jaya (PT Antang Ganda Utama)</t>
  </si>
  <si>
    <t>Mata Andau Sawit Kahuripan</t>
  </si>
  <si>
    <t>Mitra Jaya Agro Palm</t>
  </si>
  <si>
    <t>Multipersada Gatramegah (Musim Mas)</t>
  </si>
  <si>
    <t>Sawit Sumber Rejo (SSR)</t>
  </si>
  <si>
    <t>Agrindo Green Lestari</t>
  </si>
  <si>
    <t>Agro Borneo Lestari (ABL)</t>
  </si>
  <si>
    <t>Agrolestari Sentosa (Sinarmas Group)</t>
  </si>
  <si>
    <t>Archipelago Timur Abadi</t>
  </si>
  <si>
    <t>Berkala Maju Bersama Kurun</t>
  </si>
  <si>
    <t>Berkala Maju Bersama Manuhing</t>
  </si>
  <si>
    <t>Bina Sarana Sawit Utama</t>
  </si>
  <si>
    <t>Bumi Agri Prima (BAP)</t>
  </si>
  <si>
    <t>Cipta Enggang Nusalaras (CEN)</t>
  </si>
  <si>
    <t>Citra Agro Perkasa Abadi</t>
  </si>
  <si>
    <t>Dwie Warna Karya</t>
  </si>
  <si>
    <t>Globalindo Agung Lestari</t>
  </si>
  <si>
    <t>Graha Inti Jaya</t>
  </si>
  <si>
    <t>Gumas Alam Subur (GAS)</t>
  </si>
  <si>
    <t>Hamparan Mitra Abadi</t>
  </si>
  <si>
    <t>Hijau Pertiwi Indah Plantation (Salim Group)</t>
  </si>
  <si>
    <t>Jaya Jadi Utama</t>
  </si>
  <si>
    <t>Kalimantan Ria Sejahtera</t>
  </si>
  <si>
    <t>Kapuas Maju Jaya</t>
  </si>
  <si>
    <t>Koperasi Globalindo Mitra Sejati (Globalindo Agung Lestari)</t>
  </si>
  <si>
    <t>Koperasi Hagatang Tarung Bersama</t>
  </si>
  <si>
    <t>Koperasi Intan Lestari Warga Bersatu</t>
  </si>
  <si>
    <t>Koperasi Produsen Bahalap Mimbul Sawit</t>
  </si>
  <si>
    <t>Koperasi Serba Usaha Karima</t>
  </si>
  <si>
    <t>Koperasi Tosah Mandiri</t>
  </si>
  <si>
    <t>Kurun Sumber Rezeki (KSR)</t>
  </si>
  <si>
    <t>Manyangan Jaya 1</t>
  </si>
  <si>
    <t>Minna Padi Plantation (MPP)</t>
  </si>
  <si>
    <t>Mulia Sawit Agro Lestari (Msal Group)</t>
  </si>
  <si>
    <t>Pandujaya Gemilang Agung</t>
  </si>
  <si>
    <t>Prasetya Mitra Muda</t>
  </si>
  <si>
    <t>Sepalar Yasa Kartika (Cbi)</t>
  </si>
  <si>
    <t>Susantri Permai</t>
  </si>
  <si>
    <t>Tantahan Panduhup ASI (TPA)</t>
  </si>
  <si>
    <t>Tewah Bahana Lestari (TBL)</t>
  </si>
  <si>
    <t>Wana Catur Jaya Utama</t>
  </si>
  <si>
    <t>Anaking Energica Lestari (Sakti Mait Jaya Langit)</t>
  </si>
  <si>
    <t>Subtotal Kalteng 3</t>
  </si>
  <si>
    <t>Subtotal CRO VIII</t>
  </si>
  <si>
    <t>CRO IX</t>
  </si>
  <si>
    <t>Kalteng 2</t>
  </si>
  <si>
    <t>Aditunggal Mahajaya (Sinarmas Group)</t>
  </si>
  <si>
    <t>Berlian Bintara Beton (Ex Musirawas)</t>
  </si>
  <si>
    <t>Berlian Bintara Beton (Ex Sumur Pandan Wangi)</t>
  </si>
  <si>
    <t>Bina Sawit Abadi Pratama 1 (Sinarmas Group)</t>
  </si>
  <si>
    <t>Bina Sawit Abadi Pratama Ex Amp (Sinarmas Group)</t>
  </si>
  <si>
    <t>Buana Artha Sejahtera (Sinarmas Group)</t>
  </si>
  <si>
    <t>Ciptatani Kumai Sejahtera</t>
  </si>
  <si>
    <t>Gawi Bahandep Sawit Mekar</t>
  </si>
  <si>
    <t>Menthobi Sawit Jaya</t>
  </si>
  <si>
    <t>Mitra Karya Agroindo (Sinarmas Group)</t>
  </si>
  <si>
    <t>Satya Kisma Usaha (Sinarmas Group)</t>
  </si>
  <si>
    <t>Sawitmas Nugraha Perdana</t>
  </si>
  <si>
    <t>Sungai Rangit (Sampoerna Agro Industri)</t>
  </si>
  <si>
    <t>Surya Sawit Sejati</t>
  </si>
  <si>
    <t>Tapian Nadenggan (Sinarmas Group)</t>
  </si>
  <si>
    <t>Usaha Agro Indonesia</t>
  </si>
  <si>
    <t>Agro Menara Rachmat (Astra Group)</t>
  </si>
  <si>
    <t>Agrokarya Prima Lestari</t>
  </si>
  <si>
    <t>Berkat Prima Sejati</t>
  </si>
  <si>
    <t>First Lamandau Timber International</t>
  </si>
  <si>
    <t>Gunung Sejahtera Ibu Pertiwi (Astra Gruop)</t>
  </si>
  <si>
    <t>Karya Makmur Sejahtera</t>
  </si>
  <si>
    <t>Koperasi Bukit Lumut Sejahtera (PT Flti)</t>
  </si>
  <si>
    <t>Koperasi Guna Wana Sejahtera B (PT.Flti)</t>
  </si>
  <si>
    <t>Koperasi Tiga Putera Bungou (PT Flti)</t>
  </si>
  <si>
    <t>Menthobi Mitra Lestari</t>
  </si>
  <si>
    <t>Mirza Pratama Putra</t>
  </si>
  <si>
    <t>Sawit Lamandau Raya</t>
  </si>
  <si>
    <t>Sawit Multi Utama</t>
  </si>
  <si>
    <t>Sumber Mahardhika Graha /Union Sampoerna</t>
  </si>
  <si>
    <t>Ahmad Saleh Perkasa</t>
  </si>
  <si>
    <t>Arut Sawit Mandiri</t>
  </si>
  <si>
    <t>Bumi Langgeng Perdanatrada (Blp)</t>
  </si>
  <si>
    <t>Denafa Borneo Lestari Ex PT Putra Pandawa Lima</t>
  </si>
  <si>
    <t>Gunung Sejahtera Puti Pesona (Astra Group)</t>
  </si>
  <si>
    <t>Koperasi Bedaun Maju Bersama</t>
  </si>
  <si>
    <t>Menthobi Makmur Lestari</t>
  </si>
  <si>
    <t>Menthobi Mitra Sentosa</t>
  </si>
  <si>
    <t>Mitra Mendawai Sejati</t>
  </si>
  <si>
    <t>Natai Sawit Perkasa</t>
  </si>
  <si>
    <t>Nirmala Agro Lestari (Astra Group)</t>
  </si>
  <si>
    <t>Sawit Sumber Mas Sarana</t>
  </si>
  <si>
    <t>Surya Indah Nusantara Pagi (Astra Group)</t>
  </si>
  <si>
    <t>Tanjung Sawit Abadi (CBI)</t>
  </si>
  <si>
    <t>Citra Borneo Indah</t>
  </si>
  <si>
    <t>Gema Reksa Mekarsari</t>
  </si>
  <si>
    <t>Graha Cakramulia/Union Sampoerna</t>
  </si>
  <si>
    <t>Harapan Hibrida Kalbar</t>
  </si>
  <si>
    <t>Kalimantan Sawit Abadi</t>
  </si>
  <si>
    <t>Kalimantan Sawit Kusuma</t>
  </si>
  <si>
    <t>Kelompok Tani Sungai Kakap Lestari (Abdul Basid)</t>
  </si>
  <si>
    <t>Koperasi Jorong Rayo (PT Sukses Karya Mandiri)</t>
  </si>
  <si>
    <t>KUD Beringin Jaya (PT. Kalimantan Sawit Kusuma)</t>
  </si>
  <si>
    <t>Sawit Mandiri Lestari (CBI)</t>
  </si>
  <si>
    <t>Sukses Karya Mandiri</t>
  </si>
  <si>
    <t>Agro Indomas (Kalteng)</t>
  </si>
  <si>
    <t>Kerry Sawit Indonesia (Wilmar Group)</t>
  </si>
  <si>
    <t>Koperasi Tagani Makmur (PT Mega I.K)</t>
  </si>
  <si>
    <t>Koperasi Tanjung Berkah Sekumpul (PT Mega I.K)</t>
  </si>
  <si>
    <t>Mega Ika Khansa</t>
  </si>
  <si>
    <t>Mustika Sembuluh (Wilmar Group)</t>
  </si>
  <si>
    <t>RIM Capital</t>
  </si>
  <si>
    <t>Rimba Harapan Sakti (Wilmar Group)</t>
  </si>
  <si>
    <t>Salonok Ladang Mas</t>
  </si>
  <si>
    <t>Sarana Titian Permata (Wilmar Group)</t>
  </si>
  <si>
    <t>Telaga Sari Persada</t>
  </si>
  <si>
    <t>Subtotal Kalteng 2</t>
  </si>
  <si>
    <t>Subtotal CRO IX</t>
  </si>
  <si>
    <t>CRO X</t>
  </si>
  <si>
    <t>Sulteng</t>
  </si>
  <si>
    <t>Agro Toribulu Asri</t>
  </si>
  <si>
    <t>Ampibabo Agro Lestari</t>
  </si>
  <si>
    <t>Baliggi Agri Pratama</t>
  </si>
  <si>
    <t>Bumi Raya Agro</t>
  </si>
  <si>
    <t>Cipta Agro Nusantara (AAL)</t>
  </si>
  <si>
    <t>Citra Izzi Parigi</t>
  </si>
  <si>
    <t>Donggala Sawit Hijau</t>
  </si>
  <si>
    <t>Hamparan Unggul Mandiri</t>
  </si>
  <si>
    <t>Indah Permai Sawita</t>
  </si>
  <si>
    <t>Kirana Sinar Gemilang</t>
  </si>
  <si>
    <t>Kurnia Luwuk Sejati</t>
  </si>
  <si>
    <t>Kutai Palm Plantation</t>
  </si>
  <si>
    <t>Nusamas Griya Lestari</t>
  </si>
  <si>
    <t>Pasang Kayu</t>
  </si>
  <si>
    <t>Rimbunan Alam Sentosa (AAL)</t>
  </si>
  <si>
    <t>Sawit Jaya Abadi</t>
  </si>
  <si>
    <t>Sawita Persada Nusantara</t>
  </si>
  <si>
    <t>Sinergi Perkebunan Nusantara</t>
  </si>
  <si>
    <t>Sonokeling Buana</t>
  </si>
  <si>
    <t>Timur Jaya Indo Makmur</t>
  </si>
  <si>
    <t>Subtotal Sulteng</t>
  </si>
  <si>
    <t>Sultra</t>
  </si>
  <si>
    <t>Damai Jaya Lestari - Kolaka</t>
  </si>
  <si>
    <t>Harlitama Agrimakmur</t>
  </si>
  <si>
    <t>Madinra Inti Sawit</t>
  </si>
  <si>
    <t>Mega Utama Tani</t>
  </si>
  <si>
    <t>Merbaujaya Indahraya</t>
  </si>
  <si>
    <t>Mulya Tani</t>
  </si>
  <si>
    <t>PTPN XIV Kebun Asera</t>
  </si>
  <si>
    <t>Sampe Wali</t>
  </si>
  <si>
    <t>Sultra Sawitindo Lestari</t>
  </si>
  <si>
    <t>Wahana Surya Agro</t>
  </si>
  <si>
    <t>Subtotal Sultra</t>
  </si>
  <si>
    <t>Subtotal CRO X</t>
  </si>
  <si>
    <t>TOTAL AGRINAS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</si>
</sst>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%"/>
    <numFmt numFmtId="166" formatCode="#,##0.0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1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CFFAFE"/>
      </patternFill>
    </fill>
    <fill>
      <patternFill patternType="solid">
        <fgColor rgb="FFD1FAE5"/>
      </patternFill>
    </fill>
    <fill>
      <patternFill patternType="solid">
        <fgColor rgb="FFFFEDD5"/>
      </patternFill>
    </fill>
    <fill>
      <patternFill patternType="solid">
        <fgColor rgb="FFF3E8FF"/>
      </patternFill>
    </fill>
    <fill>
      <patternFill patternType="solid">
        <fgColor rgb="FFF0FDF4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3" fontId="3" fillId="8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2"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0"/>
  <sheetFormatPr defaultRowHeight="15" outlineLevelRow="0" outlineLevelCol="0" x14ac:dyDescent="55"/>
  <cols>
    <col min="1" max="2" width="18" customWidth="1"/>
    <col min="3" max="3" width="15" customWidth="1"/>
    <col min="4" max="4" width="25" customWidth="1"/>
    <col min="5" max="6" width="14" customWidth="1"/>
    <col min="7" max="8" width="12" customWidth="1"/>
    <col min="9" max="9" width="10" customWidth="1"/>
    <col min="10" max="12" width="12" customWidth="1"/>
    <col min="13" max="14" width="15" customWidth="1"/>
    <col min="15" max="17" width="12" customWidth="1"/>
    <col min="18" max="18" width="10" customWidth="1"/>
    <col min="19" max="20" width="12" customWidth="1"/>
    <col min="21" max="21" width="10" customWidth="1"/>
    <col min="22" max="23" width="15" customWidth="1"/>
    <col min="24" max="24" width="10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  <c r="G4" s="4" t="s">
        <v>7</v>
      </c>
      <c r="H4" s="4"/>
      <c r="I4" s="4"/>
      <c r="J4" s="4"/>
      <c r="K4" s="4"/>
      <c r="L4" s="4"/>
      <c r="M4" s="4"/>
      <c r="N4" s="4"/>
      <c r="O4" s="4"/>
      <c r="P4" s="5" t="s">
        <v>8</v>
      </c>
      <c r="Q4" s="5"/>
      <c r="R4" s="5"/>
      <c r="S4" s="6" t="s">
        <v>9</v>
      </c>
      <c r="T4" s="6"/>
      <c r="U4" s="6"/>
      <c r="V4" s="7" t="s">
        <v>9</v>
      </c>
      <c r="W4" s="7"/>
      <c r="X4" s="7"/>
    </row>
    <row r="5" spans="1:24" x14ac:dyDescent="0.25">
      <c r="A5" s="3"/>
      <c r="B5" s="3"/>
      <c r="C5" s="3"/>
      <c r="D5" s="3"/>
      <c r="E5" s="3" t="s">
        <v>10</v>
      </c>
      <c r="F5" s="3" t="s">
        <v>11</v>
      </c>
      <c r="G5" s="4" t="s">
        <v>12</v>
      </c>
      <c r="H5" s="4"/>
      <c r="I5" s="4"/>
      <c r="J5" s="4" t="s">
        <v>13</v>
      </c>
      <c r="K5" s="4"/>
      <c r="L5" s="4"/>
      <c r="M5" s="4"/>
      <c r="N5" s="4"/>
      <c r="O5" s="4"/>
      <c r="P5" s="5" t="s">
        <v>12</v>
      </c>
      <c r="Q5" s="5"/>
      <c r="R5" s="5"/>
      <c r="S5" s="6" t="s">
        <v>12</v>
      </c>
      <c r="T5" s="6"/>
      <c r="U5" s="6"/>
      <c r="V5" s="7" t="s">
        <v>14</v>
      </c>
      <c r="W5" s="7"/>
      <c r="X5" s="7"/>
    </row>
    <row r="6" spans="1:24" x14ac:dyDescent="0.25">
      <c r="A6" s="3"/>
      <c r="B6" s="3"/>
      <c r="C6" s="3"/>
      <c r="D6" s="3"/>
      <c r="E6" s="3"/>
      <c r="F6" s="3"/>
      <c r="G6" s="4" t="s">
        <v>10</v>
      </c>
      <c r="H6" s="4" t="s">
        <v>11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5" t="s">
        <v>10</v>
      </c>
      <c r="Q6" s="5" t="s">
        <v>11</v>
      </c>
      <c r="R6" s="5" t="s">
        <v>15</v>
      </c>
      <c r="S6" s="6" t="s">
        <v>10</v>
      </c>
      <c r="T6" s="6" t="s">
        <v>11</v>
      </c>
      <c r="U6" s="6" t="s">
        <v>15</v>
      </c>
      <c r="V6" s="7" t="s">
        <v>10</v>
      </c>
      <c r="W6" s="7" t="s">
        <v>11</v>
      </c>
      <c r="X6" s="7" t="s">
        <v>15</v>
      </c>
    </row>
    <row r="7" spans="1:24" x14ac:dyDescent="0.25">
      <c r="A7" s="8" t="s">
        <v>22</v>
      </c>
      <c r="B7" s="8" t="s">
        <v>23</v>
      </c>
      <c r="C7" s="8" t="s">
        <v>24</v>
      </c>
      <c r="D7" s="8" t="s">
        <v>25</v>
      </c>
      <c r="E7" s="9">
        <v>69.57</v>
      </c>
      <c r="F7" s="9">
        <v>69.57</v>
      </c>
      <c r="G7" s="10">
        <v>0</v>
      </c>
      <c r="H7" s="10">
        <v>2080.74</v>
      </c>
      <c r="I7" s="11">
        <f>IFERROR(G7/H7, 0)</f>
      </c>
      <c r="J7" s="10">
        <v>0</v>
      </c>
      <c r="K7" s="10">
        <v>0</v>
      </c>
      <c r="L7" s="10">
        <v>0</v>
      </c>
      <c r="M7" s="12">
        <f>IFERROR(L7/K7, 0)</f>
      </c>
      <c r="N7" s="13">
        <f>IFERROR(J7/K7, 0)</f>
      </c>
      <c r="O7" s="10">
        <v>0</v>
      </c>
      <c r="P7" s="10">
        <v>0</v>
      </c>
      <c r="Q7" s="10">
        <v>22888.14</v>
      </c>
      <c r="R7" s="11">
        <f>IFERROR(P7/Q7, 0)</f>
      </c>
      <c r="S7" s="10">
        <v>0</v>
      </c>
      <c r="T7" s="10">
        <v>259435.4</v>
      </c>
      <c r="U7" s="11">
        <f>IFERROR(S7/T7, 0)</f>
      </c>
      <c r="V7" s="10">
        <f>IFERROR(S7/E7, 0)</f>
      </c>
      <c r="W7" s="10">
        <f>IFERROR(T7/F7, 0)</f>
      </c>
      <c r="X7" s="11">
        <f>IFERROR(V7/W7, 0)</f>
      </c>
    </row>
    <row r="8" spans="1:24" x14ac:dyDescent="0.25">
      <c r="A8" s="8" t="s">
        <v>22</v>
      </c>
      <c r="B8" s="8" t="s">
        <v>23</v>
      </c>
      <c r="C8" s="8" t="s">
        <v>24</v>
      </c>
      <c r="D8" s="8" t="s">
        <v>26</v>
      </c>
      <c r="E8" s="9">
        <v>22</v>
      </c>
      <c r="F8" s="9">
        <v>22</v>
      </c>
      <c r="G8" s="10">
        <v>0</v>
      </c>
      <c r="H8" s="10">
        <v>657.9888888888889</v>
      </c>
      <c r="I8" s="11">
        <f>IFERROR(G8/H8, 0)</f>
      </c>
      <c r="J8" s="10">
        <v>0</v>
      </c>
      <c r="K8" s="10">
        <v>0</v>
      </c>
      <c r="L8" s="10">
        <v>0</v>
      </c>
      <c r="M8" s="12">
        <f>IFERROR(L8/K8, 0)</f>
      </c>
      <c r="N8" s="13">
        <f>IFERROR(J8/K8, 0)</f>
      </c>
      <c r="O8" s="10">
        <v>0</v>
      </c>
      <c r="P8" s="10">
        <v>0</v>
      </c>
      <c r="Q8" s="10">
        <v>7237.877777777778</v>
      </c>
      <c r="R8" s="11">
        <f>IFERROR(P8/Q8, 0)</f>
      </c>
      <c r="S8" s="10">
        <v>0</v>
      </c>
      <c r="T8" s="10">
        <v>82040.82777777778</v>
      </c>
      <c r="U8" s="11">
        <f>IFERROR(S8/T8, 0)</f>
      </c>
      <c r="V8" s="10">
        <f>IFERROR(S8/E8, 0)</f>
      </c>
      <c r="W8" s="10">
        <f>IFERROR(T8/F8, 0)</f>
      </c>
      <c r="X8" s="11">
        <f>IFERROR(V8/W8, 0)</f>
      </c>
    </row>
    <row r="9" spans="1:24" x14ac:dyDescent="0.25">
      <c r="A9" s="8" t="s">
        <v>22</v>
      </c>
      <c r="B9" s="8" t="s">
        <v>23</v>
      </c>
      <c r="C9" s="8" t="s">
        <v>24</v>
      </c>
      <c r="D9" s="8" t="s">
        <v>27</v>
      </c>
      <c r="E9" s="9">
        <v>346.2</v>
      </c>
      <c r="F9" s="9">
        <v>346.2</v>
      </c>
      <c r="G9" s="10">
        <v>0</v>
      </c>
      <c r="H9" s="10">
        <v>10353.871851851853</v>
      </c>
      <c r="I9" s="11">
        <f>IFERROR(G9/H9, 0)</f>
      </c>
      <c r="J9" s="10">
        <v>0</v>
      </c>
      <c r="K9" s="10">
        <v>0</v>
      </c>
      <c r="L9" s="10">
        <v>0</v>
      </c>
      <c r="M9" s="12">
        <f>IFERROR(L9/K9, 0)</f>
      </c>
      <c r="N9" s="13">
        <f>IFERROR(J9/K9, 0)</f>
      </c>
      <c r="O9" s="10">
        <v>0</v>
      </c>
      <c r="P9" s="10">
        <v>0</v>
      </c>
      <c r="Q9" s="10">
        <v>113892.59037037037</v>
      </c>
      <c r="R9" s="11">
        <f>IFERROR(P9/Q9, 0)</f>
      </c>
      <c r="S9" s="10">
        <v>0</v>
      </c>
      <c r="T9" s="10">
        <v>1290964.3403703703</v>
      </c>
      <c r="U9" s="11">
        <f>IFERROR(S9/T9, 0)</f>
      </c>
      <c r="V9" s="10">
        <f>IFERROR(S9/E9, 0)</f>
      </c>
      <c r="W9" s="10">
        <f>IFERROR(T9/F9, 0)</f>
      </c>
      <c r="X9" s="11">
        <f>IFERROR(V9/W9, 0)</f>
      </c>
    </row>
    <row r="10" spans="1:24" x14ac:dyDescent="0.25">
      <c r="A10" s="8" t="s">
        <v>22</v>
      </c>
      <c r="B10" s="8" t="s">
        <v>23</v>
      </c>
      <c r="C10" s="8" t="s">
        <v>24</v>
      </c>
      <c r="D10" s="8" t="s">
        <v>28</v>
      </c>
      <c r="E10" s="9">
        <v>77.89</v>
      </c>
      <c r="F10" s="9">
        <v>77.89</v>
      </c>
      <c r="G10" s="10">
        <v>0</v>
      </c>
      <c r="H10" s="10">
        <v>2329.432222222222</v>
      </c>
      <c r="I10" s="11">
        <f>IFERROR(G10/H10, 0)</f>
      </c>
      <c r="J10" s="10">
        <v>0</v>
      </c>
      <c r="K10" s="10">
        <v>0</v>
      </c>
      <c r="L10" s="10">
        <v>0</v>
      </c>
      <c r="M10" s="12">
        <f>IFERROR(L10/K10, 0)</f>
      </c>
      <c r="N10" s="13">
        <f>IFERROR(J10/K10, 0)</f>
      </c>
      <c r="O10" s="10">
        <v>0</v>
      </c>
      <c r="P10" s="10">
        <v>33745</v>
      </c>
      <c r="Q10" s="10">
        <v>25623.754444444443</v>
      </c>
      <c r="R10" s="11">
        <f>IFERROR(P10/Q10, 0)</f>
      </c>
      <c r="S10" s="10">
        <v>207176</v>
      </c>
      <c r="T10" s="10">
        <v>290443.40444444446</v>
      </c>
      <c r="U10" s="11">
        <f>IFERROR(S10/T10, 0)</f>
      </c>
      <c r="V10" s="10">
        <f>IFERROR(S10/E10, 0)</f>
      </c>
      <c r="W10" s="10">
        <f>IFERROR(T10/F10, 0)</f>
      </c>
      <c r="X10" s="11">
        <f>IFERROR(V10/W10, 0)</f>
      </c>
    </row>
    <row r="11" spans="1:24" x14ac:dyDescent="0.25">
      <c r="A11" s="8" t="s">
        <v>22</v>
      </c>
      <c r="B11" s="8" t="s">
        <v>23</v>
      </c>
      <c r="C11" s="8" t="s">
        <v>24</v>
      </c>
      <c r="D11" s="8" t="s">
        <v>29</v>
      </c>
      <c r="E11" s="9">
        <v>155.07</v>
      </c>
      <c r="F11" s="9">
        <v>155.07</v>
      </c>
      <c r="G11" s="10">
        <v>7599</v>
      </c>
      <c r="H11" s="10">
        <v>4637.731851851852</v>
      </c>
      <c r="I11" s="11">
        <f>IFERROR(G11/H11, 0)</f>
      </c>
      <c r="J11" s="10">
        <v>25.845</v>
      </c>
      <c r="K11" s="10">
        <v>8</v>
      </c>
      <c r="L11" s="10">
        <v>7599</v>
      </c>
      <c r="M11" s="12">
        <f>IFERROR(L11/K11, 0)</f>
      </c>
      <c r="N11" s="13">
        <f>IFERROR(J11/K11, 0)</f>
      </c>
      <c r="O11" s="10">
        <v>0</v>
      </c>
      <c r="P11" s="10">
        <v>80074</v>
      </c>
      <c r="Q11" s="10">
        <v>51015.05037037037</v>
      </c>
      <c r="R11" s="11">
        <f>IFERROR(P11/Q11, 0)</f>
      </c>
      <c r="S11" s="10">
        <v>944817</v>
      </c>
      <c r="T11" s="10">
        <v>578251.9703703703</v>
      </c>
      <c r="U11" s="11">
        <f>IFERROR(S11/T11, 0)</f>
      </c>
      <c r="V11" s="10">
        <f>IFERROR(S11/E11, 0)</f>
      </c>
      <c r="W11" s="10">
        <f>IFERROR(T11/F11, 0)</f>
      </c>
      <c r="X11" s="11">
        <f>IFERROR(V11/W11, 0)</f>
      </c>
    </row>
    <row r="12" spans="1:24" x14ac:dyDescent="0.25">
      <c r="A12" s="8" t="s">
        <v>22</v>
      </c>
      <c r="B12" s="8" t="s">
        <v>23</v>
      </c>
      <c r="C12" s="8" t="s">
        <v>24</v>
      </c>
      <c r="D12" s="8" t="s">
        <v>30</v>
      </c>
      <c r="E12" s="9">
        <v>60.54</v>
      </c>
      <c r="F12" s="9">
        <v>60.54</v>
      </c>
      <c r="G12" s="10">
        <v>0</v>
      </c>
      <c r="H12" s="10">
        <v>1810.4707407407407</v>
      </c>
      <c r="I12" s="11">
        <f>IFERROR(G12/H12, 0)</f>
      </c>
      <c r="J12" s="10">
        <v>0</v>
      </c>
      <c r="K12" s="10">
        <v>0</v>
      </c>
      <c r="L12" s="10">
        <v>0</v>
      </c>
      <c r="M12" s="12">
        <f>IFERROR(L12/K12, 0)</f>
      </c>
      <c r="N12" s="13">
        <f>IFERROR(J12/K12, 0)</f>
      </c>
      <c r="O12" s="10">
        <v>0</v>
      </c>
      <c r="P12" s="10">
        <v>0</v>
      </c>
      <c r="Q12" s="10">
        <v>19915.17814814815</v>
      </c>
      <c r="R12" s="11">
        <f>IFERROR(P12/Q12, 0)</f>
      </c>
      <c r="S12" s="10">
        <v>0</v>
      </c>
      <c r="T12" s="10">
        <v>225737.09814814816</v>
      </c>
      <c r="U12" s="11">
        <f>IFERROR(S12/T12, 0)</f>
      </c>
      <c r="V12" s="10">
        <f>IFERROR(S12/E12, 0)</f>
      </c>
      <c r="W12" s="10">
        <f>IFERROR(T12/F12, 0)</f>
      </c>
      <c r="X12" s="11">
        <f>IFERROR(V12/W12, 0)</f>
      </c>
    </row>
    <row r="13" spans="1:24" x14ac:dyDescent="0.25">
      <c r="A13" s="8" t="s">
        <v>22</v>
      </c>
      <c r="B13" s="8" t="s">
        <v>23</v>
      </c>
      <c r="C13" s="8" t="s">
        <v>24</v>
      </c>
      <c r="D13" s="8" t="s">
        <v>31</v>
      </c>
      <c r="E13" s="9">
        <v>15.51</v>
      </c>
      <c r="F13" s="9">
        <v>15.51</v>
      </c>
      <c r="G13" s="10">
        <v>0</v>
      </c>
      <c r="H13" s="10">
        <v>463.79555555555555</v>
      </c>
      <c r="I13" s="11">
        <f>IFERROR(G13/H13, 0)</f>
      </c>
      <c r="J13" s="10">
        <v>0</v>
      </c>
      <c r="K13" s="10">
        <v>0</v>
      </c>
      <c r="L13" s="10">
        <v>0</v>
      </c>
      <c r="M13" s="12">
        <f>IFERROR(L13/K13, 0)</f>
      </c>
      <c r="N13" s="13">
        <f>IFERROR(J13/K13, 0)</f>
      </c>
      <c r="O13" s="10">
        <v>0</v>
      </c>
      <c r="P13" s="10">
        <v>0</v>
      </c>
      <c r="Q13" s="10">
        <v>5101.751111111111</v>
      </c>
      <c r="R13" s="11">
        <f>IFERROR(P13/Q13, 0)</f>
      </c>
      <c r="S13" s="10">
        <v>0</v>
      </c>
      <c r="T13" s="10">
        <v>57827.97111111111</v>
      </c>
      <c r="U13" s="11">
        <f>IFERROR(S13/T13, 0)</f>
      </c>
      <c r="V13" s="10">
        <f>IFERROR(S13/E13, 0)</f>
      </c>
      <c r="W13" s="10">
        <f>IFERROR(T13/F13, 0)</f>
      </c>
      <c r="X13" s="11">
        <f>IFERROR(V13/W13, 0)</f>
      </c>
    </row>
    <row r="14" spans="1:24" x14ac:dyDescent="0.25">
      <c r="A14" s="8" t="s">
        <v>22</v>
      </c>
      <c r="B14" s="8" t="s">
        <v>23</v>
      </c>
      <c r="C14" s="8" t="s">
        <v>24</v>
      </c>
      <c r="D14" s="8" t="s">
        <v>32</v>
      </c>
      <c r="E14" s="9">
        <v>510.39</v>
      </c>
      <c r="F14" s="9">
        <v>510.39</v>
      </c>
      <c r="G14" s="10">
        <v>0</v>
      </c>
      <c r="H14" s="10">
        <v>15264.32</v>
      </c>
      <c r="I14" s="11">
        <f>IFERROR(G14/H14, 0)</f>
      </c>
      <c r="J14" s="10">
        <v>0</v>
      </c>
      <c r="K14" s="10">
        <v>0</v>
      </c>
      <c r="L14" s="10">
        <v>0</v>
      </c>
      <c r="M14" s="12">
        <f>IFERROR(L14/K14, 0)</f>
      </c>
      <c r="N14" s="13">
        <f>IFERROR(J14/K14, 0)</f>
      </c>
      <c r="O14" s="10">
        <v>0</v>
      </c>
      <c r="P14" s="10">
        <v>0</v>
      </c>
      <c r="Q14" s="10">
        <v>167907.52</v>
      </c>
      <c r="R14" s="11">
        <f>IFERROR(P14/Q14, 0)</f>
      </c>
      <c r="S14" s="10">
        <v>0</v>
      </c>
      <c r="T14" s="10">
        <v>1903219.7</v>
      </c>
      <c r="U14" s="11">
        <f>IFERROR(S14/T14, 0)</f>
      </c>
      <c r="V14" s="10">
        <f>IFERROR(S14/E14, 0)</f>
      </c>
      <c r="W14" s="10">
        <f>IFERROR(T14/F14, 0)</f>
      </c>
      <c r="X14" s="11">
        <f>IFERROR(V14/W14, 0)</f>
      </c>
    </row>
    <row r="15" spans="1:24" x14ac:dyDescent="0.25">
      <c r="A15" s="14" t="s">
        <v>33</v>
      </c>
      <c r="B15" s="14"/>
      <c r="C15" s="14"/>
      <c r="D15" s="14"/>
      <c r="E15" s="15">
        <f>SUM(E7:E14)</f>
      </c>
      <c r="F15" s="15">
        <f>SUM(F7:F14)</f>
      </c>
      <c r="G15" s="16">
        <f>SUM(G7:G14)</f>
      </c>
      <c r="H15" s="16">
        <f>SUM(H7:H14)</f>
      </c>
      <c r="I15" s="17">
        <f>IFERROR(G15/H15, 0)</f>
      </c>
      <c r="J15" s="16">
        <f>SUM(J7:J14)</f>
      </c>
      <c r="K15" s="16">
        <f>SUM(K7:K14)</f>
      </c>
      <c r="L15" s="16">
        <f>SUM(L7:L14)</f>
      </c>
      <c r="M15" s="18">
        <f>IFERROR(L15/K15, 0)</f>
      </c>
      <c r="N15" s="19">
        <f>IFERROR(J15/K15, 0)</f>
      </c>
      <c r="O15" s="16">
        <f>SUM(O7:O14)</f>
      </c>
      <c r="P15" s="16">
        <f>SUM(P7:P14)</f>
      </c>
      <c r="Q15" s="16">
        <f>SUM(Q7:Q14)</f>
      </c>
      <c r="R15" s="17">
        <f>IFERROR(P15/Q15, 0)</f>
      </c>
      <c r="S15" s="16">
        <f>SUM(S7:S14)</f>
      </c>
      <c r="T15" s="16">
        <f>SUM(T7:T14)</f>
      </c>
      <c r="U15" s="17">
        <f>IFERROR(S15/T15, 0)</f>
      </c>
      <c r="V15" s="16">
        <f>IFERROR(S15/E15, 0)</f>
      </c>
      <c r="W15" s="16">
        <f>IFERROR(T15/F15, 0)</f>
      </c>
      <c r="X15" s="17">
        <f>IFERROR(V15/W15, 0)</f>
      </c>
    </row>
    <row r="16" spans="1:24" x14ac:dyDescent="0.25">
      <c r="A16" s="8" t="s">
        <v>22</v>
      </c>
      <c r="B16" s="8" t="s">
        <v>34</v>
      </c>
      <c r="C16" s="8" t="s">
        <v>24</v>
      </c>
      <c r="D16" s="8" t="s">
        <v>35</v>
      </c>
      <c r="E16" s="9">
        <v>1.59</v>
      </c>
      <c r="F16" s="9">
        <v>3.69</v>
      </c>
      <c r="G16" s="10">
        <v>0</v>
      </c>
      <c r="H16" s="10">
        <v>110.33222222222223</v>
      </c>
      <c r="I16" s="11">
        <f>IFERROR(G16/H16, 0)</f>
      </c>
      <c r="J16" s="10">
        <v>0</v>
      </c>
      <c r="K16" s="10">
        <v>0</v>
      </c>
      <c r="L16" s="10">
        <v>0</v>
      </c>
      <c r="M16" s="12">
        <f>IFERROR(L16/K16, 0)</f>
      </c>
      <c r="N16" s="13">
        <f>IFERROR(J16/K16, 0)</f>
      </c>
      <c r="O16" s="10">
        <v>0</v>
      </c>
      <c r="P16" s="10">
        <v>0</v>
      </c>
      <c r="Q16" s="10">
        <v>1213.6544444444444</v>
      </c>
      <c r="R16" s="11">
        <f>IFERROR(P16/Q16, 0)</f>
      </c>
      <c r="S16" s="10">
        <v>4980</v>
      </c>
      <c r="T16" s="10">
        <v>13756.684444444445</v>
      </c>
      <c r="U16" s="11">
        <f>IFERROR(S16/T16, 0)</f>
      </c>
      <c r="V16" s="10">
        <f>IFERROR(S16/E16, 0)</f>
      </c>
      <c r="W16" s="10">
        <f>IFERROR(T16/F16, 0)</f>
      </c>
      <c r="X16" s="11">
        <f>IFERROR(V16/W16, 0)</f>
      </c>
    </row>
    <row r="17" spans="1:24" x14ac:dyDescent="0.25">
      <c r="A17" s="8" t="s">
        <v>22</v>
      </c>
      <c r="B17" s="8" t="s">
        <v>34</v>
      </c>
      <c r="C17" s="8" t="s">
        <v>24</v>
      </c>
      <c r="D17" s="8" t="s">
        <v>36</v>
      </c>
      <c r="E17" s="9">
        <v>0</v>
      </c>
      <c r="F17" s="9">
        <v>0</v>
      </c>
      <c r="G17" s="10">
        <v>0</v>
      </c>
      <c r="H17" s="10">
        <v>0</v>
      </c>
      <c r="I17" s="11">
        <f>IFERROR(G17/H17, 0)</f>
      </c>
      <c r="J17" s="10">
        <v>0</v>
      </c>
      <c r="K17" s="10">
        <v>0</v>
      </c>
      <c r="L17" s="10">
        <v>0</v>
      </c>
      <c r="M17" s="12">
        <f>IFERROR(L17/K17, 0)</f>
      </c>
      <c r="N17" s="13">
        <f>IFERROR(J17/K17, 0)</f>
      </c>
      <c r="O17" s="10">
        <v>0</v>
      </c>
      <c r="P17" s="10">
        <v>0</v>
      </c>
      <c r="Q17" s="10">
        <v>0</v>
      </c>
      <c r="R17" s="11">
        <f>IFERROR(P17/Q17, 0)</f>
      </c>
      <c r="S17" s="10">
        <v>0</v>
      </c>
      <c r="T17" s="10">
        <v>0</v>
      </c>
      <c r="U17" s="11">
        <f>IFERROR(S17/T17, 0)</f>
      </c>
      <c r="V17" s="10">
        <f>IFERROR(S17/E17, 0)</f>
      </c>
      <c r="W17" s="10">
        <f>IFERROR(T17/F17, 0)</f>
      </c>
      <c r="X17" s="11">
        <f>IFERROR(V17/W17, 0)</f>
      </c>
    </row>
    <row r="18" spans="1:24" x14ac:dyDescent="0.25">
      <c r="A18" s="8" t="s">
        <v>22</v>
      </c>
      <c r="B18" s="8" t="s">
        <v>34</v>
      </c>
      <c r="C18" s="8" t="s">
        <v>24</v>
      </c>
      <c r="D18" s="8" t="s">
        <v>37</v>
      </c>
      <c r="E18" s="9">
        <v>44.46</v>
      </c>
      <c r="F18" s="9">
        <v>0</v>
      </c>
      <c r="G18" s="10">
        <v>0</v>
      </c>
      <c r="H18" s="10">
        <v>0</v>
      </c>
      <c r="I18" s="11">
        <f>IFERROR(G18/H18, 0)</f>
      </c>
      <c r="J18" s="10">
        <v>0</v>
      </c>
      <c r="K18" s="10">
        <v>0</v>
      </c>
      <c r="L18" s="10">
        <v>0</v>
      </c>
      <c r="M18" s="12">
        <f>IFERROR(L18/K18, 0)</f>
      </c>
      <c r="N18" s="13">
        <f>IFERROR(J18/K18, 0)</f>
      </c>
      <c r="O18" s="10">
        <v>0</v>
      </c>
      <c r="P18" s="10">
        <v>0</v>
      </c>
      <c r="Q18" s="10">
        <v>0</v>
      </c>
      <c r="R18" s="11">
        <f>IFERROR(P18/Q18, 0)</f>
      </c>
      <c r="S18" s="10">
        <v>0</v>
      </c>
      <c r="T18" s="10">
        <v>0</v>
      </c>
      <c r="U18" s="11">
        <f>IFERROR(S18/T18, 0)</f>
      </c>
      <c r="V18" s="10">
        <f>IFERROR(S18/E18, 0)</f>
      </c>
      <c r="W18" s="10">
        <f>IFERROR(T18/F18, 0)</f>
      </c>
      <c r="X18" s="11">
        <f>IFERROR(V18/W18, 0)</f>
      </c>
    </row>
    <row r="19" spans="1:24" x14ac:dyDescent="0.25">
      <c r="A19" s="8" t="s">
        <v>22</v>
      </c>
      <c r="B19" s="8" t="s">
        <v>34</v>
      </c>
      <c r="C19" s="8" t="s">
        <v>24</v>
      </c>
      <c r="D19" s="8" t="s">
        <v>38</v>
      </c>
      <c r="E19" s="9">
        <v>0</v>
      </c>
      <c r="F19" s="9">
        <v>0</v>
      </c>
      <c r="G19" s="10">
        <v>0</v>
      </c>
      <c r="H19" s="10">
        <v>0</v>
      </c>
      <c r="I19" s="11">
        <f>IFERROR(G19/H19, 0)</f>
      </c>
      <c r="J19" s="10">
        <v>0</v>
      </c>
      <c r="K19" s="10">
        <v>0</v>
      </c>
      <c r="L19" s="10">
        <v>0</v>
      </c>
      <c r="M19" s="12">
        <f>IFERROR(L19/K19, 0)</f>
      </c>
      <c r="N19" s="13">
        <f>IFERROR(J19/K19, 0)</f>
      </c>
      <c r="O19" s="10">
        <v>0</v>
      </c>
      <c r="P19" s="10">
        <v>0</v>
      </c>
      <c r="Q19" s="10">
        <v>0</v>
      </c>
      <c r="R19" s="11">
        <f>IFERROR(P19/Q19, 0)</f>
      </c>
      <c r="S19" s="10">
        <v>0</v>
      </c>
      <c r="T19" s="10">
        <v>0</v>
      </c>
      <c r="U19" s="11">
        <f>IFERROR(S19/T19, 0)</f>
      </c>
      <c r="V19" s="10">
        <f>IFERROR(S19/E19, 0)</f>
      </c>
      <c r="W19" s="10">
        <f>IFERROR(T19/F19, 0)</f>
      </c>
      <c r="X19" s="11">
        <f>IFERROR(V19/W19, 0)</f>
      </c>
    </row>
    <row r="20" spans="1:24" x14ac:dyDescent="0.25">
      <c r="A20" s="8" t="s">
        <v>22</v>
      </c>
      <c r="B20" s="8" t="s">
        <v>34</v>
      </c>
      <c r="C20" s="8" t="s">
        <v>24</v>
      </c>
      <c r="D20" s="8" t="s">
        <v>39</v>
      </c>
      <c r="E20" s="9">
        <v>0</v>
      </c>
      <c r="F20" s="9">
        <v>0</v>
      </c>
      <c r="G20" s="10">
        <v>0</v>
      </c>
      <c r="H20" s="10">
        <v>0</v>
      </c>
      <c r="I20" s="11">
        <f>IFERROR(G20/H20, 0)</f>
      </c>
      <c r="J20" s="10">
        <v>0</v>
      </c>
      <c r="K20" s="10">
        <v>0</v>
      </c>
      <c r="L20" s="10">
        <v>0</v>
      </c>
      <c r="M20" s="12">
        <f>IFERROR(L20/K20, 0)</f>
      </c>
      <c r="N20" s="13">
        <f>IFERROR(J20/K20, 0)</f>
      </c>
      <c r="O20" s="10">
        <v>0</v>
      </c>
      <c r="P20" s="10">
        <v>0</v>
      </c>
      <c r="Q20" s="10">
        <v>0</v>
      </c>
      <c r="R20" s="11">
        <f>IFERROR(P20/Q20, 0)</f>
      </c>
      <c r="S20" s="10">
        <v>0</v>
      </c>
      <c r="T20" s="10">
        <v>0</v>
      </c>
      <c r="U20" s="11">
        <f>IFERROR(S20/T20, 0)</f>
      </c>
      <c r="V20" s="10">
        <f>IFERROR(S20/E20, 0)</f>
      </c>
      <c r="W20" s="10">
        <f>IFERROR(T20/F20, 0)</f>
      </c>
      <c r="X20" s="11">
        <f>IFERROR(V20/W20, 0)</f>
      </c>
    </row>
    <row r="21" spans="1:24" x14ac:dyDescent="0.25">
      <c r="A21" s="8" t="s">
        <v>22</v>
      </c>
      <c r="B21" s="8" t="s">
        <v>34</v>
      </c>
      <c r="C21" s="8" t="s">
        <v>24</v>
      </c>
      <c r="D21" s="8" t="s">
        <v>40</v>
      </c>
      <c r="E21" s="9">
        <v>4322.38</v>
      </c>
      <c r="F21" s="9">
        <v>5124</v>
      </c>
      <c r="G21" s="10">
        <v>0</v>
      </c>
      <c r="H21" s="10">
        <v>151822.22222222222</v>
      </c>
      <c r="I21" s="11">
        <f>IFERROR(G21/H21, 0)</f>
      </c>
      <c r="J21" s="10">
        <v>0</v>
      </c>
      <c r="K21" s="10">
        <v>0</v>
      </c>
      <c r="L21" s="10">
        <v>0</v>
      </c>
      <c r="M21" s="12">
        <f>IFERROR(L21/K21, 0)</f>
      </c>
      <c r="N21" s="13">
        <f>IFERROR(J21/K21, 0)</f>
      </c>
      <c r="O21" s="10">
        <v>0</v>
      </c>
      <c r="P21" s="10">
        <v>0</v>
      </c>
      <c r="Q21" s="10">
        <v>1670044.4444444445</v>
      </c>
      <c r="R21" s="11">
        <f>IFERROR(P21/Q21, 0)</f>
      </c>
      <c r="S21" s="10">
        <v>7691769</v>
      </c>
      <c r="T21" s="10">
        <v>18476764.444444444</v>
      </c>
      <c r="U21" s="11">
        <f>IFERROR(S21/T21, 0)</f>
      </c>
      <c r="V21" s="10">
        <f>IFERROR(S21/E21, 0)</f>
      </c>
      <c r="W21" s="10">
        <f>IFERROR(T21/F21, 0)</f>
      </c>
      <c r="X21" s="11">
        <f>IFERROR(V21/W21, 0)</f>
      </c>
    </row>
    <row r="22" spans="1:24" x14ac:dyDescent="0.25">
      <c r="A22" s="8" t="s">
        <v>22</v>
      </c>
      <c r="B22" s="8" t="s">
        <v>34</v>
      </c>
      <c r="C22" s="8" t="s">
        <v>24</v>
      </c>
      <c r="D22" s="8" t="s">
        <v>41</v>
      </c>
      <c r="E22" s="9">
        <v>0</v>
      </c>
      <c r="F22" s="9">
        <v>207.01</v>
      </c>
      <c r="G22" s="10">
        <v>0</v>
      </c>
      <c r="H22" s="10">
        <v>6191.28</v>
      </c>
      <c r="I22" s="11">
        <f>IFERROR(G22/H22, 0)</f>
      </c>
      <c r="J22" s="10">
        <v>0</v>
      </c>
      <c r="K22" s="10">
        <v>0</v>
      </c>
      <c r="L22" s="10">
        <v>0</v>
      </c>
      <c r="M22" s="12">
        <f>IFERROR(L22/K22, 0)</f>
      </c>
      <c r="N22" s="13">
        <f>IFERROR(J22/K22, 0)</f>
      </c>
      <c r="O22" s="10">
        <v>0</v>
      </c>
      <c r="P22" s="10">
        <v>0</v>
      </c>
      <c r="Q22" s="10">
        <v>68104.08</v>
      </c>
      <c r="R22" s="11">
        <f>IFERROR(P22/Q22, 0)</f>
      </c>
      <c r="S22" s="10">
        <v>1133732</v>
      </c>
      <c r="T22" s="10">
        <v>771954.86</v>
      </c>
      <c r="U22" s="11">
        <f>IFERROR(S22/T22, 0)</f>
      </c>
      <c r="V22" s="10">
        <f>IFERROR(S22/E22, 0)</f>
      </c>
      <c r="W22" s="10">
        <f>IFERROR(T22/F22, 0)</f>
      </c>
      <c r="X22" s="11">
        <f>IFERROR(V22/W22, 0)</f>
      </c>
    </row>
    <row r="23" spans="1:24" x14ac:dyDescent="0.25">
      <c r="A23" s="8" t="s">
        <v>22</v>
      </c>
      <c r="B23" s="8" t="s">
        <v>34</v>
      </c>
      <c r="C23" s="8" t="s">
        <v>24</v>
      </c>
      <c r="D23" s="8" t="s">
        <v>42</v>
      </c>
      <c r="E23" s="9">
        <v>167.12</v>
      </c>
      <c r="F23" s="9">
        <v>408.02</v>
      </c>
      <c r="G23" s="10">
        <v>0</v>
      </c>
      <c r="H23" s="10">
        <v>12202.825185185186</v>
      </c>
      <c r="I23" s="11">
        <f>IFERROR(G23/H23, 0)</f>
      </c>
      <c r="J23" s="10">
        <v>38.19</v>
      </c>
      <c r="K23" s="10">
        <v>9</v>
      </c>
      <c r="L23" s="10">
        <v>5725</v>
      </c>
      <c r="M23" s="12">
        <f>IFERROR(L23/K23, 0)</f>
      </c>
      <c r="N23" s="13">
        <f>IFERROR(J23/K23, 0)</f>
      </c>
      <c r="O23" s="10">
        <v>5725</v>
      </c>
      <c r="P23" s="10">
        <v>44328</v>
      </c>
      <c r="Q23" s="10">
        <v>134231.07703703703</v>
      </c>
      <c r="R23" s="11">
        <f>IFERROR(P23/Q23, 0)</f>
      </c>
      <c r="S23" s="10">
        <v>509382</v>
      </c>
      <c r="T23" s="10">
        <v>1521499.627037037</v>
      </c>
      <c r="U23" s="11">
        <f>IFERROR(S23/T23, 0)</f>
      </c>
      <c r="V23" s="10">
        <f>IFERROR(S23/E23, 0)</f>
      </c>
      <c r="W23" s="10">
        <f>IFERROR(T23/F23, 0)</f>
      </c>
      <c r="X23" s="11">
        <f>IFERROR(V23/W23, 0)</f>
      </c>
    </row>
    <row r="24" spans="1:24" x14ac:dyDescent="0.25">
      <c r="A24" s="8" t="s">
        <v>22</v>
      </c>
      <c r="B24" s="8" t="s">
        <v>34</v>
      </c>
      <c r="C24" s="8" t="s">
        <v>24</v>
      </c>
      <c r="D24" s="8" t="s">
        <v>43</v>
      </c>
      <c r="E24" s="9">
        <v>264.84</v>
      </c>
      <c r="F24" s="9">
        <v>196.98</v>
      </c>
      <c r="G24" s="10">
        <v>0</v>
      </c>
      <c r="H24" s="10">
        <v>5891.203333333333</v>
      </c>
      <c r="I24" s="11">
        <f>IFERROR(G24/H24, 0)</f>
      </c>
      <c r="J24" s="10">
        <v>46.6</v>
      </c>
      <c r="K24" s="10">
        <v>12</v>
      </c>
      <c r="L24" s="10">
        <v>11742</v>
      </c>
      <c r="M24" s="12">
        <f>IFERROR(L24/K24, 0)</f>
      </c>
      <c r="N24" s="13">
        <f>IFERROR(J24/K24, 0)</f>
      </c>
      <c r="O24" s="10">
        <v>11742</v>
      </c>
      <c r="P24" s="10">
        <v>98750</v>
      </c>
      <c r="Q24" s="10">
        <v>64803.236666666664</v>
      </c>
      <c r="R24" s="11">
        <f>IFERROR(P24/Q24, 0)</f>
      </c>
      <c r="S24" s="10">
        <v>1655990</v>
      </c>
      <c r="T24" s="10">
        <v>734540.0266666666</v>
      </c>
      <c r="U24" s="11">
        <f>IFERROR(S24/T24, 0)</f>
      </c>
      <c r="V24" s="10">
        <f>IFERROR(S24/E24, 0)</f>
      </c>
      <c r="W24" s="10">
        <f>IFERROR(T24/F24, 0)</f>
      </c>
      <c r="X24" s="11">
        <f>IFERROR(V24/W24, 0)</f>
      </c>
    </row>
    <row r="25" spans="1:24" x14ac:dyDescent="0.25">
      <c r="A25" s="8" t="s">
        <v>22</v>
      </c>
      <c r="B25" s="8" t="s">
        <v>34</v>
      </c>
      <c r="C25" s="8" t="s">
        <v>24</v>
      </c>
      <c r="D25" s="8" t="s">
        <v>44</v>
      </c>
      <c r="E25" s="9">
        <v>440.4</v>
      </c>
      <c r="F25" s="9">
        <v>0</v>
      </c>
      <c r="G25" s="10">
        <v>0</v>
      </c>
      <c r="H25" s="10">
        <v>0</v>
      </c>
      <c r="I25" s="11">
        <f>IFERROR(G25/H25, 0)</f>
      </c>
      <c r="J25" s="10">
        <v>0</v>
      </c>
      <c r="K25" s="10">
        <v>0</v>
      </c>
      <c r="L25" s="10">
        <v>0</v>
      </c>
      <c r="M25" s="12">
        <f>IFERROR(L25/K25, 0)</f>
      </c>
      <c r="N25" s="13">
        <f>IFERROR(J25/K25, 0)</f>
      </c>
      <c r="O25" s="10">
        <v>0</v>
      </c>
      <c r="P25" s="10">
        <v>0</v>
      </c>
      <c r="Q25" s="10">
        <v>0</v>
      </c>
      <c r="R25" s="11">
        <f>IFERROR(P25/Q25, 0)</f>
      </c>
      <c r="S25" s="10">
        <v>0</v>
      </c>
      <c r="T25" s="10">
        <v>0</v>
      </c>
      <c r="U25" s="11">
        <f>IFERROR(S25/T25, 0)</f>
      </c>
      <c r="V25" s="10">
        <f>IFERROR(S25/E25, 0)</f>
      </c>
      <c r="W25" s="10">
        <f>IFERROR(T25/F25, 0)</f>
      </c>
      <c r="X25" s="11">
        <f>IFERROR(V25/W25, 0)</f>
      </c>
    </row>
    <row r="26" spans="1:24" x14ac:dyDescent="0.25">
      <c r="A26" s="8" t="s">
        <v>22</v>
      </c>
      <c r="B26" s="8" t="s">
        <v>34</v>
      </c>
      <c r="C26" s="8" t="s">
        <v>24</v>
      </c>
      <c r="D26" s="8" t="s">
        <v>45</v>
      </c>
      <c r="E26" s="9">
        <v>786</v>
      </c>
      <c r="F26" s="9">
        <v>0</v>
      </c>
      <c r="G26" s="10">
        <v>19367</v>
      </c>
      <c r="H26" s="10">
        <v>0</v>
      </c>
      <c r="I26" s="11">
        <f>IFERROR(G26/H26, 0)</f>
      </c>
      <c r="J26" s="10">
        <v>45</v>
      </c>
      <c r="K26" s="10">
        <v>8</v>
      </c>
      <c r="L26" s="10">
        <v>19367</v>
      </c>
      <c r="M26" s="12">
        <f>IFERROR(L26/K26, 0)</f>
      </c>
      <c r="N26" s="13">
        <f>IFERROR(J26/K26, 0)</f>
      </c>
      <c r="O26" s="10">
        <v>0</v>
      </c>
      <c r="P26" s="10">
        <v>230012</v>
      </c>
      <c r="Q26" s="10">
        <v>0</v>
      </c>
      <c r="R26" s="11">
        <f>IFERROR(P26/Q26, 0)</f>
      </c>
      <c r="S26" s="10">
        <v>2377839</v>
      </c>
      <c r="T26" s="10">
        <v>0</v>
      </c>
      <c r="U26" s="11">
        <f>IFERROR(S26/T26, 0)</f>
      </c>
      <c r="V26" s="10">
        <f>IFERROR(S26/E26, 0)</f>
      </c>
      <c r="W26" s="10">
        <f>IFERROR(T26/F26, 0)</f>
      </c>
      <c r="X26" s="11">
        <f>IFERROR(V26/W26, 0)</f>
      </c>
    </row>
    <row r="27" spans="1:24" x14ac:dyDescent="0.25">
      <c r="A27" s="8" t="s">
        <v>22</v>
      </c>
      <c r="B27" s="8" t="s">
        <v>34</v>
      </c>
      <c r="C27" s="8" t="s">
        <v>24</v>
      </c>
      <c r="D27" s="8" t="s">
        <v>46</v>
      </c>
      <c r="E27" s="9">
        <v>0</v>
      </c>
      <c r="F27" s="9">
        <v>397.11</v>
      </c>
      <c r="G27" s="10">
        <v>0</v>
      </c>
      <c r="H27" s="10">
        <v>11876.5</v>
      </c>
      <c r="I27" s="11">
        <f>IFERROR(G27/H27, 0)</f>
      </c>
      <c r="J27" s="10">
        <v>0</v>
      </c>
      <c r="K27" s="10">
        <v>0</v>
      </c>
      <c r="L27" s="10">
        <v>0</v>
      </c>
      <c r="M27" s="12">
        <f>IFERROR(L27/K27, 0)</f>
      </c>
      <c r="N27" s="13">
        <f>IFERROR(J27/K27, 0)</f>
      </c>
      <c r="O27" s="10">
        <v>0</v>
      </c>
      <c r="P27" s="10">
        <v>0</v>
      </c>
      <c r="Q27" s="10">
        <v>130641.5</v>
      </c>
      <c r="R27" s="11">
        <f>IFERROR(P27/Q27, 0)</f>
      </c>
      <c r="S27" s="10">
        <v>0</v>
      </c>
      <c r="T27" s="10">
        <v>1480812.04</v>
      </c>
      <c r="U27" s="11">
        <f>IFERROR(S27/T27, 0)</f>
      </c>
      <c r="V27" s="10">
        <f>IFERROR(S27/E27, 0)</f>
      </c>
      <c r="W27" s="10">
        <f>IFERROR(T27/F27, 0)</f>
      </c>
      <c r="X27" s="11">
        <f>IFERROR(V27/W27, 0)</f>
      </c>
    </row>
    <row r="28" spans="1:24" x14ac:dyDescent="0.25">
      <c r="A28" s="8" t="s">
        <v>22</v>
      </c>
      <c r="B28" s="8" t="s">
        <v>34</v>
      </c>
      <c r="C28" s="8" t="s">
        <v>24</v>
      </c>
      <c r="D28" s="8" t="s">
        <v>47</v>
      </c>
      <c r="E28" s="9">
        <v>59.9</v>
      </c>
      <c r="F28" s="9">
        <v>44.55</v>
      </c>
      <c r="G28" s="10">
        <v>0</v>
      </c>
      <c r="H28" s="10">
        <v>1332.4388888888889</v>
      </c>
      <c r="I28" s="11">
        <f>IFERROR(G28/H28, 0)</f>
      </c>
      <c r="J28" s="10">
        <v>0</v>
      </c>
      <c r="K28" s="10">
        <v>0</v>
      </c>
      <c r="L28" s="10">
        <v>0</v>
      </c>
      <c r="M28" s="12">
        <f>IFERROR(L28/K28, 0)</f>
      </c>
      <c r="N28" s="13">
        <f>IFERROR(J28/K28, 0)</f>
      </c>
      <c r="O28" s="10">
        <v>0</v>
      </c>
      <c r="P28" s="10">
        <v>0</v>
      </c>
      <c r="Q28" s="10">
        <v>14656.827777777778</v>
      </c>
      <c r="R28" s="11">
        <f>IFERROR(P28/Q28, 0)</f>
      </c>
      <c r="S28" s="10">
        <v>0</v>
      </c>
      <c r="T28" s="10">
        <v>166134.0677777778</v>
      </c>
      <c r="U28" s="11">
        <f>IFERROR(S28/T28, 0)</f>
      </c>
      <c r="V28" s="10">
        <f>IFERROR(S28/E28, 0)</f>
      </c>
      <c r="W28" s="10">
        <f>IFERROR(T28/F28, 0)</f>
      </c>
      <c r="X28" s="11">
        <f>IFERROR(V28/W28, 0)</f>
      </c>
    </row>
    <row r="29" spans="1:24" x14ac:dyDescent="0.25">
      <c r="A29" s="8" t="s">
        <v>22</v>
      </c>
      <c r="B29" s="8" t="s">
        <v>34</v>
      </c>
      <c r="C29" s="8" t="s">
        <v>24</v>
      </c>
      <c r="D29" s="8" t="s">
        <v>48</v>
      </c>
      <c r="E29" s="9">
        <v>0</v>
      </c>
      <c r="F29" s="9">
        <v>0</v>
      </c>
      <c r="G29" s="10">
        <v>0</v>
      </c>
      <c r="H29" s="10">
        <v>0</v>
      </c>
      <c r="I29" s="11">
        <f>IFERROR(G29/H29, 0)</f>
      </c>
      <c r="J29" s="10">
        <v>0</v>
      </c>
      <c r="K29" s="10">
        <v>0</v>
      </c>
      <c r="L29" s="10">
        <v>0</v>
      </c>
      <c r="M29" s="12">
        <f>IFERROR(L29/K29, 0)</f>
      </c>
      <c r="N29" s="13">
        <f>IFERROR(J29/K29, 0)</f>
      </c>
      <c r="O29" s="10">
        <v>0</v>
      </c>
      <c r="P29" s="10">
        <v>0</v>
      </c>
      <c r="Q29" s="10">
        <v>0</v>
      </c>
      <c r="R29" s="11">
        <f>IFERROR(P29/Q29, 0)</f>
      </c>
      <c r="S29" s="10">
        <v>0</v>
      </c>
      <c r="T29" s="10">
        <v>0</v>
      </c>
      <c r="U29" s="11">
        <f>IFERROR(S29/T29, 0)</f>
      </c>
      <c r="V29" s="10">
        <f>IFERROR(S29/E29, 0)</f>
      </c>
      <c r="W29" s="10">
        <f>IFERROR(T29/F29, 0)</f>
      </c>
      <c r="X29" s="11">
        <f>IFERROR(V29/W29, 0)</f>
      </c>
    </row>
    <row r="30" spans="1:24" x14ac:dyDescent="0.25">
      <c r="A30" s="8" t="s">
        <v>22</v>
      </c>
      <c r="B30" s="8" t="s">
        <v>34</v>
      </c>
      <c r="C30" s="8" t="s">
        <v>24</v>
      </c>
      <c r="D30" s="8" t="s">
        <v>49</v>
      </c>
      <c r="E30" s="9">
        <v>71.73</v>
      </c>
      <c r="F30" s="9">
        <v>0</v>
      </c>
      <c r="G30" s="10">
        <v>0</v>
      </c>
      <c r="H30" s="10">
        <v>0</v>
      </c>
      <c r="I30" s="11">
        <f>IFERROR(G30/H30, 0)</f>
      </c>
      <c r="J30" s="10">
        <v>0</v>
      </c>
      <c r="K30" s="10">
        <v>0</v>
      </c>
      <c r="L30" s="10">
        <v>0</v>
      </c>
      <c r="M30" s="12">
        <f>IFERROR(L30/K30, 0)</f>
      </c>
      <c r="N30" s="13">
        <f>IFERROR(J30/K30, 0)</f>
      </c>
      <c r="O30" s="10">
        <v>0</v>
      </c>
      <c r="P30" s="10">
        <v>0</v>
      </c>
      <c r="Q30" s="10">
        <v>0</v>
      </c>
      <c r="R30" s="11">
        <f>IFERROR(P30/Q30, 0)</f>
      </c>
      <c r="S30" s="10">
        <v>0</v>
      </c>
      <c r="T30" s="10">
        <v>0</v>
      </c>
      <c r="U30" s="11">
        <f>IFERROR(S30/T30, 0)</f>
      </c>
      <c r="V30" s="10">
        <f>IFERROR(S30/E30, 0)</f>
      </c>
      <c r="W30" s="10">
        <f>IFERROR(T30/F30, 0)</f>
      </c>
      <c r="X30" s="11">
        <f>IFERROR(V30/W30, 0)</f>
      </c>
    </row>
    <row r="31" spans="1:24" x14ac:dyDescent="0.25">
      <c r="A31" s="8" t="s">
        <v>22</v>
      </c>
      <c r="B31" s="8" t="s">
        <v>34</v>
      </c>
      <c r="C31" s="8" t="s">
        <v>24</v>
      </c>
      <c r="D31" s="8" t="s">
        <v>50</v>
      </c>
      <c r="E31" s="9">
        <v>0</v>
      </c>
      <c r="F31" s="9">
        <v>291.58</v>
      </c>
      <c r="G31" s="10">
        <v>0</v>
      </c>
      <c r="H31" s="10">
        <v>8720.466666666667</v>
      </c>
      <c r="I31" s="11">
        <f>IFERROR(G31/H31, 0)</f>
      </c>
      <c r="J31" s="10">
        <v>0</v>
      </c>
      <c r="K31" s="10">
        <v>0</v>
      </c>
      <c r="L31" s="10">
        <v>0</v>
      </c>
      <c r="M31" s="12">
        <f>IFERROR(L31/K31, 0)</f>
      </c>
      <c r="N31" s="13">
        <f>IFERROR(J31/K31, 0)</f>
      </c>
      <c r="O31" s="10">
        <v>0</v>
      </c>
      <c r="P31" s="10">
        <v>0</v>
      </c>
      <c r="Q31" s="10">
        <v>95925.13333333333</v>
      </c>
      <c r="R31" s="11">
        <f>IFERROR(P31/Q31, 0)</f>
      </c>
      <c r="S31" s="10">
        <v>0</v>
      </c>
      <c r="T31" s="10">
        <v>1087304.5033333334</v>
      </c>
      <c r="U31" s="11">
        <f>IFERROR(S31/T31, 0)</f>
      </c>
      <c r="V31" s="10">
        <f>IFERROR(S31/E31, 0)</f>
      </c>
      <c r="W31" s="10">
        <f>IFERROR(T31/F31, 0)</f>
      </c>
      <c r="X31" s="11">
        <f>IFERROR(V31/W31, 0)</f>
      </c>
    </row>
    <row r="32" spans="1:24" x14ac:dyDescent="0.25">
      <c r="A32" s="8" t="s">
        <v>22</v>
      </c>
      <c r="B32" s="8" t="s">
        <v>34</v>
      </c>
      <c r="C32" s="8" t="s">
        <v>24</v>
      </c>
      <c r="D32" s="8" t="s">
        <v>51</v>
      </c>
      <c r="E32" s="9">
        <v>0</v>
      </c>
      <c r="F32" s="9">
        <v>224.5</v>
      </c>
      <c r="G32" s="10">
        <v>0</v>
      </c>
      <c r="H32" s="10">
        <v>6714.245555555555</v>
      </c>
      <c r="I32" s="11">
        <f>IFERROR(G32/H32, 0)</f>
      </c>
      <c r="J32" s="10">
        <v>0</v>
      </c>
      <c r="K32" s="10">
        <v>0</v>
      </c>
      <c r="L32" s="10">
        <v>0</v>
      </c>
      <c r="M32" s="12">
        <f>IFERROR(L32/K32, 0)</f>
      </c>
      <c r="N32" s="13">
        <f>IFERROR(J32/K32, 0)</f>
      </c>
      <c r="O32" s="10">
        <v>0</v>
      </c>
      <c r="P32" s="10">
        <v>0</v>
      </c>
      <c r="Q32" s="10">
        <v>73856.7011111111</v>
      </c>
      <c r="R32" s="11">
        <f>IFERROR(P32/Q32, 0)</f>
      </c>
      <c r="S32" s="10">
        <v>0</v>
      </c>
      <c r="T32" s="10">
        <v>837160.3911111112</v>
      </c>
      <c r="U32" s="11">
        <f>IFERROR(S32/T32, 0)</f>
      </c>
      <c r="V32" s="10">
        <f>IFERROR(S32/E32, 0)</f>
      </c>
      <c r="W32" s="10">
        <f>IFERROR(T32/F32, 0)</f>
      </c>
      <c r="X32" s="11">
        <f>IFERROR(V32/W32, 0)</f>
      </c>
    </row>
    <row r="33" spans="1:24" x14ac:dyDescent="0.25">
      <c r="A33" s="8" t="s">
        <v>22</v>
      </c>
      <c r="B33" s="8" t="s">
        <v>34</v>
      </c>
      <c r="C33" s="8" t="s">
        <v>24</v>
      </c>
      <c r="D33" s="8" t="s">
        <v>52</v>
      </c>
      <c r="E33" s="9">
        <v>0</v>
      </c>
      <c r="F33" s="9">
        <v>0</v>
      </c>
      <c r="G33" s="10">
        <v>0</v>
      </c>
      <c r="H33" s="10">
        <v>0</v>
      </c>
      <c r="I33" s="11">
        <f>IFERROR(G33/H33, 0)</f>
      </c>
      <c r="J33" s="10">
        <v>0</v>
      </c>
      <c r="K33" s="10">
        <v>0</v>
      </c>
      <c r="L33" s="10">
        <v>0</v>
      </c>
      <c r="M33" s="12">
        <f>IFERROR(L33/K33, 0)</f>
      </c>
      <c r="N33" s="13">
        <f>IFERROR(J33/K33, 0)</f>
      </c>
      <c r="O33" s="10">
        <v>0</v>
      </c>
      <c r="P33" s="10">
        <v>0</v>
      </c>
      <c r="Q33" s="10">
        <v>0</v>
      </c>
      <c r="R33" s="11">
        <f>IFERROR(P33/Q33, 0)</f>
      </c>
      <c r="S33" s="10">
        <v>0</v>
      </c>
      <c r="T33" s="10">
        <v>0</v>
      </c>
      <c r="U33" s="11">
        <f>IFERROR(S33/T33, 0)</f>
      </c>
      <c r="V33" s="10">
        <f>IFERROR(S33/E33, 0)</f>
      </c>
      <c r="W33" s="10">
        <f>IFERROR(T33/F33, 0)</f>
      </c>
      <c r="X33" s="11">
        <f>IFERROR(V33/W33, 0)</f>
      </c>
    </row>
    <row r="34" spans="1:24" x14ac:dyDescent="0.25">
      <c r="A34" s="8" t="s">
        <v>22</v>
      </c>
      <c r="B34" s="8" t="s">
        <v>34</v>
      </c>
      <c r="C34" s="8" t="s">
        <v>24</v>
      </c>
      <c r="D34" s="8" t="s">
        <v>53</v>
      </c>
      <c r="E34" s="9">
        <v>0</v>
      </c>
      <c r="F34" s="9">
        <v>106.47</v>
      </c>
      <c r="G34" s="10">
        <v>0</v>
      </c>
      <c r="H34" s="10">
        <v>3184.283703703704</v>
      </c>
      <c r="I34" s="11">
        <f>IFERROR(G34/H34, 0)</f>
      </c>
      <c r="J34" s="10">
        <v>0</v>
      </c>
      <c r="K34" s="10">
        <v>0</v>
      </c>
      <c r="L34" s="10">
        <v>0</v>
      </c>
      <c r="M34" s="12">
        <f>IFERROR(L34/K34, 0)</f>
      </c>
      <c r="N34" s="13">
        <f>IFERROR(J34/K34, 0)</f>
      </c>
      <c r="O34" s="10">
        <v>0</v>
      </c>
      <c r="P34" s="10">
        <v>0</v>
      </c>
      <c r="Q34" s="10">
        <v>35027.12074074074</v>
      </c>
      <c r="R34" s="11">
        <f>IFERROR(P34/Q34, 0)</f>
      </c>
      <c r="S34" s="10">
        <v>0</v>
      </c>
      <c r="T34" s="10">
        <v>397029.9107407407</v>
      </c>
      <c r="U34" s="11">
        <f>IFERROR(S34/T34, 0)</f>
      </c>
      <c r="V34" s="10">
        <f>IFERROR(S34/E34, 0)</f>
      </c>
      <c r="W34" s="10">
        <f>IFERROR(T34/F34, 0)</f>
      </c>
      <c r="X34" s="11">
        <f>IFERROR(V34/W34, 0)</f>
      </c>
    </row>
    <row r="35" spans="1:24" x14ac:dyDescent="0.25">
      <c r="A35" s="8" t="s">
        <v>22</v>
      </c>
      <c r="B35" s="8" t="s">
        <v>34</v>
      </c>
      <c r="C35" s="8" t="s">
        <v>24</v>
      </c>
      <c r="D35" s="8" t="s">
        <v>54</v>
      </c>
      <c r="E35" s="9">
        <v>0</v>
      </c>
      <c r="F35" s="9">
        <v>265.65</v>
      </c>
      <c r="G35" s="10">
        <v>0</v>
      </c>
      <c r="H35" s="10">
        <v>7945.027407407408</v>
      </c>
      <c r="I35" s="11">
        <f>IFERROR(G35/H35, 0)</f>
      </c>
      <c r="J35" s="10">
        <v>0</v>
      </c>
      <c r="K35" s="10">
        <v>0</v>
      </c>
      <c r="L35" s="10">
        <v>0</v>
      </c>
      <c r="M35" s="12">
        <f>IFERROR(L35/K35, 0)</f>
      </c>
      <c r="N35" s="13">
        <f>IFERROR(J35/K35, 0)</f>
      </c>
      <c r="O35" s="10">
        <v>0</v>
      </c>
      <c r="P35" s="10">
        <v>0</v>
      </c>
      <c r="Q35" s="10">
        <v>87395.30148148148</v>
      </c>
      <c r="R35" s="11">
        <f>IFERROR(P35/Q35, 0)</f>
      </c>
      <c r="S35" s="10">
        <v>0</v>
      </c>
      <c r="T35" s="10">
        <v>990619.4714814815</v>
      </c>
      <c r="U35" s="11">
        <f>IFERROR(S35/T35, 0)</f>
      </c>
      <c r="V35" s="10">
        <f>IFERROR(S35/E35, 0)</f>
      </c>
      <c r="W35" s="10">
        <f>IFERROR(T35/F35, 0)</f>
      </c>
      <c r="X35" s="11">
        <f>IFERROR(V35/W35, 0)</f>
      </c>
    </row>
    <row r="36" spans="1:24" x14ac:dyDescent="0.25">
      <c r="A36" s="8" t="s">
        <v>22</v>
      </c>
      <c r="B36" s="8" t="s">
        <v>34</v>
      </c>
      <c r="C36" s="8" t="s">
        <v>24</v>
      </c>
      <c r="D36" s="8" t="s">
        <v>55</v>
      </c>
      <c r="E36" s="9">
        <v>233.62</v>
      </c>
      <c r="F36" s="9">
        <v>0</v>
      </c>
      <c r="G36" s="10">
        <v>0</v>
      </c>
      <c r="H36" s="10">
        <v>0</v>
      </c>
      <c r="I36" s="11">
        <f>IFERROR(G36/H36, 0)</f>
      </c>
      <c r="J36" s="10">
        <v>0</v>
      </c>
      <c r="K36" s="10">
        <v>0</v>
      </c>
      <c r="L36" s="10">
        <v>0</v>
      </c>
      <c r="M36" s="12">
        <f>IFERROR(L36/K36, 0)</f>
      </c>
      <c r="N36" s="13">
        <f>IFERROR(J36/K36, 0)</f>
      </c>
      <c r="O36" s="10">
        <v>0</v>
      </c>
      <c r="P36" s="10">
        <v>0</v>
      </c>
      <c r="Q36" s="10">
        <v>0</v>
      </c>
      <c r="R36" s="11">
        <f>IFERROR(P36/Q36, 0)</f>
      </c>
      <c r="S36" s="10">
        <v>0</v>
      </c>
      <c r="T36" s="10">
        <v>0</v>
      </c>
      <c r="U36" s="11">
        <f>IFERROR(S36/T36, 0)</f>
      </c>
      <c r="V36" s="10">
        <f>IFERROR(S36/E36, 0)</f>
      </c>
      <c r="W36" s="10">
        <f>IFERROR(T36/F36, 0)</f>
      </c>
      <c r="X36" s="11">
        <f>IFERROR(V36/W36, 0)</f>
      </c>
    </row>
    <row r="37" spans="1:24" x14ac:dyDescent="0.25">
      <c r="A37" s="8" t="s">
        <v>22</v>
      </c>
      <c r="B37" s="8" t="s">
        <v>34</v>
      </c>
      <c r="C37" s="8" t="s">
        <v>24</v>
      </c>
      <c r="D37" s="8" t="s">
        <v>56</v>
      </c>
      <c r="E37" s="9">
        <v>106.2</v>
      </c>
      <c r="F37" s="9">
        <v>673.45</v>
      </c>
      <c r="G37" s="10">
        <v>0</v>
      </c>
      <c r="H37" s="10">
        <v>20141.179259259257</v>
      </c>
      <c r="I37" s="11">
        <f>IFERROR(G37/H37, 0)</f>
      </c>
      <c r="J37" s="10">
        <v>0</v>
      </c>
      <c r="K37" s="10">
        <v>0</v>
      </c>
      <c r="L37" s="10">
        <v>0</v>
      </c>
      <c r="M37" s="12">
        <f>IFERROR(L37/K37, 0)</f>
      </c>
      <c r="N37" s="13">
        <f>IFERROR(J37/K37, 0)</f>
      </c>
      <c r="O37" s="10">
        <v>0</v>
      </c>
      <c r="P37" s="10">
        <v>17727</v>
      </c>
      <c r="Q37" s="10">
        <v>221552.97185185185</v>
      </c>
      <c r="R37" s="11">
        <f>IFERROR(P37/Q37, 0)</f>
      </c>
      <c r="S37" s="10">
        <v>285331</v>
      </c>
      <c r="T37" s="10">
        <v>2511287.0418518516</v>
      </c>
      <c r="U37" s="11">
        <f>IFERROR(S37/T37, 0)</f>
      </c>
      <c r="V37" s="10">
        <f>IFERROR(S37/E37, 0)</f>
      </c>
      <c r="W37" s="10">
        <f>IFERROR(T37/F37, 0)</f>
      </c>
      <c r="X37" s="11">
        <f>IFERROR(V37/W37, 0)</f>
      </c>
    </row>
    <row r="38" spans="1:24" x14ac:dyDescent="0.25">
      <c r="A38" s="8" t="s">
        <v>22</v>
      </c>
      <c r="B38" s="8" t="s">
        <v>34</v>
      </c>
      <c r="C38" s="8" t="s">
        <v>24</v>
      </c>
      <c r="D38" s="8" t="s">
        <v>57</v>
      </c>
      <c r="E38" s="9">
        <v>0</v>
      </c>
      <c r="F38" s="9">
        <v>180.83</v>
      </c>
      <c r="G38" s="10">
        <v>0</v>
      </c>
      <c r="H38" s="10">
        <v>5408.055185185185</v>
      </c>
      <c r="I38" s="11">
        <f>IFERROR(G38/H38, 0)</f>
      </c>
      <c r="J38" s="10">
        <v>0</v>
      </c>
      <c r="K38" s="10">
        <v>0</v>
      </c>
      <c r="L38" s="10">
        <v>0</v>
      </c>
      <c r="M38" s="12">
        <f>IFERROR(L38/K38, 0)</f>
      </c>
      <c r="N38" s="13">
        <f>IFERROR(J38/K38, 0)</f>
      </c>
      <c r="O38" s="10">
        <v>0</v>
      </c>
      <c r="P38" s="10">
        <v>0</v>
      </c>
      <c r="Q38" s="10">
        <v>59488.607037037036</v>
      </c>
      <c r="R38" s="11">
        <f>IFERROR(P38/Q38, 0)</f>
      </c>
      <c r="S38" s="10">
        <v>0</v>
      </c>
      <c r="T38" s="10">
        <v>674299.077037037</v>
      </c>
      <c r="U38" s="11">
        <f>IFERROR(S38/T38, 0)</f>
      </c>
      <c r="V38" s="10">
        <f>IFERROR(S38/E38, 0)</f>
      </c>
      <c r="W38" s="10">
        <f>IFERROR(T38/F38, 0)</f>
      </c>
      <c r="X38" s="11">
        <f>IFERROR(V38/W38, 0)</f>
      </c>
    </row>
    <row r="39" spans="1:24" x14ac:dyDescent="0.25">
      <c r="A39" s="14" t="s">
        <v>58</v>
      </c>
      <c r="B39" s="14"/>
      <c r="C39" s="14"/>
      <c r="D39" s="14"/>
      <c r="E39" s="15">
        <f>SUM(E16:E38)</f>
      </c>
      <c r="F39" s="15">
        <f>SUM(F16:F38)</f>
      </c>
      <c r="G39" s="16">
        <f>SUM(G16:G38)</f>
      </c>
      <c r="H39" s="16">
        <f>SUM(H16:H38)</f>
      </c>
      <c r="I39" s="17">
        <f>IFERROR(G39/H39, 0)</f>
      </c>
      <c r="J39" s="16">
        <f>SUM(J16:J38)</f>
      </c>
      <c r="K39" s="16">
        <f>SUM(K16:K38)</f>
      </c>
      <c r="L39" s="16">
        <f>SUM(L16:L38)</f>
      </c>
      <c r="M39" s="18">
        <f>IFERROR(L39/K39, 0)</f>
      </c>
      <c r="N39" s="19">
        <f>IFERROR(J39/K39, 0)</f>
      </c>
      <c r="O39" s="16">
        <f>SUM(O16:O38)</f>
      </c>
      <c r="P39" s="16">
        <f>SUM(P16:P38)</f>
      </c>
      <c r="Q39" s="16">
        <f>SUM(Q16:Q38)</f>
      </c>
      <c r="R39" s="17">
        <f>IFERROR(P39/Q39, 0)</f>
      </c>
      <c r="S39" s="16">
        <f>SUM(S16:S38)</f>
      </c>
      <c r="T39" s="16">
        <f>SUM(T16:T38)</f>
      </c>
      <c r="U39" s="17">
        <f>IFERROR(S39/T39, 0)</f>
      </c>
      <c r="V39" s="16">
        <f>IFERROR(S39/E39, 0)</f>
      </c>
      <c r="W39" s="16">
        <f>IFERROR(T39/F39, 0)</f>
      </c>
      <c r="X39" s="17">
        <f>IFERROR(V39/W39, 0)</f>
      </c>
    </row>
    <row r="40" spans="1:24" x14ac:dyDescent="0.25">
      <c r="A40" s="8" t="s">
        <v>22</v>
      </c>
      <c r="B40" s="8" t="s">
        <v>59</v>
      </c>
      <c r="C40" s="8" t="s">
        <v>60</v>
      </c>
      <c r="D40" s="8" t="s">
        <v>61</v>
      </c>
      <c r="E40" s="9">
        <v>10052.38</v>
      </c>
      <c r="F40" s="9">
        <v>9839.39</v>
      </c>
      <c r="G40" s="10">
        <v>232670</v>
      </c>
      <c r="H40" s="10">
        <v>299445.6588888889</v>
      </c>
      <c r="I40" s="11">
        <f>IFERROR(G40/H40, 0)</f>
      </c>
      <c r="J40" s="10">
        <v>878.92</v>
      </c>
      <c r="K40" s="10">
        <v>176</v>
      </c>
      <c r="L40" s="10">
        <v>317111</v>
      </c>
      <c r="M40" s="12">
        <f>IFERROR(L40/K40, 0)</f>
      </c>
      <c r="N40" s="13">
        <f>IFERROR(J40/K40, 0)</f>
      </c>
      <c r="O40" s="10">
        <v>153685</v>
      </c>
      <c r="P40" s="10">
        <v>1996290</v>
      </c>
      <c r="Q40" s="10">
        <v>3293902.2477777777</v>
      </c>
      <c r="R40" s="11">
        <f>IFERROR(P40/Q40, 0)</f>
      </c>
      <c r="S40" s="10">
        <v>25558880</v>
      </c>
      <c r="T40" s="10">
        <v>36442536.66777778</v>
      </c>
      <c r="U40" s="11">
        <f>IFERROR(S40/T40, 0)</f>
      </c>
      <c r="V40" s="10">
        <f>IFERROR(S40/E40, 0)</f>
      </c>
      <c r="W40" s="10">
        <f>IFERROR(T40/F40, 0)</f>
      </c>
      <c r="X40" s="11">
        <f>IFERROR(V40/W40, 0)</f>
      </c>
    </row>
    <row r="41" spans="1:24" x14ac:dyDescent="0.25">
      <c r="A41" s="8" t="s">
        <v>22</v>
      </c>
      <c r="B41" s="8" t="s">
        <v>59</v>
      </c>
      <c r="C41" s="8" t="s">
        <v>62</v>
      </c>
      <c r="D41" s="8" t="s">
        <v>63</v>
      </c>
      <c r="E41" s="9">
        <v>9292.19</v>
      </c>
      <c r="F41" s="9">
        <v>9095.46</v>
      </c>
      <c r="G41" s="10">
        <v>205340</v>
      </c>
      <c r="H41" s="10">
        <v>276800.7133333333</v>
      </c>
      <c r="I41" s="11">
        <f>IFERROR(G41/H41, 0)</f>
      </c>
      <c r="J41" s="10">
        <v>846.54</v>
      </c>
      <c r="K41" s="10">
        <v>144</v>
      </c>
      <c r="L41" s="10">
        <v>236415</v>
      </c>
      <c r="M41" s="12">
        <f>IFERROR(L41/K41, 0)</f>
      </c>
      <c r="N41" s="13">
        <f>IFERROR(J41/K41, 0)</f>
      </c>
      <c r="O41" s="10">
        <v>33909</v>
      </c>
      <c r="P41" s="10">
        <v>2204490</v>
      </c>
      <c r="Q41" s="10">
        <v>3044807.8466666667</v>
      </c>
      <c r="R41" s="11">
        <f>IFERROR(P41/Q41, 0)</f>
      </c>
      <c r="S41" s="10">
        <v>16719701</v>
      </c>
      <c r="T41" s="10">
        <v>33686646.82666667</v>
      </c>
      <c r="U41" s="11">
        <f>IFERROR(S41/T41, 0)</f>
      </c>
      <c r="V41" s="10">
        <f>IFERROR(S41/E41, 0)</f>
      </c>
      <c r="W41" s="10">
        <f>IFERROR(T41/F41, 0)</f>
      </c>
      <c r="X41" s="11">
        <f>IFERROR(V41/W41, 0)</f>
      </c>
    </row>
    <row r="42" spans="1:24" x14ac:dyDescent="0.25">
      <c r="A42" s="8" t="s">
        <v>22</v>
      </c>
      <c r="B42" s="8" t="s">
        <v>59</v>
      </c>
      <c r="C42" s="8" t="s">
        <v>64</v>
      </c>
      <c r="D42" s="8" t="s">
        <v>65</v>
      </c>
      <c r="E42" s="9">
        <v>2724.04</v>
      </c>
      <c r="F42" s="9">
        <v>2666.38</v>
      </c>
      <c r="G42" s="10">
        <v>16020</v>
      </c>
      <c r="H42" s="10">
        <v>81145.15703703703</v>
      </c>
      <c r="I42" s="11">
        <f>IFERROR(G42/H42, 0)</f>
      </c>
      <c r="J42" s="10">
        <v>74.3</v>
      </c>
      <c r="K42" s="10">
        <v>22</v>
      </c>
      <c r="L42" s="10">
        <v>16020</v>
      </c>
      <c r="M42" s="12">
        <f>IFERROR(L42/K42, 0)</f>
      </c>
      <c r="N42" s="13">
        <f>IFERROR(J42/K42, 0)</f>
      </c>
      <c r="O42" s="10">
        <v>0</v>
      </c>
      <c r="P42" s="10">
        <v>187433</v>
      </c>
      <c r="Q42" s="10">
        <v>892596.7274074074</v>
      </c>
      <c r="R42" s="11">
        <f>IFERROR(P42/Q42, 0)</f>
      </c>
      <c r="S42" s="10">
        <v>1700392</v>
      </c>
      <c r="T42" s="10">
        <v>9875365.597407408</v>
      </c>
      <c r="U42" s="11">
        <f>IFERROR(S42/T42, 0)</f>
      </c>
      <c r="V42" s="10">
        <f>IFERROR(S42/E42, 0)</f>
      </c>
      <c r="W42" s="10">
        <f>IFERROR(T42/F42, 0)</f>
      </c>
      <c r="X42" s="11">
        <f>IFERROR(V42/W42, 0)</f>
      </c>
    </row>
    <row r="43" spans="1:24" x14ac:dyDescent="0.25">
      <c r="A43" s="8" t="s">
        <v>22</v>
      </c>
      <c r="B43" s="8" t="s">
        <v>59</v>
      </c>
      <c r="C43" s="8" t="s">
        <v>64</v>
      </c>
      <c r="D43" s="8" t="s">
        <v>66</v>
      </c>
      <c r="E43" s="9">
        <v>128.34</v>
      </c>
      <c r="F43" s="9">
        <v>0</v>
      </c>
      <c r="G43" s="10">
        <v>13260</v>
      </c>
      <c r="H43" s="10">
        <v>0</v>
      </c>
      <c r="I43" s="11">
        <f>IFERROR(G43/H43, 0)</f>
      </c>
      <c r="J43" s="10">
        <v>41.99</v>
      </c>
      <c r="K43" s="10">
        <v>17</v>
      </c>
      <c r="L43" s="10">
        <v>12516</v>
      </c>
      <c r="M43" s="12">
        <f>IFERROR(L43/K43, 0)</f>
      </c>
      <c r="N43" s="13">
        <f>IFERROR(J43/K43, 0)</f>
      </c>
      <c r="O43" s="10">
        <v>4577</v>
      </c>
      <c r="P43" s="10">
        <v>151880</v>
      </c>
      <c r="Q43" s="10">
        <v>0</v>
      </c>
      <c r="R43" s="11">
        <f>IFERROR(P43/Q43, 0)</f>
      </c>
      <c r="S43" s="10">
        <v>1358866</v>
      </c>
      <c r="T43" s="10">
        <v>0</v>
      </c>
      <c r="U43" s="11">
        <f>IFERROR(S43/T43, 0)</f>
      </c>
      <c r="V43" s="10">
        <f>IFERROR(S43/E43, 0)</f>
      </c>
      <c r="W43" s="10">
        <f>IFERROR(T43/F43, 0)</f>
      </c>
      <c r="X43" s="11">
        <f>IFERROR(V43/W43, 0)</f>
      </c>
    </row>
    <row r="44" spans="1:24" x14ac:dyDescent="0.25">
      <c r="A44" s="8" t="s">
        <v>22</v>
      </c>
      <c r="B44" s="8" t="s">
        <v>59</v>
      </c>
      <c r="C44" s="8" t="s">
        <v>24</v>
      </c>
      <c r="D44" s="8" t="s">
        <v>67</v>
      </c>
      <c r="E44" s="9">
        <v>2836</v>
      </c>
      <c r="F44" s="9">
        <v>2776.01</v>
      </c>
      <c r="G44" s="10">
        <v>62050</v>
      </c>
      <c r="H44" s="10">
        <v>84480.28111111111</v>
      </c>
      <c r="I44" s="11">
        <f>IFERROR(G44/H44, 0)</f>
      </c>
      <c r="J44" s="10">
        <v>144.05</v>
      </c>
      <c r="K44" s="10">
        <v>58</v>
      </c>
      <c r="L44" s="10">
        <v>41543</v>
      </c>
      <c r="M44" s="12">
        <f>IFERROR(L44/K44, 0)</f>
      </c>
      <c r="N44" s="13">
        <f>IFERROR(J44/K44, 0)</f>
      </c>
      <c r="O44" s="10">
        <v>27599</v>
      </c>
      <c r="P44" s="10">
        <v>727770</v>
      </c>
      <c r="Q44" s="10">
        <v>929283.0922222222</v>
      </c>
      <c r="R44" s="11">
        <f>IFERROR(P44/Q44, 0)</f>
      </c>
      <c r="S44" s="10">
        <v>6265417</v>
      </c>
      <c r="T44" s="10">
        <v>10281250.202222222</v>
      </c>
      <c r="U44" s="11">
        <f>IFERROR(S44/T44, 0)</f>
      </c>
      <c r="V44" s="10">
        <f>IFERROR(S44/E44, 0)</f>
      </c>
      <c r="W44" s="10">
        <f>IFERROR(T44/F44, 0)</f>
      </c>
      <c r="X44" s="11">
        <f>IFERROR(V44/W44, 0)</f>
      </c>
    </row>
    <row r="45" spans="1:24" x14ac:dyDescent="0.25">
      <c r="A45" s="8" t="s">
        <v>22</v>
      </c>
      <c r="B45" s="8" t="s">
        <v>59</v>
      </c>
      <c r="C45" s="8" t="s">
        <v>24</v>
      </c>
      <c r="D45" s="8" t="s">
        <v>68</v>
      </c>
      <c r="E45" s="9">
        <v>2835.75</v>
      </c>
      <c r="F45" s="9">
        <v>2776.01</v>
      </c>
      <c r="G45" s="10">
        <v>60375</v>
      </c>
      <c r="H45" s="10">
        <v>84472.83407407407</v>
      </c>
      <c r="I45" s="11">
        <f>IFERROR(G45/H45, 0)</f>
      </c>
      <c r="J45" s="10">
        <v>318.43</v>
      </c>
      <c r="K45" s="10">
        <v>52</v>
      </c>
      <c r="L45" s="10">
        <v>80537</v>
      </c>
      <c r="M45" s="12">
        <f>IFERROR(L45/K45, 0)</f>
      </c>
      <c r="N45" s="13">
        <f>IFERROR(J45/K45, 0)</f>
      </c>
      <c r="O45" s="10">
        <v>20162</v>
      </c>
      <c r="P45" s="10">
        <v>800822</v>
      </c>
      <c r="Q45" s="10">
        <v>929201.1748148148</v>
      </c>
      <c r="R45" s="11">
        <f>IFERROR(P45/Q45, 0)</f>
      </c>
      <c r="S45" s="10">
        <v>6223741</v>
      </c>
      <c r="T45" s="10">
        <v>10280343.894814815</v>
      </c>
      <c r="U45" s="11">
        <f>IFERROR(S45/T45, 0)</f>
      </c>
      <c r="V45" s="10">
        <f>IFERROR(S45/E45, 0)</f>
      </c>
      <c r="W45" s="10">
        <f>IFERROR(T45/F45, 0)</f>
      </c>
      <c r="X45" s="11">
        <f>IFERROR(V45/W45, 0)</f>
      </c>
    </row>
    <row r="46" spans="1:24" x14ac:dyDescent="0.25">
      <c r="A46" s="8" t="s">
        <v>22</v>
      </c>
      <c r="B46" s="8" t="s">
        <v>59</v>
      </c>
      <c r="C46" s="8" t="s">
        <v>24</v>
      </c>
      <c r="D46" s="8" t="s">
        <v>69</v>
      </c>
      <c r="E46" s="9">
        <v>1910.37</v>
      </c>
      <c r="F46" s="9">
        <v>1869.6</v>
      </c>
      <c r="G46" s="10">
        <v>12289</v>
      </c>
      <c r="H46" s="10">
        <v>56907.12074074074</v>
      </c>
      <c r="I46" s="11">
        <f>IFERROR(G46/H46, 0)</f>
      </c>
      <c r="J46" s="10">
        <v>53.76</v>
      </c>
      <c r="K46" s="10">
        <v>19</v>
      </c>
      <c r="L46" s="10">
        <v>12289</v>
      </c>
      <c r="M46" s="12">
        <f>IFERROR(L46/K46, 0)</f>
      </c>
      <c r="N46" s="13">
        <f>IFERROR(J46/K46, 0)</f>
      </c>
      <c r="O46" s="10">
        <v>0</v>
      </c>
      <c r="P46" s="10">
        <v>121829</v>
      </c>
      <c r="Q46" s="10">
        <v>625978.3281481481</v>
      </c>
      <c r="R46" s="11">
        <f>IFERROR(P46/Q46, 0)</f>
      </c>
      <c r="S46" s="10">
        <v>1186928</v>
      </c>
      <c r="T46" s="10">
        <v>6925596.608148148</v>
      </c>
      <c r="U46" s="11">
        <f>IFERROR(S46/T46, 0)</f>
      </c>
      <c r="V46" s="10">
        <f>IFERROR(S46/E46, 0)</f>
      </c>
      <c r="W46" s="10">
        <f>IFERROR(T46/F46, 0)</f>
      </c>
      <c r="X46" s="11">
        <f>IFERROR(V46/W46, 0)</f>
      </c>
    </row>
    <row r="47" spans="1:24" x14ac:dyDescent="0.25">
      <c r="A47" s="8" t="s">
        <v>22</v>
      </c>
      <c r="B47" s="8" t="s">
        <v>59</v>
      </c>
      <c r="C47" s="8" t="s">
        <v>24</v>
      </c>
      <c r="D47" s="8" t="s">
        <v>70</v>
      </c>
      <c r="E47" s="9">
        <v>9241.29</v>
      </c>
      <c r="F47" s="9">
        <v>9045.54</v>
      </c>
      <c r="G47" s="10">
        <v>89770</v>
      </c>
      <c r="H47" s="10">
        <v>279107.5374074074</v>
      </c>
      <c r="I47" s="11">
        <f>IFERROR(G47/H47, 0)</f>
      </c>
      <c r="J47" s="10">
        <v>793.24</v>
      </c>
      <c r="K47" s="10">
        <v>145</v>
      </c>
      <c r="L47" s="10">
        <v>133041</v>
      </c>
      <c r="M47" s="12">
        <f>IFERROR(L47/K47, 0)</f>
      </c>
      <c r="N47" s="13">
        <f>IFERROR(J47/K47, 0)</f>
      </c>
      <c r="O47" s="10">
        <v>45086</v>
      </c>
      <c r="P47" s="10">
        <v>1342390</v>
      </c>
      <c r="Q47" s="10">
        <v>3070182.9114814815</v>
      </c>
      <c r="R47" s="11">
        <f>IFERROR(P47/Q47, 0)</f>
      </c>
      <c r="S47" s="10">
        <v>11627766</v>
      </c>
      <c r="T47" s="10">
        <v>33967387.32148148</v>
      </c>
      <c r="U47" s="11">
        <f>IFERROR(S47/T47, 0)</f>
      </c>
      <c r="V47" s="10">
        <f>IFERROR(S47/E47, 0)</f>
      </c>
      <c r="W47" s="10">
        <f>IFERROR(T47/F47, 0)</f>
      </c>
      <c r="X47" s="11">
        <f>IFERROR(V47/W47, 0)</f>
      </c>
    </row>
    <row r="48" spans="1:24" x14ac:dyDescent="0.25">
      <c r="A48" s="8" t="s">
        <v>22</v>
      </c>
      <c r="B48" s="8" t="s">
        <v>59</v>
      </c>
      <c r="C48" s="8" t="s">
        <v>24</v>
      </c>
      <c r="D48" s="8" t="s">
        <v>71</v>
      </c>
      <c r="E48" s="9">
        <v>4873.86</v>
      </c>
      <c r="F48" s="9">
        <v>4770.91</v>
      </c>
      <c r="G48" s="10">
        <v>15913</v>
      </c>
      <c r="H48" s="10">
        <v>145185.14222222223</v>
      </c>
      <c r="I48" s="11">
        <f>IFERROR(G48/H48, 0)</f>
      </c>
      <c r="J48" s="10">
        <v>327.72</v>
      </c>
      <c r="K48" s="10">
        <v>68</v>
      </c>
      <c r="L48" s="10">
        <v>33709</v>
      </c>
      <c r="M48" s="12">
        <f>IFERROR(L48/K48, 0)</f>
      </c>
      <c r="N48" s="13">
        <f>IFERROR(J48/K48, 0)</f>
      </c>
      <c r="O48" s="10">
        <v>22397</v>
      </c>
      <c r="P48" s="10">
        <v>323028</v>
      </c>
      <c r="Q48" s="10">
        <v>1597036.5644444444</v>
      </c>
      <c r="R48" s="11">
        <f>IFERROR(P48/Q48, 0)</f>
      </c>
      <c r="S48" s="10">
        <v>3143255</v>
      </c>
      <c r="T48" s="10">
        <v>17669031.794444446</v>
      </c>
      <c r="U48" s="11">
        <f>IFERROR(S48/T48, 0)</f>
      </c>
      <c r="V48" s="10">
        <f>IFERROR(S48/E48, 0)</f>
      </c>
      <c r="W48" s="10">
        <f>IFERROR(T48/F48, 0)</f>
      </c>
      <c r="X48" s="11">
        <f>IFERROR(V48/W48, 0)</f>
      </c>
    </row>
    <row r="49" spans="1:24" x14ac:dyDescent="0.25">
      <c r="A49" s="8" t="s">
        <v>22</v>
      </c>
      <c r="B49" s="8" t="s">
        <v>59</v>
      </c>
      <c r="C49" s="8" t="s">
        <v>24</v>
      </c>
      <c r="D49" s="8" t="s">
        <v>72</v>
      </c>
      <c r="E49" s="9">
        <v>2783.48</v>
      </c>
      <c r="F49" s="9">
        <v>2454.23</v>
      </c>
      <c r="G49" s="10">
        <v>189150</v>
      </c>
      <c r="H49" s="10">
        <v>73399.57777777778</v>
      </c>
      <c r="I49" s="11">
        <f>IFERROR(G49/H49, 0)</f>
      </c>
      <c r="J49" s="10">
        <v>80.57</v>
      </c>
      <c r="K49" s="10">
        <v>52</v>
      </c>
      <c r="L49" s="10">
        <v>170072</v>
      </c>
      <c r="M49" s="12">
        <f>IFERROR(L49/K49, 0)</f>
      </c>
      <c r="N49" s="13">
        <f>IFERROR(J49/K49, 0)</f>
      </c>
      <c r="O49" s="10">
        <v>197707</v>
      </c>
      <c r="P49" s="10">
        <v>1732470</v>
      </c>
      <c r="Q49" s="10">
        <v>807395.3555555556</v>
      </c>
      <c r="R49" s="11">
        <f>IFERROR(P49/Q49, 0)</f>
      </c>
      <c r="S49" s="10">
        <v>19238076</v>
      </c>
      <c r="T49" s="10">
        <v>9151768.425555555</v>
      </c>
      <c r="U49" s="11">
        <f>IFERROR(S49/T49, 0)</f>
      </c>
      <c r="V49" s="10">
        <f>IFERROR(S49/E49, 0)</f>
      </c>
      <c r="W49" s="10">
        <f>IFERROR(T49/F49, 0)</f>
      </c>
      <c r="X49" s="11">
        <f>IFERROR(V49/W49, 0)</f>
      </c>
    </row>
    <row r="50" spans="1:24" x14ac:dyDescent="0.25">
      <c r="A50" s="14" t="s">
        <v>73</v>
      </c>
      <c r="B50" s="14"/>
      <c r="C50" s="14"/>
      <c r="D50" s="14"/>
      <c r="E50" s="15">
        <f>SUM(E40:E49)</f>
      </c>
      <c r="F50" s="15">
        <f>SUM(F40:F49)</f>
      </c>
      <c r="G50" s="16">
        <f>SUM(G40:G49)</f>
      </c>
      <c r="H50" s="16">
        <f>SUM(H40:H49)</f>
      </c>
      <c r="I50" s="17">
        <f>IFERROR(G50/H50, 0)</f>
      </c>
      <c r="J50" s="16">
        <f>SUM(J40:J49)</f>
      </c>
      <c r="K50" s="16">
        <f>SUM(K40:K49)</f>
      </c>
      <c r="L50" s="16">
        <f>SUM(L40:L49)</f>
      </c>
      <c r="M50" s="18">
        <f>IFERROR(L50/K50, 0)</f>
      </c>
      <c r="N50" s="19">
        <f>IFERROR(J50/K50, 0)</f>
      </c>
      <c r="O50" s="16">
        <f>SUM(O40:O49)</f>
      </c>
      <c r="P50" s="16">
        <f>SUM(P40:P49)</f>
      </c>
      <c r="Q50" s="16">
        <f>SUM(Q40:Q49)</f>
      </c>
      <c r="R50" s="17">
        <f>IFERROR(P50/Q50, 0)</f>
      </c>
      <c r="S50" s="16">
        <f>SUM(S40:S49)</f>
      </c>
      <c r="T50" s="16">
        <f>SUM(T40:T49)</f>
      </c>
      <c r="U50" s="17">
        <f>IFERROR(S50/T50, 0)</f>
      </c>
      <c r="V50" s="16">
        <f>IFERROR(S50/E50, 0)</f>
      </c>
      <c r="W50" s="16">
        <f>IFERROR(T50/F50, 0)</f>
      </c>
      <c r="X50" s="17">
        <f>IFERROR(V50/W50, 0)</f>
      </c>
    </row>
    <row r="51" spans="1:24" x14ac:dyDescent="0.25">
      <c r="A51" s="20" t="s">
        <v>74</v>
      </c>
      <c r="B51" s="20"/>
      <c r="C51" s="20"/>
      <c r="D51" s="20"/>
      <c r="E51" s="21">
        <f>SUM(E15,E39,E50)</f>
      </c>
      <c r="F51" s="21">
        <f>SUM(F15,F39,F50)</f>
      </c>
      <c r="G51" s="22">
        <f>SUM(G15,G39,G50)</f>
      </c>
      <c r="H51" s="22">
        <f>SUM(H15,H39,H50)</f>
      </c>
      <c r="I51" s="23">
        <f>IFERROR(G51/H51, 0)</f>
      </c>
      <c r="J51" s="22">
        <f>SUM(J15,J39,J50)</f>
      </c>
      <c r="K51" s="22">
        <f>SUM(K15,K39,K50)</f>
      </c>
      <c r="L51" s="22">
        <f>SUM(L15,L39,L50)</f>
      </c>
      <c r="M51" s="24">
        <f>IFERROR(L51/K51, 0)</f>
      </c>
      <c r="N51" s="25">
        <f>IFERROR(J51/K51, 0)</f>
      </c>
      <c r="O51" s="22">
        <f>SUM(O15,O39,O50)</f>
      </c>
      <c r="P51" s="22">
        <f>SUM(P15,P39,P50)</f>
      </c>
      <c r="Q51" s="22">
        <f>SUM(Q15,Q39,Q50)</f>
      </c>
      <c r="R51" s="23">
        <f>IFERROR(P51/Q51, 0)</f>
      </c>
      <c r="S51" s="22">
        <f>SUM(S15,S39,S50)</f>
      </c>
      <c r="T51" s="22">
        <f>SUM(T15,T39,T50)</f>
      </c>
      <c r="U51" s="23">
        <f>IFERROR(S51/T51, 0)</f>
      </c>
      <c r="V51" s="22">
        <f>IFERROR(S51/E51, 0)</f>
      </c>
      <c r="W51" s="22">
        <f>IFERROR(T51/F51, 0)</f>
      </c>
      <c r="X51" s="23">
        <f>IFERROR(V51/W51, 0)</f>
      </c>
    </row>
    <row r="52" spans="1:24" x14ac:dyDescent="0.25">
      <c r="A52" s="8" t="s">
        <v>75</v>
      </c>
      <c r="B52" s="8" t="s">
        <v>76</v>
      </c>
      <c r="C52" s="8" t="s">
        <v>60</v>
      </c>
      <c r="D52" s="8" t="s">
        <v>77</v>
      </c>
      <c r="E52" s="9">
        <v>3285.83</v>
      </c>
      <c r="F52" s="9">
        <v>3286</v>
      </c>
      <c r="G52" s="10">
        <v>279250</v>
      </c>
      <c r="H52" s="10">
        <v>184723.25925925927</v>
      </c>
      <c r="I52" s="11">
        <f>IFERROR(G52/H52, 0)</f>
      </c>
      <c r="J52" s="10">
        <v>632.59</v>
      </c>
      <c r="K52" s="10">
        <v>156.7</v>
      </c>
      <c r="L52" s="10">
        <v>279250</v>
      </c>
      <c r="M52" s="12">
        <f>IFERROR(L52/K52, 0)</f>
      </c>
      <c r="N52" s="13">
        <f>IFERROR(J52/K52, 0)</f>
      </c>
      <c r="O52" s="10">
        <v>0</v>
      </c>
      <c r="P52" s="10">
        <v>2583700</v>
      </c>
      <c r="Q52" s="10">
        <v>2031955.851851852</v>
      </c>
      <c r="R52" s="11">
        <f>IFERROR(P52/Q52, 0)</f>
      </c>
      <c r="S52" s="10">
        <v>34955980</v>
      </c>
      <c r="T52" s="10">
        <v>30571987.85185185</v>
      </c>
      <c r="U52" s="11">
        <f>IFERROR(S52/T52, 0)</f>
      </c>
      <c r="V52" s="10">
        <f>IFERROR(S52/E52, 0)</f>
      </c>
      <c r="W52" s="10">
        <f>IFERROR(T52/F52, 0)</f>
      </c>
      <c r="X52" s="11">
        <f>IFERROR(V52/W52, 0)</f>
      </c>
    </row>
    <row r="53" spans="1:24" x14ac:dyDescent="0.25">
      <c r="A53" s="8" t="s">
        <v>75</v>
      </c>
      <c r="B53" s="8" t="s">
        <v>76</v>
      </c>
      <c r="C53" s="8" t="s">
        <v>60</v>
      </c>
      <c r="D53" s="8" t="s">
        <v>78</v>
      </c>
      <c r="E53" s="9">
        <v>3452.19</v>
      </c>
      <c r="F53" s="9">
        <v>3452</v>
      </c>
      <c r="G53" s="10">
        <v>326920</v>
      </c>
      <c r="H53" s="10">
        <v>224138.8148148148</v>
      </c>
      <c r="I53" s="11">
        <f>IFERROR(G53/H53, 0)</f>
      </c>
      <c r="J53" s="10">
        <v>697.2</v>
      </c>
      <c r="K53" s="10">
        <v>166</v>
      </c>
      <c r="L53" s="10">
        <v>326920</v>
      </c>
      <c r="M53" s="12">
        <f>IFERROR(L53/K53, 0)</f>
      </c>
      <c r="N53" s="13">
        <f>IFERROR(J53/K53, 0)</f>
      </c>
      <c r="O53" s="10">
        <v>0</v>
      </c>
      <c r="P53" s="10">
        <v>3058120</v>
      </c>
      <c r="Q53" s="10">
        <v>2465526.962962963</v>
      </c>
      <c r="R53" s="11">
        <f>IFERROR(P53/Q53, 0)</f>
      </c>
      <c r="S53" s="10">
        <v>38320240</v>
      </c>
      <c r="T53" s="10">
        <v>36113779.96296296</v>
      </c>
      <c r="U53" s="11">
        <f>IFERROR(S53/T53, 0)</f>
      </c>
      <c r="V53" s="10">
        <f>IFERROR(S53/E53, 0)</f>
      </c>
      <c r="W53" s="10">
        <f>IFERROR(T53/F53, 0)</f>
      </c>
      <c r="X53" s="11">
        <f>IFERROR(V53/W53, 0)</f>
      </c>
    </row>
    <row r="54" spans="1:24" x14ac:dyDescent="0.25">
      <c r="A54" s="8" t="s">
        <v>75</v>
      </c>
      <c r="B54" s="8" t="s">
        <v>76</v>
      </c>
      <c r="C54" s="8" t="s">
        <v>60</v>
      </c>
      <c r="D54" s="8" t="s">
        <v>79</v>
      </c>
      <c r="E54" s="9">
        <v>2463.89</v>
      </c>
      <c r="F54" s="9">
        <v>2464</v>
      </c>
      <c r="G54" s="10">
        <v>186490</v>
      </c>
      <c r="H54" s="10">
        <v>124581.37037037036</v>
      </c>
      <c r="I54" s="11">
        <f>IFERROR(G54/H54, 0)</f>
      </c>
      <c r="J54" s="10">
        <v>472.7</v>
      </c>
      <c r="K54" s="10">
        <v>105.5</v>
      </c>
      <c r="L54" s="10">
        <v>186490</v>
      </c>
      <c r="M54" s="12">
        <f>IFERROR(L54/K54, 0)</f>
      </c>
      <c r="N54" s="13">
        <f>IFERROR(J54/K54, 0)</f>
      </c>
      <c r="O54" s="10">
        <v>0</v>
      </c>
      <c r="P54" s="10">
        <v>1914760</v>
      </c>
      <c r="Q54" s="10">
        <v>1370395.0740740742</v>
      </c>
      <c r="R54" s="11">
        <f>IFERROR(P54/Q54, 0)</f>
      </c>
      <c r="S54" s="10">
        <v>24565980</v>
      </c>
      <c r="T54" s="10">
        <v>20391559.074074075</v>
      </c>
      <c r="U54" s="11">
        <f>IFERROR(S54/T54, 0)</f>
      </c>
      <c r="V54" s="10">
        <f>IFERROR(S54/E54, 0)</f>
      </c>
      <c r="W54" s="10">
        <f>IFERROR(T54/F54, 0)</f>
      </c>
      <c r="X54" s="11">
        <f>IFERROR(V54/W54, 0)</f>
      </c>
    </row>
    <row r="55" spans="1:24" x14ac:dyDescent="0.25">
      <c r="A55" s="8" t="s">
        <v>75</v>
      </c>
      <c r="B55" s="8" t="s">
        <v>76</v>
      </c>
      <c r="C55" s="8" t="s">
        <v>60</v>
      </c>
      <c r="D55" s="8" t="s">
        <v>80</v>
      </c>
      <c r="E55" s="9">
        <v>250.49</v>
      </c>
      <c r="F55" s="9">
        <v>250</v>
      </c>
      <c r="G55" s="10">
        <v>11390</v>
      </c>
      <c r="H55" s="10">
        <v>11039.37037037037</v>
      </c>
      <c r="I55" s="11">
        <f>IFERROR(G55/H55, 0)</f>
      </c>
      <c r="J55" s="10">
        <v>42.63</v>
      </c>
      <c r="K55" s="10">
        <v>7</v>
      </c>
      <c r="L55" s="10">
        <v>11390</v>
      </c>
      <c r="M55" s="12">
        <f>IFERROR(L55/K55, 0)</f>
      </c>
      <c r="N55" s="13">
        <f>IFERROR(J55/K55, 0)</f>
      </c>
      <c r="O55" s="10">
        <v>63892</v>
      </c>
      <c r="P55" s="10">
        <v>64488</v>
      </c>
      <c r="Q55" s="10">
        <v>121433.07407407407</v>
      </c>
      <c r="R55" s="11">
        <f>IFERROR(P55/Q55, 0)</f>
      </c>
      <c r="S55" s="10">
        <v>1154388</v>
      </c>
      <c r="T55" s="10">
        <v>1373298.0740740742</v>
      </c>
      <c r="U55" s="11">
        <f>IFERROR(S55/T55, 0)</f>
      </c>
      <c r="V55" s="10">
        <f>IFERROR(S55/E55, 0)</f>
      </c>
      <c r="W55" s="10">
        <f>IFERROR(T55/F55, 0)</f>
      </c>
      <c r="X55" s="11">
        <f>IFERROR(V55/W55, 0)</f>
      </c>
    </row>
    <row r="56" spans="1:24" x14ac:dyDescent="0.25">
      <c r="A56" s="8" t="s">
        <v>75</v>
      </c>
      <c r="B56" s="8" t="s">
        <v>76</v>
      </c>
      <c r="C56" s="8" t="s">
        <v>60</v>
      </c>
      <c r="D56" s="8" t="s">
        <v>81</v>
      </c>
      <c r="E56" s="9">
        <v>5279.61</v>
      </c>
      <c r="F56" s="9">
        <v>5279</v>
      </c>
      <c r="G56" s="10">
        <v>401220</v>
      </c>
      <c r="H56" s="10">
        <v>355361.74074074073</v>
      </c>
      <c r="I56" s="11">
        <f>IFERROR(G56/H56, 0)</f>
      </c>
      <c r="J56" s="10">
        <v>956.87</v>
      </c>
      <c r="K56" s="10">
        <v>253</v>
      </c>
      <c r="L56" s="10">
        <v>466940</v>
      </c>
      <c r="M56" s="12">
        <f>IFERROR(L56/K56, 0)</f>
      </c>
      <c r="N56" s="13">
        <f>IFERROR(J56/K56, 0)</f>
      </c>
      <c r="O56" s="10">
        <v>428190</v>
      </c>
      <c r="P56" s="10">
        <v>4405710</v>
      </c>
      <c r="Q56" s="10">
        <v>3908979.1481481483</v>
      </c>
      <c r="R56" s="11">
        <f>IFERROR(P56/Q56, 0)</f>
      </c>
      <c r="S56" s="10">
        <v>57312500</v>
      </c>
      <c r="T56" s="10">
        <v>53908436.14814815</v>
      </c>
      <c r="U56" s="11">
        <f>IFERROR(S56/T56, 0)</f>
      </c>
      <c r="V56" s="10">
        <f>IFERROR(S56/E56, 0)</f>
      </c>
      <c r="W56" s="10">
        <f>IFERROR(T56/F56, 0)</f>
      </c>
      <c r="X56" s="11">
        <f>IFERROR(V56/W56, 0)</f>
      </c>
    </row>
    <row r="57" spans="1:24" x14ac:dyDescent="0.25">
      <c r="A57" s="8" t="s">
        <v>75</v>
      </c>
      <c r="B57" s="8" t="s">
        <v>76</v>
      </c>
      <c r="C57" s="8" t="s">
        <v>60</v>
      </c>
      <c r="D57" s="8" t="s">
        <v>82</v>
      </c>
      <c r="E57" s="9">
        <v>1468.74</v>
      </c>
      <c r="F57" s="9">
        <v>1469</v>
      </c>
      <c r="G57" s="10">
        <v>0</v>
      </c>
      <c r="H57" s="10">
        <v>105763.37037037036</v>
      </c>
      <c r="I57" s="11">
        <f>IFERROR(G57/H57, 0)</f>
      </c>
      <c r="J57" s="10">
        <v>0</v>
      </c>
      <c r="K57" s="10">
        <v>0</v>
      </c>
      <c r="L57" s="10">
        <v>0</v>
      </c>
      <c r="M57" s="12">
        <f>IFERROR(L57/K57, 0)</f>
      </c>
      <c r="N57" s="13">
        <f>IFERROR(J57/K57, 0)</f>
      </c>
      <c r="O57" s="10">
        <v>0</v>
      </c>
      <c r="P57" s="10">
        <v>709061</v>
      </c>
      <c r="Q57" s="10">
        <v>1163397.0740740742</v>
      </c>
      <c r="R57" s="11">
        <f>IFERROR(P57/Q57, 0)</f>
      </c>
      <c r="S57" s="10">
        <v>10942911</v>
      </c>
      <c r="T57" s="10">
        <v>13156934.074074075</v>
      </c>
      <c r="U57" s="11">
        <f>IFERROR(S57/T57, 0)</f>
      </c>
      <c r="V57" s="10">
        <f>IFERROR(S57/E57, 0)</f>
      </c>
      <c r="W57" s="10">
        <f>IFERROR(T57/F57, 0)</f>
      </c>
      <c r="X57" s="11">
        <f>IFERROR(V57/W57, 0)</f>
      </c>
    </row>
    <row r="58" spans="1:24" x14ac:dyDescent="0.25">
      <c r="A58" s="8" t="s">
        <v>75</v>
      </c>
      <c r="B58" s="8" t="s">
        <v>76</v>
      </c>
      <c r="C58" s="8" t="s">
        <v>60</v>
      </c>
      <c r="D58" s="8" t="s">
        <v>83</v>
      </c>
      <c r="E58" s="9">
        <v>946.23</v>
      </c>
      <c r="F58" s="9">
        <v>946</v>
      </c>
      <c r="G58" s="10">
        <v>48580</v>
      </c>
      <c r="H58" s="10">
        <v>38395.81481481482</v>
      </c>
      <c r="I58" s="11">
        <f>IFERROR(G58/H58, 0)</f>
      </c>
      <c r="J58" s="10">
        <v>147.88</v>
      </c>
      <c r="K58" s="10">
        <v>40</v>
      </c>
      <c r="L58" s="10">
        <v>60600</v>
      </c>
      <c r="M58" s="12">
        <f>IFERROR(L58/K58, 0)</f>
      </c>
      <c r="N58" s="13">
        <f>IFERROR(J58/K58, 0)</f>
      </c>
      <c r="O58" s="10">
        <v>12020</v>
      </c>
      <c r="P58" s="10">
        <v>566930</v>
      </c>
      <c r="Q58" s="10">
        <v>422353.962962963</v>
      </c>
      <c r="R58" s="11">
        <f>IFERROR(P58/Q58, 0)</f>
      </c>
      <c r="S58" s="10">
        <v>6714440</v>
      </c>
      <c r="T58" s="10">
        <v>5789159.962962963</v>
      </c>
      <c r="U58" s="11">
        <f>IFERROR(S58/T58, 0)</f>
      </c>
      <c r="V58" s="10">
        <f>IFERROR(S58/E58, 0)</f>
      </c>
      <c r="W58" s="10">
        <f>IFERROR(T58/F58, 0)</f>
      </c>
      <c r="X58" s="11">
        <f>IFERROR(V58/W58, 0)</f>
      </c>
    </row>
    <row r="59" spans="1:24" x14ac:dyDescent="0.25">
      <c r="A59" s="8" t="s">
        <v>75</v>
      </c>
      <c r="B59" s="8" t="s">
        <v>76</v>
      </c>
      <c r="C59" s="8" t="s">
        <v>62</v>
      </c>
      <c r="D59" s="8" t="s">
        <v>84</v>
      </c>
      <c r="E59" s="9">
        <v>4157.86</v>
      </c>
      <c r="F59" s="9">
        <v>4158</v>
      </c>
      <c r="G59" s="10">
        <v>274460</v>
      </c>
      <c r="H59" s="10">
        <v>249565.25925925927</v>
      </c>
      <c r="I59" s="11">
        <f>IFERROR(G59/H59, 0)</f>
      </c>
      <c r="J59" s="10">
        <v>747</v>
      </c>
      <c r="K59" s="10">
        <v>163.5</v>
      </c>
      <c r="L59" s="10">
        <v>274460</v>
      </c>
      <c r="M59" s="12">
        <f>IFERROR(L59/K59, 0)</f>
      </c>
      <c r="N59" s="13">
        <f>IFERROR(J59/K59, 0)</f>
      </c>
      <c r="O59" s="10">
        <v>0</v>
      </c>
      <c r="P59" s="10">
        <v>2896390</v>
      </c>
      <c r="Q59" s="10">
        <v>2745217.8518518517</v>
      </c>
      <c r="R59" s="11">
        <f>IFERROR(P59/Q59, 0)</f>
      </c>
      <c r="S59" s="10">
        <v>37416380</v>
      </c>
      <c r="T59" s="10">
        <v>38561206.85185185</v>
      </c>
      <c r="U59" s="11">
        <f>IFERROR(S59/T59, 0)</f>
      </c>
      <c r="V59" s="10">
        <f>IFERROR(S59/E59, 0)</f>
      </c>
      <c r="W59" s="10">
        <f>IFERROR(T59/F59, 0)</f>
      </c>
      <c r="X59" s="11">
        <f>IFERROR(V59/W59, 0)</f>
      </c>
    </row>
    <row r="60" spans="1:24" x14ac:dyDescent="0.25">
      <c r="A60" s="8" t="s">
        <v>75</v>
      </c>
      <c r="B60" s="8" t="s">
        <v>76</v>
      </c>
      <c r="C60" s="8" t="s">
        <v>62</v>
      </c>
      <c r="D60" s="8" t="s">
        <v>85</v>
      </c>
      <c r="E60" s="9">
        <v>3014.12</v>
      </c>
      <c r="F60" s="9">
        <v>3014</v>
      </c>
      <c r="G60" s="10">
        <v>162870</v>
      </c>
      <c r="H60" s="10">
        <v>160181.40740740742</v>
      </c>
      <c r="I60" s="11">
        <f>IFERROR(G60/H60, 0)</f>
      </c>
      <c r="J60" s="10">
        <v>593.29</v>
      </c>
      <c r="K60" s="10">
        <v>116</v>
      </c>
      <c r="L60" s="10">
        <v>162870</v>
      </c>
      <c r="M60" s="12">
        <f>IFERROR(L60/K60, 0)</f>
      </c>
      <c r="N60" s="13">
        <f>IFERROR(J60/K60, 0)</f>
      </c>
      <c r="O60" s="10">
        <v>0</v>
      </c>
      <c r="P60" s="10">
        <v>1579560</v>
      </c>
      <c r="Q60" s="10">
        <v>1761995.4814814816</v>
      </c>
      <c r="R60" s="11">
        <f>IFERROR(P60/Q60, 0)</f>
      </c>
      <c r="S60" s="10">
        <v>20248660</v>
      </c>
      <c r="T60" s="10">
        <v>23440222.48148148</v>
      </c>
      <c r="U60" s="11">
        <f>IFERROR(S60/T60, 0)</f>
      </c>
      <c r="V60" s="10">
        <f>IFERROR(S60/E60, 0)</f>
      </c>
      <c r="W60" s="10">
        <f>IFERROR(T60/F60, 0)</f>
      </c>
      <c r="X60" s="11">
        <f>IFERROR(V60/W60, 0)</f>
      </c>
    </row>
    <row r="61" spans="1:24" x14ac:dyDescent="0.25">
      <c r="A61" s="8" t="s">
        <v>75</v>
      </c>
      <c r="B61" s="8" t="s">
        <v>76</v>
      </c>
      <c r="C61" s="8" t="s">
        <v>62</v>
      </c>
      <c r="D61" s="8" t="s">
        <v>86</v>
      </c>
      <c r="E61" s="9">
        <v>4522.19</v>
      </c>
      <c r="F61" s="9">
        <v>4522</v>
      </c>
      <c r="G61" s="10">
        <v>274690</v>
      </c>
      <c r="H61" s="10">
        <v>265191.8888888889</v>
      </c>
      <c r="I61" s="11">
        <f>IFERROR(G61/H61, 0)</f>
      </c>
      <c r="J61" s="10">
        <v>867.74</v>
      </c>
      <c r="K61" s="10">
        <v>150</v>
      </c>
      <c r="L61" s="10">
        <v>274690</v>
      </c>
      <c r="M61" s="12">
        <f>IFERROR(L61/K61, 0)</f>
      </c>
      <c r="N61" s="13">
        <f>IFERROR(J61/K61, 0)</f>
      </c>
      <c r="O61" s="10">
        <v>0</v>
      </c>
      <c r="P61" s="10">
        <v>2789940</v>
      </c>
      <c r="Q61" s="10">
        <v>2917110.777777778</v>
      </c>
      <c r="R61" s="11">
        <f>IFERROR(P61/Q61, 0)</f>
      </c>
      <c r="S61" s="10">
        <v>37887640</v>
      </c>
      <c r="T61" s="10">
        <v>40360020.777777776</v>
      </c>
      <c r="U61" s="11">
        <f>IFERROR(S61/T61, 0)</f>
      </c>
      <c r="V61" s="10">
        <f>IFERROR(S61/E61, 0)</f>
      </c>
      <c r="W61" s="10">
        <f>IFERROR(T61/F61, 0)</f>
      </c>
      <c r="X61" s="11">
        <f>IFERROR(V61/W61, 0)</f>
      </c>
    </row>
    <row r="62" spans="1:24" x14ac:dyDescent="0.25">
      <c r="A62" s="8" t="s">
        <v>75</v>
      </c>
      <c r="B62" s="8" t="s">
        <v>76</v>
      </c>
      <c r="C62" s="8" t="s">
        <v>62</v>
      </c>
      <c r="D62" s="8" t="s">
        <v>87</v>
      </c>
      <c r="E62" s="9">
        <v>2268.19</v>
      </c>
      <c r="F62" s="9">
        <v>2268</v>
      </c>
      <c r="G62" s="10">
        <v>136960</v>
      </c>
      <c r="H62" s="10">
        <v>117811</v>
      </c>
      <c r="I62" s="11">
        <f>IFERROR(G62/H62, 0)</f>
      </c>
      <c r="J62" s="10">
        <v>596.34</v>
      </c>
      <c r="K62" s="10">
        <v>82.8</v>
      </c>
      <c r="L62" s="10">
        <v>136960</v>
      </c>
      <c r="M62" s="12">
        <f>IFERROR(L62/K62, 0)</f>
      </c>
      <c r="N62" s="13">
        <f>IFERROR(J62/K62, 0)</f>
      </c>
      <c r="O62" s="10">
        <v>0</v>
      </c>
      <c r="P62" s="10">
        <v>1363960</v>
      </c>
      <c r="Q62" s="10">
        <v>1295921</v>
      </c>
      <c r="R62" s="11">
        <f>IFERROR(P62/Q62, 0)</f>
      </c>
      <c r="S62" s="10">
        <v>17073870</v>
      </c>
      <c r="T62" s="10">
        <v>18997731</v>
      </c>
      <c r="U62" s="11">
        <f>IFERROR(S62/T62, 0)</f>
      </c>
      <c r="V62" s="10">
        <f>IFERROR(S62/E62, 0)</f>
      </c>
      <c r="W62" s="10">
        <f>IFERROR(T62/F62, 0)</f>
      </c>
      <c r="X62" s="11">
        <f>IFERROR(V62/W62, 0)</f>
      </c>
    </row>
    <row r="63" spans="1:24" x14ac:dyDescent="0.25">
      <c r="A63" s="8" t="s">
        <v>75</v>
      </c>
      <c r="B63" s="8" t="s">
        <v>76</v>
      </c>
      <c r="C63" s="8" t="s">
        <v>62</v>
      </c>
      <c r="D63" s="8" t="s">
        <v>88</v>
      </c>
      <c r="E63" s="9">
        <v>3626.12</v>
      </c>
      <c r="F63" s="9">
        <v>3626</v>
      </c>
      <c r="G63" s="10">
        <v>222700</v>
      </c>
      <c r="H63" s="10">
        <v>239616.22222222222</v>
      </c>
      <c r="I63" s="11">
        <f>IFERROR(G63/H63, 0)</f>
      </c>
      <c r="J63" s="10">
        <v>630.16</v>
      </c>
      <c r="K63" s="10">
        <v>160.4</v>
      </c>
      <c r="L63" s="10">
        <v>232360</v>
      </c>
      <c r="M63" s="12">
        <f>IFERROR(L63/K63, 0)</f>
      </c>
      <c r="N63" s="13">
        <f>IFERROR(J63/K63, 0)</f>
      </c>
      <c r="O63" s="10">
        <v>9660</v>
      </c>
      <c r="P63" s="10">
        <v>2451070</v>
      </c>
      <c r="Q63" s="10">
        <v>2635778.4444444445</v>
      </c>
      <c r="R63" s="11">
        <f>IFERROR(P63/Q63, 0)</f>
      </c>
      <c r="S63" s="10">
        <v>26498650</v>
      </c>
      <c r="T63" s="10">
        <v>37563003.44444445</v>
      </c>
      <c r="U63" s="11">
        <f>IFERROR(S63/T63, 0)</f>
      </c>
      <c r="V63" s="10">
        <f>IFERROR(S63/E63, 0)</f>
      </c>
      <c r="W63" s="10">
        <f>IFERROR(T63/F63, 0)</f>
      </c>
      <c r="X63" s="11">
        <f>IFERROR(V63/W63, 0)</f>
      </c>
    </row>
    <row r="64" spans="1:24" x14ac:dyDescent="0.25">
      <c r="A64" s="8" t="s">
        <v>75</v>
      </c>
      <c r="B64" s="8" t="s">
        <v>76</v>
      </c>
      <c r="C64" s="8" t="s">
        <v>64</v>
      </c>
      <c r="D64" s="8" t="s">
        <v>89</v>
      </c>
      <c r="E64" s="9">
        <v>3839.43</v>
      </c>
      <c r="F64" s="9">
        <v>3839</v>
      </c>
      <c r="G64" s="10">
        <v>0</v>
      </c>
      <c r="H64" s="10">
        <v>229973.62962962964</v>
      </c>
      <c r="I64" s="11">
        <f>IFERROR(G64/H64, 0)</f>
      </c>
      <c r="J64" s="10">
        <v>0</v>
      </c>
      <c r="K64" s="10">
        <v>0</v>
      </c>
      <c r="L64" s="10">
        <v>0</v>
      </c>
      <c r="M64" s="12">
        <f>IFERROR(L64/K64, 0)</f>
      </c>
      <c r="N64" s="13">
        <f>IFERROR(J64/K64, 0)</f>
      </c>
      <c r="O64" s="10">
        <v>0</v>
      </c>
      <c r="P64" s="10">
        <v>2942990</v>
      </c>
      <c r="Q64" s="10">
        <v>2529709.925925926</v>
      </c>
      <c r="R64" s="11">
        <f>IFERROR(P64/Q64, 0)</f>
      </c>
      <c r="S64" s="10">
        <v>34183020</v>
      </c>
      <c r="T64" s="10">
        <v>36272271.925925925</v>
      </c>
      <c r="U64" s="11">
        <f>IFERROR(S64/T64, 0)</f>
      </c>
      <c r="V64" s="10">
        <f>IFERROR(S64/E64, 0)</f>
      </c>
      <c r="W64" s="10">
        <f>IFERROR(T64/F64, 0)</f>
      </c>
      <c r="X64" s="11">
        <f>IFERROR(V64/W64, 0)</f>
      </c>
    </row>
    <row r="65" spans="1:24" x14ac:dyDescent="0.25">
      <c r="A65" s="8" t="s">
        <v>75</v>
      </c>
      <c r="B65" s="8" t="s">
        <v>76</v>
      </c>
      <c r="C65" s="8" t="s">
        <v>64</v>
      </c>
      <c r="D65" s="8" t="s">
        <v>90</v>
      </c>
      <c r="E65" s="9">
        <v>4579.57</v>
      </c>
      <c r="F65" s="9">
        <v>4580</v>
      </c>
      <c r="G65" s="10">
        <v>0</v>
      </c>
      <c r="H65" s="10">
        <v>310929.6296296296</v>
      </c>
      <c r="I65" s="11">
        <f>IFERROR(G65/H65, 0)</f>
      </c>
      <c r="J65" s="10">
        <v>0</v>
      </c>
      <c r="K65" s="10">
        <v>0</v>
      </c>
      <c r="L65" s="10">
        <v>0</v>
      </c>
      <c r="M65" s="12">
        <f>IFERROR(L65/K65, 0)</f>
      </c>
      <c r="N65" s="13">
        <f>IFERROR(J65/K65, 0)</f>
      </c>
      <c r="O65" s="10">
        <v>0</v>
      </c>
      <c r="P65" s="10">
        <v>4081400</v>
      </c>
      <c r="Q65" s="10">
        <v>3420225.925925926</v>
      </c>
      <c r="R65" s="11">
        <f>IFERROR(P65/Q65, 0)</f>
      </c>
      <c r="S65" s="10">
        <v>50995030</v>
      </c>
      <c r="T65" s="10">
        <v>45311795.925925925</v>
      </c>
      <c r="U65" s="11">
        <f>IFERROR(S65/T65, 0)</f>
      </c>
      <c r="V65" s="10">
        <f>IFERROR(S65/E65, 0)</f>
      </c>
      <c r="W65" s="10">
        <f>IFERROR(T65/F65, 0)</f>
      </c>
      <c r="X65" s="11">
        <f>IFERROR(V65/W65, 0)</f>
      </c>
    </row>
    <row r="66" spans="1:24" x14ac:dyDescent="0.25">
      <c r="A66" s="8" t="s">
        <v>75</v>
      </c>
      <c r="B66" s="8" t="s">
        <v>76</v>
      </c>
      <c r="C66" s="8" t="s">
        <v>64</v>
      </c>
      <c r="D66" s="8" t="s">
        <v>91</v>
      </c>
      <c r="E66" s="9">
        <v>2041.21</v>
      </c>
      <c r="F66" s="9">
        <v>3172</v>
      </c>
      <c r="G66" s="10">
        <v>60830</v>
      </c>
      <c r="H66" s="10">
        <v>106567.66666666667</v>
      </c>
      <c r="I66" s="11">
        <f>IFERROR(G66/H66, 0)</f>
      </c>
      <c r="J66" s="10">
        <v>285.49</v>
      </c>
      <c r="K66" s="10">
        <v>82.4</v>
      </c>
      <c r="L66" s="10">
        <v>97880</v>
      </c>
      <c r="M66" s="12">
        <f>IFERROR(L66/K66, 0)</f>
      </c>
      <c r="N66" s="13">
        <f>IFERROR(J66/K66, 0)</f>
      </c>
      <c r="O66" s="10">
        <v>107710</v>
      </c>
      <c r="P66" s="10">
        <v>1004150</v>
      </c>
      <c r="Q66" s="10">
        <v>1172244.3333333333</v>
      </c>
      <c r="R66" s="11">
        <f>IFERROR(P66/Q66, 0)</f>
      </c>
      <c r="S66" s="10">
        <v>11368540</v>
      </c>
      <c r="T66" s="10">
        <v>17016489.333333332</v>
      </c>
      <c r="U66" s="11">
        <f>IFERROR(S66/T66, 0)</f>
      </c>
      <c r="V66" s="10">
        <f>IFERROR(S66/E66, 0)</f>
      </c>
      <c r="W66" s="10">
        <f>IFERROR(T66/F66, 0)</f>
      </c>
      <c r="X66" s="11">
        <f>IFERROR(V66/W66, 0)</f>
      </c>
    </row>
    <row r="67" spans="1:24" x14ac:dyDescent="0.25">
      <c r="A67" s="8" t="s">
        <v>75</v>
      </c>
      <c r="B67" s="8" t="s">
        <v>76</v>
      </c>
      <c r="C67" s="8" t="s">
        <v>92</v>
      </c>
      <c r="D67" s="8" t="s">
        <v>93</v>
      </c>
      <c r="E67" s="9">
        <v>4724.66</v>
      </c>
      <c r="F67" s="9">
        <v>4725</v>
      </c>
      <c r="G67" s="10">
        <v>392560</v>
      </c>
      <c r="H67" s="10">
        <v>346151.77777777775</v>
      </c>
      <c r="I67" s="11">
        <f>IFERROR(G67/H67, 0)</f>
      </c>
      <c r="J67" s="10">
        <v>871.15</v>
      </c>
      <c r="K67" s="10">
        <v>178</v>
      </c>
      <c r="L67" s="10">
        <v>429940</v>
      </c>
      <c r="M67" s="12">
        <f>IFERROR(L67/K67, 0)</f>
      </c>
      <c r="N67" s="13">
        <f>IFERROR(J67/K67, 0)</f>
      </c>
      <c r="O67" s="10">
        <v>37380</v>
      </c>
      <c r="P67" s="10">
        <v>4855070</v>
      </c>
      <c r="Q67" s="10">
        <v>3807669.5555555555</v>
      </c>
      <c r="R67" s="11">
        <f>IFERROR(P67/Q67, 0)</f>
      </c>
      <c r="S67" s="10">
        <v>51191840</v>
      </c>
      <c r="T67" s="10">
        <v>56308559.55555555</v>
      </c>
      <c r="U67" s="11">
        <f>IFERROR(S67/T67, 0)</f>
      </c>
      <c r="V67" s="10">
        <f>IFERROR(S67/E67, 0)</f>
      </c>
      <c r="W67" s="10">
        <f>IFERROR(T67/F67, 0)</f>
      </c>
      <c r="X67" s="11">
        <f>IFERROR(V67/W67, 0)</f>
      </c>
    </row>
    <row r="68" spans="1:24" x14ac:dyDescent="0.25">
      <c r="A68" s="8" t="s">
        <v>75</v>
      </c>
      <c r="B68" s="8" t="s">
        <v>76</v>
      </c>
      <c r="C68" s="8" t="s">
        <v>92</v>
      </c>
      <c r="D68" s="8" t="s">
        <v>94</v>
      </c>
      <c r="E68" s="9">
        <v>4648.22</v>
      </c>
      <c r="F68" s="9">
        <v>5114</v>
      </c>
      <c r="G68" s="10">
        <v>0</v>
      </c>
      <c r="H68" s="10">
        <v>226057.40740740742</v>
      </c>
      <c r="I68" s="11">
        <f>IFERROR(G68/H68, 0)</f>
      </c>
      <c r="J68" s="10">
        <v>0</v>
      </c>
      <c r="K68" s="10">
        <v>0</v>
      </c>
      <c r="L68" s="10">
        <v>0</v>
      </c>
      <c r="M68" s="12">
        <f>IFERROR(L68/K68, 0)</f>
      </c>
      <c r="N68" s="13">
        <f>IFERROR(J68/K68, 0)</f>
      </c>
      <c r="O68" s="10">
        <v>0</v>
      </c>
      <c r="P68" s="10">
        <v>3529520</v>
      </c>
      <c r="Q68" s="10">
        <v>2486631.4814814813</v>
      </c>
      <c r="R68" s="11">
        <f>IFERROR(P68/Q68, 0)</f>
      </c>
      <c r="S68" s="10">
        <v>38632980</v>
      </c>
      <c r="T68" s="10">
        <v>32173361.48148148</v>
      </c>
      <c r="U68" s="11">
        <f>IFERROR(S68/T68, 0)</f>
      </c>
      <c r="V68" s="10">
        <f>IFERROR(S68/E68, 0)</f>
      </c>
      <c r="W68" s="10">
        <f>IFERROR(T68/F68, 0)</f>
      </c>
      <c r="X68" s="11">
        <f>IFERROR(V68/W68, 0)</f>
      </c>
    </row>
    <row r="69" spans="1:24" x14ac:dyDescent="0.25">
      <c r="A69" s="8" t="s">
        <v>75</v>
      </c>
      <c r="B69" s="8" t="s">
        <v>76</v>
      </c>
      <c r="C69" s="8" t="s">
        <v>92</v>
      </c>
      <c r="D69" s="8" t="s">
        <v>95</v>
      </c>
      <c r="E69" s="9">
        <v>2420.65</v>
      </c>
      <c r="F69" s="9">
        <v>2421</v>
      </c>
      <c r="G69" s="10">
        <v>114290</v>
      </c>
      <c r="H69" s="10">
        <v>147057.40740740742</v>
      </c>
      <c r="I69" s="11">
        <f>IFERROR(G69/H69, 0)</f>
      </c>
      <c r="J69" s="10">
        <v>456.78</v>
      </c>
      <c r="K69" s="10">
        <v>97.8</v>
      </c>
      <c r="L69" s="10">
        <v>166420</v>
      </c>
      <c r="M69" s="12">
        <f>IFERROR(L69/K69, 0)</f>
      </c>
      <c r="N69" s="13">
        <f>IFERROR(J69/K69, 0)</f>
      </c>
      <c r="O69" s="10">
        <v>52130</v>
      </c>
      <c r="P69" s="10">
        <v>1808730</v>
      </c>
      <c r="Q69" s="10">
        <v>1617631.4814814816</v>
      </c>
      <c r="R69" s="11">
        <f>IFERROR(P69/Q69, 0)</f>
      </c>
      <c r="S69" s="10">
        <v>22671730</v>
      </c>
      <c r="T69" s="10">
        <v>22646751.48148148</v>
      </c>
      <c r="U69" s="11">
        <f>IFERROR(S69/T69, 0)</f>
      </c>
      <c r="V69" s="10">
        <f>IFERROR(S69/E69, 0)</f>
      </c>
      <c r="W69" s="10">
        <f>IFERROR(T69/F69, 0)</f>
      </c>
      <c r="X69" s="11">
        <f>IFERROR(V69/W69, 0)</f>
      </c>
    </row>
    <row r="70" spans="1:24" x14ac:dyDescent="0.25">
      <c r="A70" s="8" t="s">
        <v>75</v>
      </c>
      <c r="B70" s="8" t="s">
        <v>76</v>
      </c>
      <c r="C70" s="8" t="s">
        <v>96</v>
      </c>
      <c r="D70" s="8" t="s">
        <v>97</v>
      </c>
      <c r="E70" s="9">
        <v>1104.56</v>
      </c>
      <c r="F70" s="9">
        <v>1105</v>
      </c>
      <c r="G70" s="10">
        <v>101600</v>
      </c>
      <c r="H70" s="10">
        <v>80855.66666666667</v>
      </c>
      <c r="I70" s="11">
        <f>IFERROR(G70/H70, 0)</f>
      </c>
      <c r="J70" s="10">
        <v>131.72</v>
      </c>
      <c r="K70" s="10">
        <v>43</v>
      </c>
      <c r="L70" s="10">
        <v>104230</v>
      </c>
      <c r="M70" s="12">
        <f>IFERROR(L70/K70, 0)</f>
      </c>
      <c r="N70" s="13">
        <f>IFERROR(J70/K70, 0)</f>
      </c>
      <c r="O70" s="10">
        <v>2630</v>
      </c>
      <c r="P70" s="10">
        <v>1048960</v>
      </c>
      <c r="Q70" s="10">
        <v>889412.3333333334</v>
      </c>
      <c r="R70" s="11">
        <f>IFERROR(P70/Q70, 0)</f>
      </c>
      <c r="S70" s="10">
        <v>9287460</v>
      </c>
      <c r="T70" s="10">
        <v>13113417.333333334</v>
      </c>
      <c r="U70" s="11">
        <f>IFERROR(S70/T70, 0)</f>
      </c>
      <c r="V70" s="10">
        <f>IFERROR(S70/E70, 0)</f>
      </c>
      <c r="W70" s="10">
        <f>IFERROR(T70/F70, 0)</f>
      </c>
      <c r="X70" s="11">
        <f>IFERROR(V70/W70, 0)</f>
      </c>
    </row>
    <row r="71" spans="1:24" x14ac:dyDescent="0.25">
      <c r="A71" s="8" t="s">
        <v>75</v>
      </c>
      <c r="B71" s="8" t="s">
        <v>76</v>
      </c>
      <c r="C71" s="8" t="s">
        <v>96</v>
      </c>
      <c r="D71" s="8" t="s">
        <v>98</v>
      </c>
      <c r="E71" s="9">
        <v>4648.18</v>
      </c>
      <c r="F71" s="9">
        <v>4648</v>
      </c>
      <c r="G71" s="10">
        <v>325720</v>
      </c>
      <c r="H71" s="10">
        <v>287056.1111111111</v>
      </c>
      <c r="I71" s="11">
        <f>IFERROR(G71/H71, 0)</f>
      </c>
      <c r="J71" s="10">
        <v>538.44</v>
      </c>
      <c r="K71" s="10">
        <v>115</v>
      </c>
      <c r="L71" s="10">
        <v>325720</v>
      </c>
      <c r="M71" s="12">
        <f>IFERROR(L71/K71, 0)</f>
      </c>
      <c r="N71" s="13">
        <f>IFERROR(J71/K71, 0)</f>
      </c>
      <c r="O71" s="10">
        <v>0</v>
      </c>
      <c r="P71" s="10">
        <v>3459150</v>
      </c>
      <c r="Q71" s="10">
        <v>3157617.222222222</v>
      </c>
      <c r="R71" s="11">
        <f>IFERROR(P71/Q71, 0)</f>
      </c>
      <c r="S71" s="10">
        <v>36888160</v>
      </c>
      <c r="T71" s="10">
        <v>46381661.222222224</v>
      </c>
      <c r="U71" s="11">
        <f>IFERROR(S71/T71, 0)</f>
      </c>
      <c r="V71" s="10">
        <f>IFERROR(S71/E71, 0)</f>
      </c>
      <c r="W71" s="10">
        <f>IFERROR(T71/F71, 0)</f>
      </c>
      <c r="X71" s="11">
        <f>IFERROR(V71/W71, 0)</f>
      </c>
    </row>
    <row r="72" spans="1:24" x14ac:dyDescent="0.25">
      <c r="A72" s="8" t="s">
        <v>75</v>
      </c>
      <c r="B72" s="8" t="s">
        <v>76</v>
      </c>
      <c r="C72" s="8" t="s">
        <v>96</v>
      </c>
      <c r="D72" s="8" t="s">
        <v>99</v>
      </c>
      <c r="E72" s="9">
        <v>3834.49</v>
      </c>
      <c r="F72" s="9">
        <v>4236</v>
      </c>
      <c r="G72" s="10">
        <v>257290</v>
      </c>
      <c r="H72" s="10">
        <v>186389.37037037036</v>
      </c>
      <c r="I72" s="11">
        <f>IFERROR(G72/H72, 0)</f>
      </c>
      <c r="J72" s="10">
        <v>605.9</v>
      </c>
      <c r="K72" s="10">
        <v>124</v>
      </c>
      <c r="L72" s="10">
        <v>267590</v>
      </c>
      <c r="M72" s="12">
        <f>IFERROR(L72/K72, 0)</f>
      </c>
      <c r="N72" s="13">
        <f>IFERROR(J72/K72, 0)</f>
      </c>
      <c r="O72" s="10">
        <v>10300</v>
      </c>
      <c r="P72" s="10">
        <v>2140760</v>
      </c>
      <c r="Q72" s="10">
        <v>2050283.0740740742</v>
      </c>
      <c r="R72" s="11">
        <f>IFERROR(P72/Q72, 0)</f>
      </c>
      <c r="S72" s="10">
        <v>23337710</v>
      </c>
      <c r="T72" s="10">
        <v>26296309.074074075</v>
      </c>
      <c r="U72" s="11">
        <f>IFERROR(S72/T72, 0)</f>
      </c>
      <c r="V72" s="10">
        <f>IFERROR(S72/E72, 0)</f>
      </c>
      <c r="W72" s="10">
        <f>IFERROR(T72/F72, 0)</f>
      </c>
      <c r="X72" s="11">
        <f>IFERROR(V72/W72, 0)</f>
      </c>
    </row>
    <row r="73" spans="1:24" x14ac:dyDescent="0.25">
      <c r="A73" s="8" t="s">
        <v>75</v>
      </c>
      <c r="B73" s="8" t="s">
        <v>76</v>
      </c>
      <c r="C73" s="8" t="s">
        <v>96</v>
      </c>
      <c r="D73" s="8" t="s">
        <v>100</v>
      </c>
      <c r="E73" s="9">
        <v>34</v>
      </c>
      <c r="F73" s="9">
        <v>0</v>
      </c>
      <c r="G73" s="10">
        <v>0</v>
      </c>
      <c r="H73" s="10">
        <v>0</v>
      </c>
      <c r="I73" s="11">
        <f>IFERROR(G73/H73, 0)</f>
      </c>
      <c r="J73" s="10">
        <v>0</v>
      </c>
      <c r="K73" s="10">
        <v>0</v>
      </c>
      <c r="L73" s="10">
        <v>0</v>
      </c>
      <c r="M73" s="12">
        <f>IFERROR(L73/K73, 0)</f>
      </c>
      <c r="N73" s="13">
        <f>IFERROR(J73/K73, 0)</f>
      </c>
      <c r="O73" s="10">
        <v>0</v>
      </c>
      <c r="P73" s="10">
        <v>36980</v>
      </c>
      <c r="Q73" s="10">
        <v>0</v>
      </c>
      <c r="R73" s="11">
        <f>IFERROR(P73/Q73, 0)</f>
      </c>
      <c r="S73" s="10">
        <v>550130</v>
      </c>
      <c r="T73" s="10">
        <v>0</v>
      </c>
      <c r="U73" s="11">
        <f>IFERROR(S73/T73, 0)</f>
      </c>
      <c r="V73" s="10">
        <f>IFERROR(S73/E73, 0)</f>
      </c>
      <c r="W73" s="10">
        <f>IFERROR(T73/F73, 0)</f>
      </c>
      <c r="X73" s="11">
        <f>IFERROR(V73/W73, 0)</f>
      </c>
    </row>
    <row r="74" spans="1:24" x14ac:dyDescent="0.25">
      <c r="A74" s="14" t="s">
        <v>101</v>
      </c>
      <c r="B74" s="14"/>
      <c r="C74" s="14"/>
      <c r="D74" s="14"/>
      <c r="E74" s="15">
        <f>SUM(E52:E73)</f>
      </c>
      <c r="F74" s="15">
        <f>SUM(F52:F73)</f>
      </c>
      <c r="G74" s="16">
        <f>SUM(G52:G73)</f>
      </c>
      <c r="H74" s="16">
        <f>SUM(H52:H73)</f>
      </c>
      <c r="I74" s="17">
        <f>IFERROR(G74/H74, 0)</f>
      </c>
      <c r="J74" s="16">
        <f>SUM(J52:J73)</f>
      </c>
      <c r="K74" s="16">
        <f>SUM(K52:K73)</f>
      </c>
      <c r="L74" s="16">
        <f>SUM(L52:L73)</f>
      </c>
      <c r="M74" s="18">
        <f>IFERROR(L74/K74, 0)</f>
      </c>
      <c r="N74" s="19">
        <f>IFERROR(J74/K74, 0)</f>
      </c>
      <c r="O74" s="16">
        <f>SUM(O52:O73)</f>
      </c>
      <c r="P74" s="16">
        <f>SUM(P52:P73)</f>
      </c>
      <c r="Q74" s="16">
        <f>SUM(Q52:Q73)</f>
      </c>
      <c r="R74" s="17">
        <f>IFERROR(P74/Q74, 0)</f>
      </c>
      <c r="S74" s="16">
        <f>SUM(S52:S73)</f>
      </c>
      <c r="T74" s="16">
        <f>SUM(T52:T73)</f>
      </c>
      <c r="U74" s="17">
        <f>IFERROR(S74/T74, 0)</f>
      </c>
      <c r="V74" s="16">
        <f>IFERROR(S74/E74, 0)</f>
      </c>
      <c r="W74" s="16">
        <f>IFERROR(T74/F74, 0)</f>
      </c>
      <c r="X74" s="17">
        <f>IFERROR(V74/W74, 0)</f>
      </c>
    </row>
    <row r="75" spans="1:24" x14ac:dyDescent="0.25">
      <c r="A75" s="20" t="s">
        <v>102</v>
      </c>
      <c r="B75" s="20"/>
      <c r="C75" s="20"/>
      <c r="D75" s="20"/>
      <c r="E75" s="21">
        <f>SUM(E74)</f>
      </c>
      <c r="F75" s="21">
        <f>SUM(F74)</f>
      </c>
      <c r="G75" s="22">
        <f>SUM(G74)</f>
      </c>
      <c r="H75" s="22">
        <f>SUM(H74)</f>
      </c>
      <c r="I75" s="23">
        <f>IFERROR(G75/H75, 0)</f>
      </c>
      <c r="J75" s="22">
        <f>SUM(J74)</f>
      </c>
      <c r="K75" s="22">
        <f>SUM(K74)</f>
      </c>
      <c r="L75" s="22">
        <f>SUM(L74)</f>
      </c>
      <c r="M75" s="24">
        <f>IFERROR(L75/K75, 0)</f>
      </c>
      <c r="N75" s="25">
        <f>IFERROR(J75/K75, 0)</f>
      </c>
      <c r="O75" s="22">
        <f>SUM(O74)</f>
      </c>
      <c r="P75" s="22">
        <f>SUM(P74)</f>
      </c>
      <c r="Q75" s="22">
        <f>SUM(Q74)</f>
      </c>
      <c r="R75" s="23">
        <f>IFERROR(P75/Q75, 0)</f>
      </c>
      <c r="S75" s="22">
        <f>SUM(S74)</f>
      </c>
      <c r="T75" s="22">
        <f>SUM(T74)</f>
      </c>
      <c r="U75" s="23">
        <f>IFERROR(S75/T75, 0)</f>
      </c>
      <c r="V75" s="22">
        <f>IFERROR(S75/E75, 0)</f>
      </c>
      <c r="W75" s="22">
        <f>IFERROR(T75/F75, 0)</f>
      </c>
      <c r="X75" s="23">
        <f>IFERROR(V75/W75, 0)</f>
      </c>
    </row>
    <row r="76" spans="1:24" x14ac:dyDescent="0.25">
      <c r="A76" s="8" t="s">
        <v>103</v>
      </c>
      <c r="B76" s="8" t="s">
        <v>104</v>
      </c>
      <c r="C76" s="8" t="s">
        <v>24</v>
      </c>
      <c r="D76" s="8" t="s">
        <v>105</v>
      </c>
      <c r="E76" s="9">
        <v>132</v>
      </c>
      <c r="F76" s="9">
        <v>467.17</v>
      </c>
      <c r="G76" s="10">
        <v>9560</v>
      </c>
      <c r="H76" s="10">
        <v>13971.92111111111</v>
      </c>
      <c r="I76" s="11">
        <f>IFERROR(G76/H76, 0)</f>
      </c>
      <c r="J76" s="10">
        <v>34.39</v>
      </c>
      <c r="K76" s="10">
        <v>13</v>
      </c>
      <c r="L76" s="10">
        <v>9560</v>
      </c>
      <c r="M76" s="12">
        <f>IFERROR(L76/K76, 0)</f>
      </c>
      <c r="N76" s="13">
        <f>IFERROR(J76/K76, 0)</f>
      </c>
      <c r="O76" s="10">
        <v>0</v>
      </c>
      <c r="P76" s="10">
        <v>79435</v>
      </c>
      <c r="Q76" s="10">
        <v>153691.13222222222</v>
      </c>
      <c r="R76" s="11">
        <f>IFERROR(P76/Q76, 0)</f>
      </c>
      <c r="S76" s="10">
        <v>640516</v>
      </c>
      <c r="T76" s="10">
        <v>1742077.9722222222</v>
      </c>
      <c r="U76" s="11">
        <f>IFERROR(S76/T76, 0)</f>
      </c>
      <c r="V76" s="10">
        <f>IFERROR(S76/E76, 0)</f>
      </c>
      <c r="W76" s="10">
        <f>IFERROR(T76/F76, 0)</f>
      </c>
      <c r="X76" s="11">
        <f>IFERROR(V76/W76, 0)</f>
      </c>
    </row>
    <row r="77" spans="1:24" x14ac:dyDescent="0.25">
      <c r="A77" s="8" t="s">
        <v>103</v>
      </c>
      <c r="B77" s="8" t="s">
        <v>104</v>
      </c>
      <c r="C77" s="8" t="s">
        <v>24</v>
      </c>
      <c r="D77" s="8" t="s">
        <v>106</v>
      </c>
      <c r="E77" s="9">
        <v>0</v>
      </c>
      <c r="F77" s="9">
        <v>0</v>
      </c>
      <c r="G77" s="10">
        <v>0</v>
      </c>
      <c r="H77" s="10">
        <v>0</v>
      </c>
      <c r="I77" s="11">
        <f>IFERROR(G77/H77, 0)</f>
      </c>
      <c r="J77" s="10">
        <v>0</v>
      </c>
      <c r="K77" s="10">
        <v>0</v>
      </c>
      <c r="L77" s="10">
        <v>0</v>
      </c>
      <c r="M77" s="12">
        <f>IFERROR(L77/K77, 0)</f>
      </c>
      <c r="N77" s="13">
        <f>IFERROR(J77/K77, 0)</f>
      </c>
      <c r="O77" s="10">
        <v>0</v>
      </c>
      <c r="P77" s="10">
        <v>0</v>
      </c>
      <c r="Q77" s="10">
        <v>0</v>
      </c>
      <c r="R77" s="11">
        <f>IFERROR(P77/Q77, 0)</f>
      </c>
      <c r="S77" s="10">
        <v>0</v>
      </c>
      <c r="T77" s="10">
        <v>0</v>
      </c>
      <c r="U77" s="11">
        <f>IFERROR(S77/T77, 0)</f>
      </c>
      <c r="V77" s="10">
        <f>IFERROR(S77/E77, 0)</f>
      </c>
      <c r="W77" s="10">
        <f>IFERROR(T77/F77, 0)</f>
      </c>
      <c r="X77" s="11">
        <f>IFERROR(V77/W77, 0)</f>
      </c>
    </row>
    <row r="78" spans="1:24" x14ac:dyDescent="0.25">
      <c r="A78" s="8" t="s">
        <v>103</v>
      </c>
      <c r="B78" s="8" t="s">
        <v>104</v>
      </c>
      <c r="C78" s="8" t="s">
        <v>24</v>
      </c>
      <c r="D78" s="8" t="s">
        <v>107</v>
      </c>
      <c r="E78" s="9">
        <v>1850</v>
      </c>
      <c r="F78" s="9">
        <v>2739.84</v>
      </c>
      <c r="G78" s="10">
        <v>0</v>
      </c>
      <c r="H78" s="10">
        <v>81941.42222222222</v>
      </c>
      <c r="I78" s="11">
        <f>IFERROR(G78/H78, 0)</f>
      </c>
      <c r="J78" s="10">
        <v>0</v>
      </c>
      <c r="K78" s="10">
        <v>0</v>
      </c>
      <c r="L78" s="10">
        <v>0</v>
      </c>
      <c r="M78" s="12">
        <f>IFERROR(L78/K78, 0)</f>
      </c>
      <c r="N78" s="13">
        <f>IFERROR(J78/K78, 0)</f>
      </c>
      <c r="O78" s="10">
        <v>0</v>
      </c>
      <c r="P78" s="10">
        <v>0</v>
      </c>
      <c r="Q78" s="10">
        <v>901355.6444444444</v>
      </c>
      <c r="R78" s="11">
        <f>IFERROR(P78/Q78, 0)</f>
      </c>
      <c r="S78" s="10">
        <v>0</v>
      </c>
      <c r="T78" s="10">
        <v>10216801.524444444</v>
      </c>
      <c r="U78" s="11">
        <f>IFERROR(S78/T78, 0)</f>
      </c>
      <c r="V78" s="10">
        <f>IFERROR(S78/E78, 0)</f>
      </c>
      <c r="W78" s="10">
        <f>IFERROR(T78/F78, 0)</f>
      </c>
      <c r="X78" s="11">
        <f>IFERROR(V78/W78, 0)</f>
      </c>
    </row>
    <row r="79" spans="1:24" x14ac:dyDescent="0.25">
      <c r="A79" s="8" t="s">
        <v>103</v>
      </c>
      <c r="B79" s="8" t="s">
        <v>104</v>
      </c>
      <c r="C79" s="8" t="s">
        <v>24</v>
      </c>
      <c r="D79" s="8" t="s">
        <v>108</v>
      </c>
      <c r="E79" s="9">
        <v>1324.01</v>
      </c>
      <c r="F79" s="9">
        <v>1562.03</v>
      </c>
      <c r="G79" s="10">
        <v>15070</v>
      </c>
      <c r="H79" s="10">
        <v>46716.32481481481</v>
      </c>
      <c r="I79" s="11">
        <f>IFERROR(G79/H79, 0)</f>
      </c>
      <c r="J79" s="10">
        <v>80.1</v>
      </c>
      <c r="K79" s="10">
        <v>32</v>
      </c>
      <c r="L79" s="10">
        <v>15070</v>
      </c>
      <c r="M79" s="12">
        <f>IFERROR(L79/K79, 0)</f>
      </c>
      <c r="N79" s="13">
        <f>IFERROR(J79/K79, 0)</f>
      </c>
      <c r="O79" s="10">
        <v>0</v>
      </c>
      <c r="P79" s="10">
        <v>249350</v>
      </c>
      <c r="Q79" s="10">
        <v>513879.57296296296</v>
      </c>
      <c r="R79" s="11">
        <f>IFERROR(P79/Q79, 0)</f>
      </c>
      <c r="S79" s="10">
        <v>4225393</v>
      </c>
      <c r="T79" s="10">
        <v>5824788.062962963</v>
      </c>
      <c r="U79" s="11">
        <f>IFERROR(S79/T79, 0)</f>
      </c>
      <c r="V79" s="10">
        <f>IFERROR(S79/E79, 0)</f>
      </c>
      <c r="W79" s="10">
        <f>IFERROR(T79/F79, 0)</f>
      </c>
      <c r="X79" s="11">
        <f>IFERROR(V79/W79, 0)</f>
      </c>
    </row>
    <row r="80" spans="1:24" x14ac:dyDescent="0.25">
      <c r="A80" s="8" t="s">
        <v>103</v>
      </c>
      <c r="B80" s="8" t="s">
        <v>104</v>
      </c>
      <c r="C80" s="8" t="s">
        <v>24</v>
      </c>
      <c r="D80" s="8" t="s">
        <v>109</v>
      </c>
      <c r="E80" s="9">
        <v>200.77</v>
      </c>
      <c r="F80" s="9">
        <v>0</v>
      </c>
      <c r="G80" s="10">
        <v>0</v>
      </c>
      <c r="H80" s="10">
        <v>0</v>
      </c>
      <c r="I80" s="11">
        <f>IFERROR(G80/H80, 0)</f>
      </c>
      <c r="J80" s="10">
        <v>0</v>
      </c>
      <c r="K80" s="10">
        <v>0</v>
      </c>
      <c r="L80" s="10">
        <v>0</v>
      </c>
      <c r="M80" s="12">
        <f>IFERROR(L80/K80, 0)</f>
      </c>
      <c r="N80" s="13">
        <f>IFERROR(J80/K80, 0)</f>
      </c>
      <c r="O80" s="10">
        <v>0</v>
      </c>
      <c r="P80" s="10">
        <v>18021</v>
      </c>
      <c r="Q80" s="10">
        <v>0</v>
      </c>
      <c r="R80" s="11">
        <f>IFERROR(P80/Q80, 0)</f>
      </c>
      <c r="S80" s="10">
        <v>209905</v>
      </c>
      <c r="T80" s="10">
        <v>0</v>
      </c>
      <c r="U80" s="11">
        <f>IFERROR(S80/T80, 0)</f>
      </c>
      <c r="V80" s="10">
        <f>IFERROR(S80/E80, 0)</f>
      </c>
      <c r="W80" s="10">
        <f>IFERROR(T80/F80, 0)</f>
      </c>
      <c r="X80" s="11">
        <f>IFERROR(V80/W80, 0)</f>
      </c>
    </row>
    <row r="81" spans="1:24" x14ac:dyDescent="0.25">
      <c r="A81" s="8" t="s">
        <v>103</v>
      </c>
      <c r="B81" s="8" t="s">
        <v>104</v>
      </c>
      <c r="C81" s="8" t="s">
        <v>24</v>
      </c>
      <c r="D81" s="8" t="s">
        <v>110</v>
      </c>
      <c r="E81" s="9">
        <v>423</v>
      </c>
      <c r="F81" s="9">
        <v>314.62</v>
      </c>
      <c r="G81" s="10">
        <v>2250</v>
      </c>
      <c r="H81" s="10">
        <v>9409.375185185185</v>
      </c>
      <c r="I81" s="11">
        <f>IFERROR(G81/H81, 0)</f>
      </c>
      <c r="J81" s="10">
        <v>20</v>
      </c>
      <c r="K81" s="10">
        <v>8</v>
      </c>
      <c r="L81" s="10">
        <v>2250</v>
      </c>
      <c r="M81" s="12">
        <f>IFERROR(L81/K81, 0)</f>
      </c>
      <c r="N81" s="13">
        <f>IFERROR(J81/K81, 0)</f>
      </c>
      <c r="O81" s="10">
        <v>0</v>
      </c>
      <c r="P81" s="10">
        <v>23929</v>
      </c>
      <c r="Q81" s="10">
        <v>103503.12703703703</v>
      </c>
      <c r="R81" s="11">
        <f>IFERROR(P81/Q81, 0)</f>
      </c>
      <c r="S81" s="10">
        <v>108072</v>
      </c>
      <c r="T81" s="10">
        <v>1173200.527037037</v>
      </c>
      <c r="U81" s="11">
        <f>IFERROR(S81/T81, 0)</f>
      </c>
      <c r="V81" s="10">
        <f>IFERROR(S81/E81, 0)</f>
      </c>
      <c r="W81" s="10">
        <f>IFERROR(T81/F81, 0)</f>
      </c>
      <c r="X81" s="11">
        <f>IFERROR(V81/W81, 0)</f>
      </c>
    </row>
    <row r="82" spans="1:24" x14ac:dyDescent="0.25">
      <c r="A82" s="8" t="s">
        <v>103</v>
      </c>
      <c r="B82" s="8" t="s">
        <v>104</v>
      </c>
      <c r="C82" s="8" t="s">
        <v>24</v>
      </c>
      <c r="D82" s="8" t="s">
        <v>111</v>
      </c>
      <c r="E82" s="9">
        <v>33</v>
      </c>
      <c r="F82" s="9">
        <v>24.54</v>
      </c>
      <c r="G82" s="10">
        <v>0</v>
      </c>
      <c r="H82" s="10">
        <v>734.0648148148148</v>
      </c>
      <c r="I82" s="11">
        <f>IFERROR(G82/H82, 0)</f>
      </c>
      <c r="J82" s="10">
        <v>0</v>
      </c>
      <c r="K82" s="10">
        <v>0</v>
      </c>
      <c r="L82" s="10">
        <v>0</v>
      </c>
      <c r="M82" s="12">
        <f>IFERROR(L82/K82, 0)</f>
      </c>
      <c r="N82" s="13">
        <f>IFERROR(J82/K82, 0)</f>
      </c>
      <c r="O82" s="10">
        <v>0</v>
      </c>
      <c r="P82" s="10">
        <v>0</v>
      </c>
      <c r="Q82" s="10">
        <v>8074.712962962963</v>
      </c>
      <c r="R82" s="11">
        <f>IFERROR(P82/Q82, 0)</f>
      </c>
      <c r="S82" s="10">
        <v>0</v>
      </c>
      <c r="T82" s="10">
        <v>91526.28296296296</v>
      </c>
      <c r="U82" s="11">
        <f>IFERROR(S82/T82, 0)</f>
      </c>
      <c r="V82" s="10">
        <f>IFERROR(S82/E82, 0)</f>
      </c>
      <c r="W82" s="10">
        <f>IFERROR(T82/F82, 0)</f>
      </c>
      <c r="X82" s="11">
        <f>IFERROR(V82/W82, 0)</f>
      </c>
    </row>
    <row r="83" spans="1:24" x14ac:dyDescent="0.25">
      <c r="A83" s="8" t="s">
        <v>103</v>
      </c>
      <c r="B83" s="8" t="s">
        <v>104</v>
      </c>
      <c r="C83" s="8" t="s">
        <v>24</v>
      </c>
      <c r="D83" s="8" t="s">
        <v>112</v>
      </c>
      <c r="E83" s="9">
        <v>1633.37</v>
      </c>
      <c r="F83" s="9">
        <v>1380.1</v>
      </c>
      <c r="G83" s="10">
        <v>137004</v>
      </c>
      <c r="H83" s="10">
        <v>41275.125555555554</v>
      </c>
      <c r="I83" s="11">
        <f>IFERROR(G83/H83, 0)</f>
      </c>
      <c r="J83" s="10">
        <v>158.86</v>
      </c>
      <c r="K83" s="10">
        <v>123</v>
      </c>
      <c r="L83" s="10">
        <v>137004</v>
      </c>
      <c r="M83" s="12">
        <f>IFERROR(L83/K83, 0)</f>
      </c>
      <c r="N83" s="13">
        <f>IFERROR(J83/K83, 0)</f>
      </c>
      <c r="O83" s="10">
        <v>0</v>
      </c>
      <c r="P83" s="10">
        <v>1582817</v>
      </c>
      <c r="Q83" s="10">
        <v>454026.38111111114</v>
      </c>
      <c r="R83" s="11">
        <f>IFERROR(P83/Q83, 0)</f>
      </c>
      <c r="S83" s="10">
        <v>22787318</v>
      </c>
      <c r="T83" s="10">
        <v>5146356.441111111</v>
      </c>
      <c r="U83" s="11">
        <f>IFERROR(S83/T83, 0)</f>
      </c>
      <c r="V83" s="10">
        <f>IFERROR(S83/E83, 0)</f>
      </c>
      <c r="W83" s="10">
        <f>IFERROR(T83/F83, 0)</f>
      </c>
      <c r="X83" s="11">
        <f>IFERROR(V83/W83, 0)</f>
      </c>
    </row>
    <row r="84" spans="1:24" x14ac:dyDescent="0.25">
      <c r="A84" s="8" t="s">
        <v>103</v>
      </c>
      <c r="B84" s="8" t="s">
        <v>104</v>
      </c>
      <c r="C84" s="8" t="s">
        <v>24</v>
      </c>
      <c r="D84" s="8" t="s">
        <v>113</v>
      </c>
      <c r="E84" s="9">
        <v>3663.17</v>
      </c>
      <c r="F84" s="9">
        <v>0</v>
      </c>
      <c r="G84" s="10">
        <v>0</v>
      </c>
      <c r="H84" s="10">
        <v>0</v>
      </c>
      <c r="I84" s="11">
        <f>IFERROR(G84/H84, 0)</f>
      </c>
      <c r="J84" s="10">
        <v>0</v>
      </c>
      <c r="K84" s="10">
        <v>0</v>
      </c>
      <c r="L84" s="10">
        <v>0</v>
      </c>
      <c r="M84" s="12">
        <f>IFERROR(L84/K84, 0)</f>
      </c>
      <c r="N84" s="13">
        <f>IFERROR(J84/K84, 0)</f>
      </c>
      <c r="O84" s="10">
        <v>0</v>
      </c>
      <c r="P84" s="10">
        <v>0</v>
      </c>
      <c r="Q84" s="10">
        <v>0</v>
      </c>
      <c r="R84" s="11">
        <f>IFERROR(P84/Q84, 0)</f>
      </c>
      <c r="S84" s="10">
        <v>0</v>
      </c>
      <c r="T84" s="10">
        <v>0</v>
      </c>
      <c r="U84" s="11">
        <f>IFERROR(S84/T84, 0)</f>
      </c>
      <c r="V84" s="10">
        <f>IFERROR(S84/E84, 0)</f>
      </c>
      <c r="W84" s="10">
        <f>IFERROR(T84/F84, 0)</f>
      </c>
      <c r="X84" s="11">
        <f>IFERROR(V84/W84, 0)</f>
      </c>
    </row>
    <row r="85" spans="1:24" x14ac:dyDescent="0.25">
      <c r="A85" s="8" t="s">
        <v>103</v>
      </c>
      <c r="B85" s="8" t="s">
        <v>104</v>
      </c>
      <c r="C85" s="8" t="s">
        <v>24</v>
      </c>
      <c r="D85" s="8" t="s">
        <v>114</v>
      </c>
      <c r="E85" s="9">
        <v>2855.8</v>
      </c>
      <c r="F85" s="9">
        <v>2124.07</v>
      </c>
      <c r="G85" s="10">
        <v>0</v>
      </c>
      <c r="H85" s="10">
        <v>63525.51740740741</v>
      </c>
      <c r="I85" s="11">
        <f>IFERROR(G85/H85, 0)</f>
      </c>
      <c r="J85" s="10">
        <v>0</v>
      </c>
      <c r="K85" s="10">
        <v>0</v>
      </c>
      <c r="L85" s="10">
        <v>0</v>
      </c>
      <c r="M85" s="12">
        <f>IFERROR(L85/K85, 0)</f>
      </c>
      <c r="N85" s="13">
        <f>IFERROR(J85/K85, 0)</f>
      </c>
      <c r="O85" s="10">
        <v>0</v>
      </c>
      <c r="P85" s="10">
        <v>0</v>
      </c>
      <c r="Q85" s="10">
        <v>698780.6914814814</v>
      </c>
      <c r="R85" s="11">
        <f>IFERROR(P85/Q85, 0)</f>
      </c>
      <c r="S85" s="10">
        <v>0</v>
      </c>
      <c r="T85" s="10">
        <v>7920629.001481482</v>
      </c>
      <c r="U85" s="11">
        <f>IFERROR(S85/T85, 0)</f>
      </c>
      <c r="V85" s="10">
        <f>IFERROR(S85/E85, 0)</f>
      </c>
      <c r="W85" s="10">
        <f>IFERROR(T85/F85, 0)</f>
      </c>
      <c r="X85" s="11">
        <f>IFERROR(V85/W85, 0)</f>
      </c>
    </row>
    <row r="86" spans="1:24" x14ac:dyDescent="0.25">
      <c r="A86" s="8" t="s">
        <v>103</v>
      </c>
      <c r="B86" s="8" t="s">
        <v>104</v>
      </c>
      <c r="C86" s="8" t="s">
        <v>24</v>
      </c>
      <c r="D86" s="8" t="s">
        <v>115</v>
      </c>
      <c r="E86" s="9">
        <v>12</v>
      </c>
      <c r="F86" s="9">
        <v>7.88</v>
      </c>
      <c r="G86" s="10">
        <v>0</v>
      </c>
      <c r="H86" s="10">
        <v>235.79037037037037</v>
      </c>
      <c r="I86" s="11">
        <f>IFERROR(G86/H86, 0)</f>
      </c>
      <c r="J86" s="10">
        <v>0</v>
      </c>
      <c r="K86" s="10">
        <v>0</v>
      </c>
      <c r="L86" s="10">
        <v>0</v>
      </c>
      <c r="M86" s="12">
        <f>IFERROR(L86/K86, 0)</f>
      </c>
      <c r="N86" s="13">
        <f>IFERROR(J86/K86, 0)</f>
      </c>
      <c r="O86" s="10">
        <v>0</v>
      </c>
      <c r="P86" s="10">
        <v>0</v>
      </c>
      <c r="Q86" s="10">
        <v>2593.6940740740743</v>
      </c>
      <c r="R86" s="11">
        <f>IFERROR(P86/Q86, 0)</f>
      </c>
      <c r="S86" s="10">
        <v>0</v>
      </c>
      <c r="T86" s="10">
        <v>29399.344074074073</v>
      </c>
      <c r="U86" s="11">
        <f>IFERROR(S86/T86, 0)</f>
      </c>
      <c r="V86" s="10">
        <f>IFERROR(S86/E86, 0)</f>
      </c>
      <c r="W86" s="10">
        <f>IFERROR(T86/F86, 0)</f>
      </c>
      <c r="X86" s="11">
        <f>IFERROR(V86/W86, 0)</f>
      </c>
    </row>
    <row r="87" spans="1:24" x14ac:dyDescent="0.25">
      <c r="A87" s="8" t="s">
        <v>103</v>
      </c>
      <c r="B87" s="8" t="s">
        <v>104</v>
      </c>
      <c r="C87" s="8" t="s">
        <v>24</v>
      </c>
      <c r="D87" s="8" t="s">
        <v>116</v>
      </c>
      <c r="E87" s="9">
        <v>74</v>
      </c>
      <c r="F87" s="9">
        <v>177.42</v>
      </c>
      <c r="G87" s="10">
        <v>1120</v>
      </c>
      <c r="H87" s="10">
        <v>5306.175925925926</v>
      </c>
      <c r="I87" s="11">
        <f>IFERROR(G87/H87, 0)</f>
      </c>
      <c r="J87" s="10">
        <v>11.5</v>
      </c>
      <c r="K87" s="10">
        <v>3</v>
      </c>
      <c r="L87" s="10">
        <v>1120</v>
      </c>
      <c r="M87" s="12">
        <f>IFERROR(L87/K87, 0)</f>
      </c>
      <c r="N87" s="13">
        <f>IFERROR(J87/K87, 0)</f>
      </c>
      <c r="O87" s="10">
        <v>0</v>
      </c>
      <c r="P87" s="10">
        <v>4250</v>
      </c>
      <c r="Q87" s="10">
        <v>58367.93518518518</v>
      </c>
      <c r="R87" s="11">
        <f>IFERROR(P87/Q87, 0)</f>
      </c>
      <c r="S87" s="10">
        <v>61573</v>
      </c>
      <c r="T87" s="10">
        <v>661596.3451851852</v>
      </c>
      <c r="U87" s="11">
        <f>IFERROR(S87/T87, 0)</f>
      </c>
      <c r="V87" s="10">
        <f>IFERROR(S87/E87, 0)</f>
      </c>
      <c r="W87" s="10">
        <f>IFERROR(T87/F87, 0)</f>
      </c>
      <c r="X87" s="11">
        <f>IFERROR(V87/W87, 0)</f>
      </c>
    </row>
    <row r="88" spans="1:24" x14ac:dyDescent="0.25">
      <c r="A88" s="8" t="s">
        <v>103</v>
      </c>
      <c r="B88" s="8" t="s">
        <v>104</v>
      </c>
      <c r="C88" s="8" t="s">
        <v>24</v>
      </c>
      <c r="D88" s="8" t="s">
        <v>117</v>
      </c>
      <c r="E88" s="9">
        <v>639.8</v>
      </c>
      <c r="F88" s="9">
        <v>708.07</v>
      </c>
      <c r="G88" s="10">
        <v>21200</v>
      </c>
      <c r="H88" s="10">
        <v>21176.655555555557</v>
      </c>
      <c r="I88" s="11">
        <f>IFERROR(G88/H88, 0)</f>
      </c>
      <c r="J88" s="10">
        <v>66.9</v>
      </c>
      <c r="K88" s="10">
        <v>25</v>
      </c>
      <c r="L88" s="10">
        <v>21200</v>
      </c>
      <c r="M88" s="12">
        <f>IFERROR(L88/K88, 0)</f>
      </c>
      <c r="N88" s="13">
        <f>IFERROR(J88/K88, 0)</f>
      </c>
      <c r="O88" s="10">
        <v>0</v>
      </c>
      <c r="P88" s="10">
        <v>188191</v>
      </c>
      <c r="Q88" s="10">
        <v>232943.21111111113</v>
      </c>
      <c r="R88" s="11">
        <f>IFERROR(P88/Q88, 0)</f>
      </c>
      <c r="S88" s="10">
        <v>2391528</v>
      </c>
      <c r="T88" s="10">
        <v>2640394.571111111</v>
      </c>
      <c r="U88" s="11">
        <f>IFERROR(S88/T88, 0)</f>
      </c>
      <c r="V88" s="10">
        <f>IFERROR(S88/E88, 0)</f>
      </c>
      <c r="W88" s="10">
        <f>IFERROR(T88/F88, 0)</f>
      </c>
      <c r="X88" s="11">
        <f>IFERROR(V88/W88, 0)</f>
      </c>
    </row>
    <row r="89" spans="1:24" x14ac:dyDescent="0.25">
      <c r="A89" s="8" t="s">
        <v>103</v>
      </c>
      <c r="B89" s="8" t="s">
        <v>104</v>
      </c>
      <c r="C89" s="8" t="s">
        <v>24</v>
      </c>
      <c r="D89" s="8" t="s">
        <v>118</v>
      </c>
      <c r="E89" s="9">
        <v>1029.33</v>
      </c>
      <c r="F89" s="9">
        <v>1029.33</v>
      </c>
      <c r="G89" s="10">
        <v>3082</v>
      </c>
      <c r="H89" s="10">
        <v>30784.45074074074</v>
      </c>
      <c r="I89" s="11">
        <f>IFERROR(G89/H89, 0)</f>
      </c>
      <c r="J89" s="10">
        <v>12</v>
      </c>
      <c r="K89" s="10">
        <v>7</v>
      </c>
      <c r="L89" s="10">
        <v>3082</v>
      </c>
      <c r="M89" s="12">
        <f>IFERROR(L89/K89, 0)</f>
      </c>
      <c r="N89" s="13">
        <f>IFERROR(J89/K89, 0)</f>
      </c>
      <c r="O89" s="10">
        <v>0</v>
      </c>
      <c r="P89" s="10">
        <v>18471</v>
      </c>
      <c r="Q89" s="10">
        <v>338628.95814814814</v>
      </c>
      <c r="R89" s="11">
        <f>IFERROR(P89/Q89, 0)</f>
      </c>
      <c r="S89" s="10">
        <v>521791</v>
      </c>
      <c r="T89" s="10">
        <v>3838334.9181481483</v>
      </c>
      <c r="U89" s="11">
        <f>IFERROR(S89/T89, 0)</f>
      </c>
      <c r="V89" s="10">
        <f>IFERROR(S89/E89, 0)</f>
      </c>
      <c r="W89" s="10">
        <f>IFERROR(T89/F89, 0)</f>
      </c>
      <c r="X89" s="11">
        <f>IFERROR(V89/W89, 0)</f>
      </c>
    </row>
    <row r="90" spans="1:24" x14ac:dyDescent="0.25">
      <c r="A90" s="8" t="s">
        <v>103</v>
      </c>
      <c r="B90" s="8" t="s">
        <v>104</v>
      </c>
      <c r="C90" s="8" t="s">
        <v>24</v>
      </c>
      <c r="D90" s="8" t="s">
        <v>119</v>
      </c>
      <c r="E90" s="9">
        <v>701.3</v>
      </c>
      <c r="F90" s="9">
        <v>694.17</v>
      </c>
      <c r="G90" s="10">
        <v>27414</v>
      </c>
      <c r="H90" s="10">
        <v>20760.90777777778</v>
      </c>
      <c r="I90" s="11">
        <f>IFERROR(G90/H90, 0)</f>
      </c>
      <c r="J90" s="10">
        <v>65.9</v>
      </c>
      <c r="K90" s="10">
        <v>38</v>
      </c>
      <c r="L90" s="10">
        <v>27414</v>
      </c>
      <c r="M90" s="12">
        <f>IFERROR(L90/K90, 0)</f>
      </c>
      <c r="N90" s="13">
        <f>IFERROR(J90/K90, 0)</f>
      </c>
      <c r="O90" s="10">
        <v>0</v>
      </c>
      <c r="P90" s="10">
        <v>303712</v>
      </c>
      <c r="Q90" s="10">
        <v>228369.98555555556</v>
      </c>
      <c r="R90" s="11">
        <f>IFERROR(P90/Q90, 0)</f>
      </c>
      <c r="S90" s="10">
        <v>4168090</v>
      </c>
      <c r="T90" s="10">
        <v>2588557.4055555556</v>
      </c>
      <c r="U90" s="11">
        <f>IFERROR(S90/T90, 0)</f>
      </c>
      <c r="V90" s="10">
        <f>IFERROR(S90/E90, 0)</f>
      </c>
      <c r="W90" s="10">
        <f>IFERROR(T90/F90, 0)</f>
      </c>
      <c r="X90" s="11">
        <f>IFERROR(V90/W90, 0)</f>
      </c>
    </row>
    <row r="91" spans="1:24" x14ac:dyDescent="0.25">
      <c r="A91" s="8" t="s">
        <v>103</v>
      </c>
      <c r="B91" s="8" t="s">
        <v>104</v>
      </c>
      <c r="C91" s="8" t="s">
        <v>24</v>
      </c>
      <c r="D91" s="8" t="s">
        <v>120</v>
      </c>
      <c r="E91" s="9">
        <v>246.92</v>
      </c>
      <c r="F91" s="9">
        <v>446.27</v>
      </c>
      <c r="G91" s="10">
        <v>3227</v>
      </c>
      <c r="H91" s="10">
        <v>13346.631481481481</v>
      </c>
      <c r="I91" s="11">
        <f>IFERROR(G91/H91, 0)</f>
      </c>
      <c r="J91" s="10">
        <v>29.02</v>
      </c>
      <c r="K91" s="10">
        <v>10</v>
      </c>
      <c r="L91" s="10">
        <v>3227</v>
      </c>
      <c r="M91" s="12">
        <f>IFERROR(L91/K91, 0)</f>
      </c>
      <c r="N91" s="13">
        <f>IFERROR(J91/K91, 0)</f>
      </c>
      <c r="O91" s="10">
        <v>0</v>
      </c>
      <c r="P91" s="10">
        <v>27612</v>
      </c>
      <c r="Q91" s="10">
        <v>146812.9462962963</v>
      </c>
      <c r="R91" s="11">
        <f>IFERROR(P91/Q91, 0)</f>
      </c>
      <c r="S91" s="10">
        <v>328865</v>
      </c>
      <c r="T91" s="10">
        <v>1664114.2162962963</v>
      </c>
      <c r="U91" s="11">
        <f>IFERROR(S91/T91, 0)</f>
      </c>
      <c r="V91" s="10">
        <f>IFERROR(S91/E91, 0)</f>
      </c>
      <c r="W91" s="10">
        <f>IFERROR(T91/F91, 0)</f>
      </c>
      <c r="X91" s="11">
        <f>IFERROR(V91/W91, 0)</f>
      </c>
    </row>
    <row r="92" spans="1:24" x14ac:dyDescent="0.25">
      <c r="A92" s="8" t="s">
        <v>103</v>
      </c>
      <c r="B92" s="8" t="s">
        <v>104</v>
      </c>
      <c r="C92" s="8" t="s">
        <v>24</v>
      </c>
      <c r="D92" s="8" t="s">
        <v>121</v>
      </c>
      <c r="E92" s="9">
        <v>65</v>
      </c>
      <c r="F92" s="9">
        <v>666.26</v>
      </c>
      <c r="G92" s="10">
        <v>1650</v>
      </c>
      <c r="H92" s="10">
        <v>19926.075925925925</v>
      </c>
      <c r="I92" s="11">
        <f>IFERROR(G92/H92, 0)</f>
      </c>
      <c r="J92" s="10">
        <v>10</v>
      </c>
      <c r="K92" s="10">
        <v>4</v>
      </c>
      <c r="L92" s="10">
        <v>1650</v>
      </c>
      <c r="M92" s="12">
        <f>IFERROR(L92/K92, 0)</f>
      </c>
      <c r="N92" s="13">
        <f>IFERROR(J92/K92, 0)</f>
      </c>
      <c r="O92" s="10">
        <v>0</v>
      </c>
      <c r="P92" s="10">
        <v>19154</v>
      </c>
      <c r="Q92" s="10">
        <v>219186.8351851852</v>
      </c>
      <c r="R92" s="11">
        <f>IFERROR(P92/Q92, 0)</f>
      </c>
      <c r="S92" s="10">
        <v>178357</v>
      </c>
      <c r="T92" s="10">
        <v>2484467.065185185</v>
      </c>
      <c r="U92" s="11">
        <f>IFERROR(S92/T92, 0)</f>
      </c>
      <c r="V92" s="10">
        <f>IFERROR(S92/E92, 0)</f>
      </c>
      <c r="W92" s="10">
        <f>IFERROR(T92/F92, 0)</f>
      </c>
      <c r="X92" s="11">
        <f>IFERROR(V92/W92, 0)</f>
      </c>
    </row>
    <row r="93" spans="1:24" x14ac:dyDescent="0.25">
      <c r="A93" s="8" t="s">
        <v>103</v>
      </c>
      <c r="B93" s="8" t="s">
        <v>104</v>
      </c>
      <c r="C93" s="8" t="s">
        <v>24</v>
      </c>
      <c r="D93" s="8" t="s">
        <v>122</v>
      </c>
      <c r="E93" s="9">
        <v>48</v>
      </c>
      <c r="F93" s="9">
        <v>40.16</v>
      </c>
      <c r="G93" s="10">
        <v>0</v>
      </c>
      <c r="H93" s="10">
        <v>1201.1966666666667</v>
      </c>
      <c r="I93" s="11">
        <f>IFERROR(G93/H93, 0)</f>
      </c>
      <c r="J93" s="10">
        <v>0</v>
      </c>
      <c r="K93" s="10">
        <v>0</v>
      </c>
      <c r="L93" s="10">
        <v>0</v>
      </c>
      <c r="M93" s="12">
        <f>IFERROR(L93/K93, 0)</f>
      </c>
      <c r="N93" s="13">
        <f>IFERROR(J93/K93, 0)</f>
      </c>
      <c r="O93" s="10">
        <v>0</v>
      </c>
      <c r="P93" s="10">
        <v>10379</v>
      </c>
      <c r="Q93" s="10">
        <v>13213.163333333334</v>
      </c>
      <c r="R93" s="11">
        <f>IFERROR(P93/Q93, 0)</f>
      </c>
      <c r="S93" s="10">
        <v>108202</v>
      </c>
      <c r="T93" s="10">
        <v>149770.28333333333</v>
      </c>
      <c r="U93" s="11">
        <f>IFERROR(S93/T93, 0)</f>
      </c>
      <c r="V93" s="10">
        <f>IFERROR(S93/E93, 0)</f>
      </c>
      <c r="W93" s="10">
        <f>IFERROR(T93/F93, 0)</f>
      </c>
      <c r="X93" s="11">
        <f>IFERROR(V93/W93, 0)</f>
      </c>
    </row>
    <row r="94" spans="1:24" x14ac:dyDescent="0.25">
      <c r="A94" s="8" t="s">
        <v>103</v>
      </c>
      <c r="B94" s="8" t="s">
        <v>104</v>
      </c>
      <c r="C94" s="8" t="s">
        <v>24</v>
      </c>
      <c r="D94" s="8" t="s">
        <v>123</v>
      </c>
      <c r="E94" s="9">
        <v>3.5</v>
      </c>
      <c r="F94" s="9">
        <v>0</v>
      </c>
      <c r="G94" s="10">
        <v>0</v>
      </c>
      <c r="H94" s="10">
        <v>0</v>
      </c>
      <c r="I94" s="11">
        <f>IFERROR(G94/H94, 0)</f>
      </c>
      <c r="J94" s="10">
        <v>0</v>
      </c>
      <c r="K94" s="10">
        <v>0</v>
      </c>
      <c r="L94" s="10">
        <v>0</v>
      </c>
      <c r="M94" s="12">
        <f>IFERROR(L94/K94, 0)</f>
      </c>
      <c r="N94" s="13">
        <f>IFERROR(J94/K94, 0)</f>
      </c>
      <c r="O94" s="10">
        <v>0</v>
      </c>
      <c r="P94" s="10">
        <v>0</v>
      </c>
      <c r="Q94" s="10">
        <v>0</v>
      </c>
      <c r="R94" s="11">
        <f>IFERROR(P94/Q94, 0)</f>
      </c>
      <c r="S94" s="10">
        <v>0</v>
      </c>
      <c r="T94" s="10">
        <v>0</v>
      </c>
      <c r="U94" s="11">
        <f>IFERROR(S94/T94, 0)</f>
      </c>
      <c r="V94" s="10">
        <f>IFERROR(S94/E94, 0)</f>
      </c>
      <c r="W94" s="10">
        <f>IFERROR(T94/F94, 0)</f>
      </c>
      <c r="X94" s="11">
        <f>IFERROR(V94/W94, 0)</f>
      </c>
    </row>
    <row r="95" spans="1:24" x14ac:dyDescent="0.25">
      <c r="A95" s="8" t="s">
        <v>103</v>
      </c>
      <c r="B95" s="8" t="s">
        <v>104</v>
      </c>
      <c r="C95" s="8" t="s">
        <v>24</v>
      </c>
      <c r="D95" s="8" t="s">
        <v>124</v>
      </c>
      <c r="E95" s="9">
        <v>178.7</v>
      </c>
      <c r="F95" s="9">
        <v>138.2</v>
      </c>
      <c r="G95" s="10">
        <v>8270</v>
      </c>
      <c r="H95" s="10">
        <v>4133.229259259259</v>
      </c>
      <c r="I95" s="11">
        <f>IFERROR(G95/H95, 0)</f>
      </c>
      <c r="J95" s="10">
        <v>30</v>
      </c>
      <c r="K95" s="10">
        <v>12</v>
      </c>
      <c r="L95" s="10">
        <v>8270</v>
      </c>
      <c r="M95" s="12">
        <f>IFERROR(L95/K95, 0)</f>
      </c>
      <c r="N95" s="13">
        <f>IFERROR(J95/K95, 0)</f>
      </c>
      <c r="O95" s="10">
        <v>0</v>
      </c>
      <c r="P95" s="10">
        <v>84580</v>
      </c>
      <c r="Q95" s="10">
        <v>45465.52185185185</v>
      </c>
      <c r="R95" s="11">
        <f>IFERROR(P95/Q95, 0)</f>
      </c>
      <c r="S95" s="10">
        <v>1172770</v>
      </c>
      <c r="T95" s="10">
        <v>515348.4418518519</v>
      </c>
      <c r="U95" s="11">
        <f>IFERROR(S95/T95, 0)</f>
      </c>
      <c r="V95" s="10">
        <f>IFERROR(S95/E95, 0)</f>
      </c>
      <c r="W95" s="10">
        <f>IFERROR(T95/F95, 0)</f>
      </c>
      <c r="X95" s="11">
        <f>IFERROR(V95/W95, 0)</f>
      </c>
    </row>
    <row r="96" spans="1:24" x14ac:dyDescent="0.25">
      <c r="A96" s="8" t="s">
        <v>103</v>
      </c>
      <c r="B96" s="8" t="s">
        <v>104</v>
      </c>
      <c r="C96" s="8" t="s">
        <v>24</v>
      </c>
      <c r="D96" s="8" t="s">
        <v>125</v>
      </c>
      <c r="E96" s="9">
        <v>265</v>
      </c>
      <c r="F96" s="9">
        <v>197.1</v>
      </c>
      <c r="G96" s="10">
        <v>2805</v>
      </c>
      <c r="H96" s="10">
        <v>5894.762222222223</v>
      </c>
      <c r="I96" s="11">
        <f>IFERROR(G96/H96, 0)</f>
      </c>
      <c r="J96" s="10">
        <v>6</v>
      </c>
      <c r="K96" s="10">
        <v>4</v>
      </c>
      <c r="L96" s="10">
        <v>2805</v>
      </c>
      <c r="M96" s="12">
        <f>IFERROR(L96/K96, 0)</f>
      </c>
      <c r="N96" s="13">
        <f>IFERROR(J96/K96, 0)</f>
      </c>
      <c r="O96" s="10">
        <v>0</v>
      </c>
      <c r="P96" s="10">
        <v>43002</v>
      </c>
      <c r="Q96" s="10">
        <v>64842.38444444445</v>
      </c>
      <c r="R96" s="11">
        <f>IFERROR(P96/Q96, 0)</f>
      </c>
      <c r="S96" s="10">
        <v>480092</v>
      </c>
      <c r="T96" s="10">
        <v>734983.7744444445</v>
      </c>
      <c r="U96" s="11">
        <f>IFERROR(S96/T96, 0)</f>
      </c>
      <c r="V96" s="10">
        <f>IFERROR(S96/E96, 0)</f>
      </c>
      <c r="W96" s="10">
        <f>IFERROR(T96/F96, 0)</f>
      </c>
      <c r="X96" s="11">
        <f>IFERROR(V96/W96, 0)</f>
      </c>
    </row>
    <row r="97" spans="1:24" x14ac:dyDescent="0.25">
      <c r="A97" s="8" t="s">
        <v>103</v>
      </c>
      <c r="B97" s="8" t="s">
        <v>104</v>
      </c>
      <c r="C97" s="8" t="s">
        <v>24</v>
      </c>
      <c r="D97" s="8" t="s">
        <v>126</v>
      </c>
      <c r="E97" s="9">
        <v>6.53</v>
      </c>
      <c r="F97" s="9">
        <v>6.64</v>
      </c>
      <c r="G97" s="10">
        <v>0</v>
      </c>
      <c r="H97" s="10">
        <v>198.64222222222222</v>
      </c>
      <c r="I97" s="11">
        <f>IFERROR(G97/H97, 0)</f>
      </c>
      <c r="J97" s="10">
        <v>0</v>
      </c>
      <c r="K97" s="10">
        <v>0</v>
      </c>
      <c r="L97" s="10">
        <v>0</v>
      </c>
      <c r="M97" s="12">
        <f>IFERROR(L97/K97, 0)</f>
      </c>
      <c r="N97" s="13">
        <f>IFERROR(J97/K97, 0)</f>
      </c>
      <c r="O97" s="10">
        <v>0</v>
      </c>
      <c r="P97" s="10">
        <v>0</v>
      </c>
      <c r="Q97" s="10">
        <v>2185.0644444444442</v>
      </c>
      <c r="R97" s="11">
        <f>IFERROR(P97/Q97, 0)</f>
      </c>
      <c r="S97" s="10">
        <v>21093</v>
      </c>
      <c r="T97" s="10">
        <v>24767.584444444445</v>
      </c>
      <c r="U97" s="11">
        <f>IFERROR(S97/T97, 0)</f>
      </c>
      <c r="V97" s="10">
        <f>IFERROR(S97/E97, 0)</f>
      </c>
      <c r="W97" s="10">
        <f>IFERROR(T97/F97, 0)</f>
      </c>
      <c r="X97" s="11">
        <f>IFERROR(V97/W97, 0)</f>
      </c>
    </row>
    <row r="98" spans="1:24" x14ac:dyDescent="0.25">
      <c r="A98" s="8" t="s">
        <v>103</v>
      </c>
      <c r="B98" s="8" t="s">
        <v>104</v>
      </c>
      <c r="C98" s="8" t="s">
        <v>24</v>
      </c>
      <c r="D98" s="8" t="s">
        <v>127</v>
      </c>
      <c r="E98" s="9">
        <v>315.39</v>
      </c>
      <c r="F98" s="9">
        <v>293.23</v>
      </c>
      <c r="G98" s="10">
        <v>15114</v>
      </c>
      <c r="H98" s="10">
        <v>8769.626666666667</v>
      </c>
      <c r="I98" s="11">
        <f>IFERROR(G98/H98, 0)</f>
      </c>
      <c r="J98" s="10">
        <v>42.2</v>
      </c>
      <c r="K98" s="10">
        <v>15</v>
      </c>
      <c r="L98" s="10">
        <v>15114</v>
      </c>
      <c r="M98" s="12">
        <f>IFERROR(L98/K98, 0)</f>
      </c>
      <c r="N98" s="13">
        <f>IFERROR(J98/K98, 0)</f>
      </c>
      <c r="O98" s="10">
        <v>0</v>
      </c>
      <c r="P98" s="10">
        <v>151069</v>
      </c>
      <c r="Q98" s="10">
        <v>96465.89333333333</v>
      </c>
      <c r="R98" s="11">
        <f>IFERROR(P98/Q98, 0)</f>
      </c>
      <c r="S98" s="10">
        <v>1947122</v>
      </c>
      <c r="T98" s="10">
        <v>1093433.9833333334</v>
      </c>
      <c r="U98" s="11">
        <f>IFERROR(S98/T98, 0)</f>
      </c>
      <c r="V98" s="10">
        <f>IFERROR(S98/E98, 0)</f>
      </c>
      <c r="W98" s="10">
        <f>IFERROR(T98/F98, 0)</f>
      </c>
      <c r="X98" s="11">
        <f>IFERROR(V98/W98, 0)</f>
      </c>
    </row>
    <row r="99" spans="1:24" x14ac:dyDescent="0.25">
      <c r="A99" s="8" t="s">
        <v>103</v>
      </c>
      <c r="B99" s="8" t="s">
        <v>104</v>
      </c>
      <c r="C99" s="8" t="s">
        <v>24</v>
      </c>
      <c r="D99" s="8" t="s">
        <v>128</v>
      </c>
      <c r="E99" s="9">
        <v>75</v>
      </c>
      <c r="F99" s="9">
        <v>81.06</v>
      </c>
      <c r="G99" s="10">
        <v>8150</v>
      </c>
      <c r="H99" s="10">
        <v>2424.4155555555553</v>
      </c>
      <c r="I99" s="11">
        <f>IFERROR(G99/H99, 0)</f>
      </c>
      <c r="J99" s="10">
        <v>16.46</v>
      </c>
      <c r="K99" s="10">
        <v>9</v>
      </c>
      <c r="L99" s="10">
        <v>8150</v>
      </c>
      <c r="M99" s="12">
        <f>IFERROR(L99/K99, 0)</f>
      </c>
      <c r="N99" s="13">
        <f>IFERROR(J99/K99, 0)</f>
      </c>
      <c r="O99" s="10">
        <v>0</v>
      </c>
      <c r="P99" s="10">
        <v>32070</v>
      </c>
      <c r="Q99" s="10">
        <v>26668.571111111112</v>
      </c>
      <c r="R99" s="11">
        <f>IFERROR(P99/Q99, 0)</f>
      </c>
      <c r="S99" s="10">
        <v>461810</v>
      </c>
      <c r="T99" s="10">
        <v>302286.3511111111</v>
      </c>
      <c r="U99" s="11">
        <f>IFERROR(S99/T99, 0)</f>
      </c>
      <c r="V99" s="10">
        <f>IFERROR(S99/E99, 0)</f>
      </c>
      <c r="W99" s="10">
        <f>IFERROR(T99/F99, 0)</f>
      </c>
      <c r="X99" s="11">
        <f>IFERROR(V99/W99, 0)</f>
      </c>
    </row>
    <row r="100" spans="1:24" x14ac:dyDescent="0.25">
      <c r="A100" s="8" t="s">
        <v>103</v>
      </c>
      <c r="B100" s="8" t="s">
        <v>104</v>
      </c>
      <c r="C100" s="8" t="s">
        <v>24</v>
      </c>
      <c r="D100" s="8" t="s">
        <v>129</v>
      </c>
      <c r="E100" s="9">
        <v>172.87</v>
      </c>
      <c r="F100" s="9">
        <v>146.96</v>
      </c>
      <c r="G100" s="10">
        <v>17808</v>
      </c>
      <c r="H100" s="10">
        <v>4395.045925925926</v>
      </c>
      <c r="I100" s="11">
        <f>IFERROR(G100/H100, 0)</f>
      </c>
      <c r="J100" s="10">
        <v>36</v>
      </c>
      <c r="K100" s="10">
        <v>9</v>
      </c>
      <c r="L100" s="10">
        <v>17808</v>
      </c>
      <c r="M100" s="12">
        <f>IFERROR(L100/K100, 0)</f>
      </c>
      <c r="N100" s="13">
        <f>IFERROR(J100/K100, 0)</f>
      </c>
      <c r="O100" s="10">
        <v>0</v>
      </c>
      <c r="P100" s="10">
        <v>61495</v>
      </c>
      <c r="Q100" s="10">
        <v>48345.50518518518</v>
      </c>
      <c r="R100" s="11">
        <f>IFERROR(P100/Q100, 0)</f>
      </c>
      <c r="S100" s="10">
        <v>1082723</v>
      </c>
      <c r="T100" s="10">
        <v>547992.8151851852</v>
      </c>
      <c r="U100" s="11">
        <f>IFERROR(S100/T100, 0)</f>
      </c>
      <c r="V100" s="10">
        <f>IFERROR(S100/E100, 0)</f>
      </c>
      <c r="W100" s="10">
        <f>IFERROR(T100/F100, 0)</f>
      </c>
      <c r="X100" s="11">
        <f>IFERROR(V100/W100, 0)</f>
      </c>
    </row>
    <row r="101" spans="1:24" x14ac:dyDescent="0.25">
      <c r="A101" s="8" t="s">
        <v>103</v>
      </c>
      <c r="B101" s="8" t="s">
        <v>104</v>
      </c>
      <c r="C101" s="8" t="s">
        <v>24</v>
      </c>
      <c r="D101" s="8" t="s">
        <v>130</v>
      </c>
      <c r="E101" s="9">
        <v>256.42</v>
      </c>
      <c r="F101" s="9">
        <v>190.72</v>
      </c>
      <c r="G101" s="10">
        <v>0</v>
      </c>
      <c r="H101" s="10">
        <v>5703.905555555555</v>
      </c>
      <c r="I101" s="11">
        <f>IFERROR(G101/H101, 0)</f>
      </c>
      <c r="J101" s="10">
        <v>0</v>
      </c>
      <c r="K101" s="10">
        <v>0</v>
      </c>
      <c r="L101" s="10">
        <v>0</v>
      </c>
      <c r="M101" s="12">
        <f>IFERROR(L101/K101, 0)</f>
      </c>
      <c r="N101" s="13">
        <f>IFERROR(J101/K101, 0)</f>
      </c>
      <c r="O101" s="10">
        <v>0</v>
      </c>
      <c r="P101" s="10">
        <v>13782</v>
      </c>
      <c r="Q101" s="10">
        <v>62742.96111111111</v>
      </c>
      <c r="R101" s="11">
        <f>IFERROR(P101/Q101, 0)</f>
      </c>
      <c r="S101" s="10">
        <v>125669</v>
      </c>
      <c r="T101" s="10">
        <v>711186.9511111111</v>
      </c>
      <c r="U101" s="11">
        <f>IFERROR(S101/T101, 0)</f>
      </c>
      <c r="V101" s="10">
        <f>IFERROR(S101/E101, 0)</f>
      </c>
      <c r="W101" s="10">
        <f>IFERROR(T101/F101, 0)</f>
      </c>
      <c r="X101" s="11">
        <f>IFERROR(V101/W101, 0)</f>
      </c>
    </row>
    <row r="102" spans="1:24" x14ac:dyDescent="0.25">
      <c r="A102" s="8" t="s">
        <v>103</v>
      </c>
      <c r="B102" s="8" t="s">
        <v>104</v>
      </c>
      <c r="C102" s="8" t="s">
        <v>24</v>
      </c>
      <c r="D102" s="8" t="s">
        <v>131</v>
      </c>
      <c r="E102" s="9">
        <v>22</v>
      </c>
      <c r="F102" s="9">
        <v>18.59</v>
      </c>
      <c r="G102" s="10">
        <v>0</v>
      </c>
      <c r="H102" s="10">
        <v>556.1096296296296</v>
      </c>
      <c r="I102" s="11">
        <f>IFERROR(G102/H102, 0)</f>
      </c>
      <c r="J102" s="10">
        <v>0</v>
      </c>
      <c r="K102" s="10">
        <v>0</v>
      </c>
      <c r="L102" s="10">
        <v>0</v>
      </c>
      <c r="M102" s="12">
        <f>IFERROR(L102/K102, 0)</f>
      </c>
      <c r="N102" s="13">
        <f>IFERROR(J102/K102, 0)</f>
      </c>
      <c r="O102" s="10">
        <v>0</v>
      </c>
      <c r="P102" s="10">
        <v>1094</v>
      </c>
      <c r="Q102" s="10">
        <v>6117.205925925926</v>
      </c>
      <c r="R102" s="11">
        <f>IFERROR(P102/Q102, 0)</f>
      </c>
      <c r="S102" s="10">
        <v>84534</v>
      </c>
      <c r="T102" s="10">
        <v>69338.08592592593</v>
      </c>
      <c r="U102" s="11">
        <f>IFERROR(S102/T102, 0)</f>
      </c>
      <c r="V102" s="10">
        <f>IFERROR(S102/E102, 0)</f>
      </c>
      <c r="W102" s="10">
        <f>IFERROR(T102/F102, 0)</f>
      </c>
      <c r="X102" s="11">
        <f>IFERROR(V102/W102, 0)</f>
      </c>
    </row>
    <row r="103" spans="1:24" x14ac:dyDescent="0.25">
      <c r="A103" s="8" t="s">
        <v>103</v>
      </c>
      <c r="B103" s="8" t="s">
        <v>104</v>
      </c>
      <c r="C103" s="8" t="s">
        <v>24</v>
      </c>
      <c r="D103" s="8" t="s">
        <v>132</v>
      </c>
      <c r="E103" s="9">
        <v>596.2</v>
      </c>
      <c r="F103" s="9">
        <v>463.71</v>
      </c>
      <c r="G103" s="10">
        <v>21915</v>
      </c>
      <c r="H103" s="10">
        <v>13868.262592592593</v>
      </c>
      <c r="I103" s="11">
        <f>IFERROR(G103/H103, 0)</f>
      </c>
      <c r="J103" s="10">
        <v>86.94</v>
      </c>
      <c r="K103" s="10">
        <v>18</v>
      </c>
      <c r="L103" s="10">
        <v>21915</v>
      </c>
      <c r="M103" s="12">
        <f>IFERROR(L103/K103, 0)</f>
      </c>
      <c r="N103" s="13">
        <f>IFERROR(J103/K103, 0)</f>
      </c>
      <c r="O103" s="10">
        <v>0</v>
      </c>
      <c r="P103" s="10">
        <v>295663</v>
      </c>
      <c r="Q103" s="10">
        <v>152550.88851851854</v>
      </c>
      <c r="R103" s="11">
        <f>IFERROR(P103/Q103, 0)</f>
      </c>
      <c r="S103" s="10">
        <v>2813529</v>
      </c>
      <c r="T103" s="10">
        <v>1729153.3585185185</v>
      </c>
      <c r="U103" s="11">
        <f>IFERROR(S103/T103, 0)</f>
      </c>
      <c r="V103" s="10">
        <f>IFERROR(S103/E103, 0)</f>
      </c>
      <c r="W103" s="10">
        <f>IFERROR(T103/F103, 0)</f>
      </c>
      <c r="X103" s="11">
        <f>IFERROR(V103/W103, 0)</f>
      </c>
    </row>
    <row r="104" spans="1:24" x14ac:dyDescent="0.25">
      <c r="A104" s="8" t="s">
        <v>103</v>
      </c>
      <c r="B104" s="8" t="s">
        <v>104</v>
      </c>
      <c r="C104" s="8" t="s">
        <v>24</v>
      </c>
      <c r="D104" s="8" t="s">
        <v>133</v>
      </c>
      <c r="E104" s="9">
        <v>823.35</v>
      </c>
      <c r="F104" s="9">
        <v>796.28</v>
      </c>
      <c r="G104" s="10">
        <v>33900</v>
      </c>
      <c r="H104" s="10">
        <v>23814.61703703704</v>
      </c>
      <c r="I104" s="11">
        <f>IFERROR(G104/H104, 0)</f>
      </c>
      <c r="J104" s="10">
        <v>84.75</v>
      </c>
      <c r="K104" s="10">
        <v>26</v>
      </c>
      <c r="L104" s="10">
        <v>33900</v>
      </c>
      <c r="M104" s="12">
        <f>IFERROR(L104/K104, 0)</f>
      </c>
      <c r="N104" s="13">
        <f>IFERROR(J104/K104, 0)</f>
      </c>
      <c r="O104" s="10">
        <v>0</v>
      </c>
      <c r="P104" s="10">
        <v>357400</v>
      </c>
      <c r="Q104" s="10">
        <v>261960.78740740742</v>
      </c>
      <c r="R104" s="11">
        <f>IFERROR(P104/Q104, 0)</f>
      </c>
      <c r="S104" s="10">
        <v>4799853</v>
      </c>
      <c r="T104" s="10">
        <v>2969306.7374074073</v>
      </c>
      <c r="U104" s="11">
        <f>IFERROR(S104/T104, 0)</f>
      </c>
      <c r="V104" s="10">
        <f>IFERROR(S104/E104, 0)</f>
      </c>
      <c r="W104" s="10">
        <f>IFERROR(T104/F104, 0)</f>
      </c>
      <c r="X104" s="11">
        <f>IFERROR(V104/W104, 0)</f>
      </c>
    </row>
    <row r="105" spans="1:24" x14ac:dyDescent="0.25">
      <c r="A105" s="8" t="s">
        <v>103</v>
      </c>
      <c r="B105" s="8" t="s">
        <v>104</v>
      </c>
      <c r="C105" s="8" t="s">
        <v>24</v>
      </c>
      <c r="D105" s="8" t="s">
        <v>134</v>
      </c>
      <c r="E105" s="9">
        <v>326.4</v>
      </c>
      <c r="F105" s="9">
        <v>899.89</v>
      </c>
      <c r="G105" s="10">
        <v>2660</v>
      </c>
      <c r="H105" s="10">
        <v>26913.482592592594</v>
      </c>
      <c r="I105" s="11">
        <f>IFERROR(G105/H105, 0)</f>
      </c>
      <c r="J105" s="10">
        <v>18</v>
      </c>
      <c r="K105" s="10">
        <v>6</v>
      </c>
      <c r="L105" s="10">
        <v>2660</v>
      </c>
      <c r="M105" s="12">
        <f>IFERROR(L105/K105, 0)</f>
      </c>
      <c r="N105" s="13">
        <f>IFERROR(J105/K105, 0)</f>
      </c>
      <c r="O105" s="10">
        <v>0</v>
      </c>
      <c r="P105" s="10">
        <v>121263</v>
      </c>
      <c r="Q105" s="10">
        <v>296048.3085185185</v>
      </c>
      <c r="R105" s="11">
        <f>IFERROR(P105/Q105, 0)</f>
      </c>
      <c r="S105" s="10">
        <v>1118295</v>
      </c>
      <c r="T105" s="10">
        <v>3355686.3285185187</v>
      </c>
      <c r="U105" s="11">
        <f>IFERROR(S105/T105, 0)</f>
      </c>
      <c r="V105" s="10">
        <f>IFERROR(S105/E105, 0)</f>
      </c>
      <c r="W105" s="10">
        <f>IFERROR(T105/F105, 0)</f>
      </c>
      <c r="X105" s="11">
        <f>IFERROR(V105/W105, 0)</f>
      </c>
    </row>
    <row r="106" spans="1:24" x14ac:dyDescent="0.25">
      <c r="A106" s="8" t="s">
        <v>103</v>
      </c>
      <c r="B106" s="8" t="s">
        <v>104</v>
      </c>
      <c r="C106" s="8" t="s">
        <v>24</v>
      </c>
      <c r="D106" s="8" t="s">
        <v>135</v>
      </c>
      <c r="E106" s="9">
        <v>39.04</v>
      </c>
      <c r="F106" s="9">
        <v>37.74</v>
      </c>
      <c r="G106" s="10">
        <v>0</v>
      </c>
      <c r="H106" s="10">
        <v>1128.68</v>
      </c>
      <c r="I106" s="11">
        <f>IFERROR(G106/H106, 0)</f>
      </c>
      <c r="J106" s="10">
        <v>0</v>
      </c>
      <c r="K106" s="10">
        <v>0</v>
      </c>
      <c r="L106" s="10">
        <v>0</v>
      </c>
      <c r="M106" s="12">
        <f>IFERROR(L106/K106, 0)</f>
      </c>
      <c r="N106" s="13">
        <f>IFERROR(J106/K106, 0)</f>
      </c>
      <c r="O106" s="10">
        <v>0</v>
      </c>
      <c r="P106" s="10">
        <v>16915</v>
      </c>
      <c r="Q106" s="10">
        <v>12415.48</v>
      </c>
      <c r="R106" s="11">
        <f>IFERROR(P106/Q106, 0)</f>
      </c>
      <c r="S106" s="10">
        <v>226958</v>
      </c>
      <c r="T106" s="10">
        <v>140728.59</v>
      </c>
      <c r="U106" s="11">
        <f>IFERROR(S106/T106, 0)</f>
      </c>
      <c r="V106" s="10">
        <f>IFERROR(S106/E106, 0)</f>
      </c>
      <c r="W106" s="10">
        <f>IFERROR(T106/F106, 0)</f>
      </c>
      <c r="X106" s="11">
        <f>IFERROR(V106/W106, 0)</f>
      </c>
    </row>
    <row r="107" spans="1:24" x14ac:dyDescent="0.25">
      <c r="A107" s="8" t="s">
        <v>103</v>
      </c>
      <c r="B107" s="8" t="s">
        <v>104</v>
      </c>
      <c r="C107" s="8" t="s">
        <v>24</v>
      </c>
      <c r="D107" s="8" t="s">
        <v>136</v>
      </c>
      <c r="E107" s="9">
        <v>8</v>
      </c>
      <c r="F107" s="9">
        <v>5.95</v>
      </c>
      <c r="G107" s="10">
        <v>0</v>
      </c>
      <c r="H107" s="10">
        <v>177.95518518518517</v>
      </c>
      <c r="I107" s="11">
        <f>IFERROR(G107/H107, 0)</f>
      </c>
      <c r="J107" s="10">
        <v>0</v>
      </c>
      <c r="K107" s="10">
        <v>0</v>
      </c>
      <c r="L107" s="10">
        <v>0</v>
      </c>
      <c r="M107" s="12">
        <f>IFERROR(L107/K107, 0)</f>
      </c>
      <c r="N107" s="13">
        <f>IFERROR(J107/K107, 0)</f>
      </c>
      <c r="O107" s="10">
        <v>0</v>
      </c>
      <c r="P107" s="10">
        <v>0</v>
      </c>
      <c r="Q107" s="10">
        <v>1957.507037037037</v>
      </c>
      <c r="R107" s="11">
        <f>IFERROR(P107/Q107, 0)</f>
      </c>
      <c r="S107" s="10">
        <v>0</v>
      </c>
      <c r="T107" s="10">
        <v>22188.187037037038</v>
      </c>
      <c r="U107" s="11">
        <f>IFERROR(S107/T107, 0)</f>
      </c>
      <c r="V107" s="10">
        <f>IFERROR(S107/E107, 0)</f>
      </c>
      <c r="W107" s="10">
        <f>IFERROR(T107/F107, 0)</f>
      </c>
      <c r="X107" s="11">
        <f>IFERROR(V107/W107, 0)</f>
      </c>
    </row>
    <row r="108" spans="1:24" x14ac:dyDescent="0.25">
      <c r="A108" s="8" t="s">
        <v>103</v>
      </c>
      <c r="B108" s="8" t="s">
        <v>104</v>
      </c>
      <c r="C108" s="8" t="s">
        <v>24</v>
      </c>
      <c r="D108" s="8" t="s">
        <v>137</v>
      </c>
      <c r="E108" s="9">
        <v>329.34</v>
      </c>
      <c r="F108" s="9">
        <v>22.31</v>
      </c>
      <c r="G108" s="10">
        <v>12473</v>
      </c>
      <c r="H108" s="10">
        <v>667.3314814814814</v>
      </c>
      <c r="I108" s="11">
        <f>IFERROR(G108/H108, 0)</f>
      </c>
      <c r="J108" s="10">
        <v>23</v>
      </c>
      <c r="K108" s="10">
        <v>8</v>
      </c>
      <c r="L108" s="10">
        <v>12473</v>
      </c>
      <c r="M108" s="12">
        <f>IFERROR(L108/K108, 0)</f>
      </c>
      <c r="N108" s="13">
        <f>IFERROR(J108/K108, 0)</f>
      </c>
      <c r="O108" s="10">
        <v>0</v>
      </c>
      <c r="P108" s="10">
        <v>12473</v>
      </c>
      <c r="Q108" s="10">
        <v>7340.646296296296</v>
      </c>
      <c r="R108" s="11">
        <f>IFERROR(P108/Q108, 0)</f>
      </c>
      <c r="S108" s="10">
        <v>55104</v>
      </c>
      <c r="T108" s="10">
        <v>83205.71629629629</v>
      </c>
      <c r="U108" s="11">
        <f>IFERROR(S108/T108, 0)</f>
      </c>
      <c r="V108" s="10">
        <f>IFERROR(S108/E108, 0)</f>
      </c>
      <c r="W108" s="10">
        <f>IFERROR(T108/F108, 0)</f>
      </c>
      <c r="X108" s="11">
        <f>IFERROR(V108/W108, 0)</f>
      </c>
    </row>
    <row r="109" spans="1:24" x14ac:dyDescent="0.25">
      <c r="A109" s="8" t="s">
        <v>103</v>
      </c>
      <c r="B109" s="8" t="s">
        <v>104</v>
      </c>
      <c r="C109" s="8" t="s">
        <v>24</v>
      </c>
      <c r="D109" s="8" t="s">
        <v>138</v>
      </c>
      <c r="E109" s="9">
        <v>1458.7</v>
      </c>
      <c r="F109" s="9">
        <v>1084.94</v>
      </c>
      <c r="G109" s="10">
        <v>0</v>
      </c>
      <c r="H109" s="10">
        <v>32447.885925925926</v>
      </c>
      <c r="I109" s="11">
        <f>IFERROR(G109/H109, 0)</f>
      </c>
      <c r="J109" s="10">
        <v>0</v>
      </c>
      <c r="K109" s="10">
        <v>0</v>
      </c>
      <c r="L109" s="10">
        <v>0</v>
      </c>
      <c r="M109" s="12">
        <f>IFERROR(L109/K109, 0)</f>
      </c>
      <c r="N109" s="13">
        <f>IFERROR(J109/K109, 0)</f>
      </c>
      <c r="O109" s="10">
        <v>0</v>
      </c>
      <c r="P109" s="10">
        <v>0</v>
      </c>
      <c r="Q109" s="10">
        <v>356926.74518518517</v>
      </c>
      <c r="R109" s="11">
        <f>IFERROR(P109/Q109, 0)</f>
      </c>
      <c r="S109" s="10">
        <v>0</v>
      </c>
      <c r="T109" s="10">
        <v>4045739.025185185</v>
      </c>
      <c r="U109" s="11">
        <f>IFERROR(S109/T109, 0)</f>
      </c>
      <c r="V109" s="10">
        <f>IFERROR(S109/E109, 0)</f>
      </c>
      <c r="W109" s="10">
        <f>IFERROR(T109/F109, 0)</f>
      </c>
      <c r="X109" s="11">
        <f>IFERROR(V109/W109, 0)</f>
      </c>
    </row>
    <row r="110" spans="1:24" x14ac:dyDescent="0.25">
      <c r="A110" s="8" t="s">
        <v>103</v>
      </c>
      <c r="B110" s="8" t="s">
        <v>104</v>
      </c>
      <c r="C110" s="8" t="s">
        <v>24</v>
      </c>
      <c r="D110" s="8" t="s">
        <v>139</v>
      </c>
      <c r="E110" s="9">
        <v>53.95</v>
      </c>
      <c r="F110" s="9">
        <v>40.13</v>
      </c>
      <c r="G110" s="10">
        <v>0</v>
      </c>
      <c r="H110" s="10">
        <v>1200.0844444444444</v>
      </c>
      <c r="I110" s="11">
        <f>IFERROR(G110/H110, 0)</f>
      </c>
      <c r="J110" s="10">
        <v>0</v>
      </c>
      <c r="K110" s="10">
        <v>0</v>
      </c>
      <c r="L110" s="10">
        <v>0</v>
      </c>
      <c r="M110" s="12">
        <f>IFERROR(L110/K110, 0)</f>
      </c>
      <c r="N110" s="13">
        <f>IFERROR(J110/K110, 0)</f>
      </c>
      <c r="O110" s="10">
        <v>0</v>
      </c>
      <c r="P110" s="10">
        <v>8198</v>
      </c>
      <c r="Q110" s="10">
        <v>13200.92888888889</v>
      </c>
      <c r="R110" s="11">
        <f>IFERROR(P110/Q110, 0)</f>
      </c>
      <c r="S110" s="10">
        <v>201183</v>
      </c>
      <c r="T110" s="10">
        <v>149631.5988888889</v>
      </c>
      <c r="U110" s="11">
        <f>IFERROR(S110/T110, 0)</f>
      </c>
      <c r="V110" s="10">
        <f>IFERROR(S110/E110, 0)</f>
      </c>
      <c r="W110" s="10">
        <f>IFERROR(T110/F110, 0)</f>
      </c>
      <c r="X110" s="11">
        <f>IFERROR(V110/W110, 0)</f>
      </c>
    </row>
    <row r="111" spans="1:24" x14ac:dyDescent="0.25">
      <c r="A111" s="8" t="s">
        <v>103</v>
      </c>
      <c r="B111" s="8" t="s">
        <v>104</v>
      </c>
      <c r="C111" s="8" t="s">
        <v>24</v>
      </c>
      <c r="D111" s="8" t="s">
        <v>140</v>
      </c>
      <c r="E111" s="9">
        <v>134.7</v>
      </c>
      <c r="F111" s="9">
        <v>97.99</v>
      </c>
      <c r="G111" s="10">
        <v>1035</v>
      </c>
      <c r="H111" s="10">
        <v>2930.697777777778</v>
      </c>
      <c r="I111" s="11">
        <f>IFERROR(G111/H111, 0)</f>
      </c>
      <c r="J111" s="10">
        <v>6</v>
      </c>
      <c r="K111" s="10">
        <v>2</v>
      </c>
      <c r="L111" s="10">
        <v>1035</v>
      </c>
      <c r="M111" s="12">
        <f>IFERROR(L111/K111, 0)</f>
      </c>
      <c r="N111" s="13">
        <f>IFERROR(J111/K111, 0)</f>
      </c>
      <c r="O111" s="10">
        <v>0</v>
      </c>
      <c r="P111" s="10">
        <v>11795</v>
      </c>
      <c r="Q111" s="10">
        <v>32237.675555555557</v>
      </c>
      <c r="R111" s="11">
        <f>IFERROR(P111/Q111, 0)</f>
      </c>
      <c r="S111" s="10">
        <v>184208</v>
      </c>
      <c r="T111" s="10">
        <v>365411.74555555556</v>
      </c>
      <c r="U111" s="11">
        <f>IFERROR(S111/T111, 0)</f>
      </c>
      <c r="V111" s="10">
        <f>IFERROR(S111/E111, 0)</f>
      </c>
      <c r="W111" s="10">
        <f>IFERROR(T111/F111, 0)</f>
      </c>
      <c r="X111" s="11">
        <f>IFERROR(V111/W111, 0)</f>
      </c>
    </row>
    <row r="112" spans="1:24" x14ac:dyDescent="0.25">
      <c r="A112" s="8" t="s">
        <v>103</v>
      </c>
      <c r="B112" s="8" t="s">
        <v>104</v>
      </c>
      <c r="C112" s="8" t="s">
        <v>24</v>
      </c>
      <c r="D112" s="8" t="s">
        <v>141</v>
      </c>
      <c r="E112" s="9">
        <v>75</v>
      </c>
      <c r="F112" s="9">
        <v>84.93</v>
      </c>
      <c r="G112" s="10">
        <v>0</v>
      </c>
      <c r="H112" s="10">
        <v>2540.0862962962965</v>
      </c>
      <c r="I112" s="11">
        <f>IFERROR(G112/H112, 0)</f>
      </c>
      <c r="J112" s="10">
        <v>0</v>
      </c>
      <c r="K112" s="10">
        <v>0</v>
      </c>
      <c r="L112" s="10">
        <v>0</v>
      </c>
      <c r="M112" s="12">
        <f>IFERROR(L112/K112, 0)</f>
      </c>
      <c r="N112" s="13">
        <f>IFERROR(J112/K112, 0)</f>
      </c>
      <c r="O112" s="10">
        <v>0</v>
      </c>
      <c r="P112" s="10">
        <v>36408</v>
      </c>
      <c r="Q112" s="10">
        <v>27940.949259259258</v>
      </c>
      <c r="R112" s="11">
        <f>IFERROR(P112/Q112, 0)</f>
      </c>
      <c r="S112" s="10">
        <v>299262</v>
      </c>
      <c r="T112" s="10">
        <v>316708.66925925924</v>
      </c>
      <c r="U112" s="11">
        <f>IFERROR(S112/T112, 0)</f>
      </c>
      <c r="V112" s="10">
        <f>IFERROR(S112/E112, 0)</f>
      </c>
      <c r="W112" s="10">
        <f>IFERROR(T112/F112, 0)</f>
      </c>
      <c r="X112" s="11">
        <f>IFERROR(V112/W112, 0)</f>
      </c>
    </row>
    <row r="113" spans="1:24" x14ac:dyDescent="0.25">
      <c r="A113" s="8" t="s">
        <v>103</v>
      </c>
      <c r="B113" s="8" t="s">
        <v>104</v>
      </c>
      <c r="C113" s="8" t="s">
        <v>24</v>
      </c>
      <c r="D113" s="8" t="s">
        <v>142</v>
      </c>
      <c r="E113" s="9">
        <v>132</v>
      </c>
      <c r="F113" s="9">
        <v>87.77</v>
      </c>
      <c r="G113" s="10">
        <v>0</v>
      </c>
      <c r="H113" s="10">
        <v>2624.837407407407</v>
      </c>
      <c r="I113" s="11">
        <f>IFERROR(G113/H113, 0)</f>
      </c>
      <c r="J113" s="10">
        <v>0</v>
      </c>
      <c r="K113" s="10">
        <v>0</v>
      </c>
      <c r="L113" s="10">
        <v>0</v>
      </c>
      <c r="M113" s="12">
        <f>IFERROR(L113/K113, 0)</f>
      </c>
      <c r="N113" s="13">
        <f>IFERROR(J113/K113, 0)</f>
      </c>
      <c r="O113" s="10">
        <v>0</v>
      </c>
      <c r="P113" s="10">
        <v>0</v>
      </c>
      <c r="Q113" s="10">
        <v>28873.21148148148</v>
      </c>
      <c r="R113" s="11">
        <f>IFERROR(P113/Q113, 0)</f>
      </c>
      <c r="S113" s="10">
        <v>0</v>
      </c>
      <c r="T113" s="10">
        <v>327275.79148148146</v>
      </c>
      <c r="U113" s="11">
        <f>IFERROR(S113/T113, 0)</f>
      </c>
      <c r="V113" s="10">
        <f>IFERROR(S113/E113, 0)</f>
      </c>
      <c r="W113" s="10">
        <f>IFERROR(T113/F113, 0)</f>
      </c>
      <c r="X113" s="11">
        <f>IFERROR(V113/W113, 0)</f>
      </c>
    </row>
    <row r="114" spans="1:24" x14ac:dyDescent="0.25">
      <c r="A114" s="8" t="s">
        <v>103</v>
      </c>
      <c r="B114" s="8" t="s">
        <v>104</v>
      </c>
      <c r="C114" s="8" t="s">
        <v>24</v>
      </c>
      <c r="D114" s="8" t="s">
        <v>143</v>
      </c>
      <c r="E114" s="9">
        <v>247.54</v>
      </c>
      <c r="F114" s="9">
        <v>184.11</v>
      </c>
      <c r="G114" s="10">
        <v>0</v>
      </c>
      <c r="H114" s="10">
        <v>5506.375185185185</v>
      </c>
      <c r="I114" s="11">
        <f>IFERROR(G114/H114, 0)</f>
      </c>
      <c r="J114" s="10">
        <v>0</v>
      </c>
      <c r="K114" s="10">
        <v>0</v>
      </c>
      <c r="L114" s="10">
        <v>0</v>
      </c>
      <c r="M114" s="12">
        <f>IFERROR(L114/K114, 0)</f>
      </c>
      <c r="N114" s="13">
        <f>IFERROR(J114/K114, 0)</f>
      </c>
      <c r="O114" s="10">
        <v>0</v>
      </c>
      <c r="P114" s="10">
        <v>0</v>
      </c>
      <c r="Q114" s="10">
        <v>60570.12703703704</v>
      </c>
      <c r="R114" s="11">
        <f>IFERROR(P114/Q114, 0)</f>
      </c>
      <c r="S114" s="10">
        <v>0</v>
      </c>
      <c r="T114" s="10">
        <v>686558.057037037</v>
      </c>
      <c r="U114" s="11">
        <f>IFERROR(S114/T114, 0)</f>
      </c>
      <c r="V114" s="10">
        <f>IFERROR(S114/E114, 0)</f>
      </c>
      <c r="W114" s="10">
        <f>IFERROR(T114/F114, 0)</f>
      </c>
      <c r="X114" s="11">
        <f>IFERROR(V114/W114, 0)</f>
      </c>
    </row>
    <row r="115" spans="1:24" x14ac:dyDescent="0.25">
      <c r="A115" s="8" t="s">
        <v>103</v>
      </c>
      <c r="B115" s="8" t="s">
        <v>104</v>
      </c>
      <c r="C115" s="8" t="s">
        <v>24</v>
      </c>
      <c r="D115" s="8" t="s">
        <v>144</v>
      </c>
      <c r="E115" s="9">
        <v>27.01</v>
      </c>
      <c r="F115" s="9">
        <v>20.09</v>
      </c>
      <c r="G115" s="10">
        <v>0</v>
      </c>
      <c r="H115" s="10">
        <v>600.8207407407407</v>
      </c>
      <c r="I115" s="11">
        <f>IFERROR(G115/H115, 0)</f>
      </c>
      <c r="J115" s="10">
        <v>0</v>
      </c>
      <c r="K115" s="10">
        <v>0</v>
      </c>
      <c r="L115" s="10">
        <v>0</v>
      </c>
      <c r="M115" s="12">
        <f>IFERROR(L115/K115, 0)</f>
      </c>
      <c r="N115" s="13">
        <f>IFERROR(J115/K115, 0)</f>
      </c>
      <c r="O115" s="10">
        <v>0</v>
      </c>
      <c r="P115" s="10">
        <v>0</v>
      </c>
      <c r="Q115" s="10">
        <v>6609.028148148148</v>
      </c>
      <c r="R115" s="11">
        <f>IFERROR(P115/Q115, 0)</f>
      </c>
      <c r="S115" s="10">
        <v>0</v>
      </c>
      <c r="T115" s="10">
        <v>74912.86814814815</v>
      </c>
      <c r="U115" s="11">
        <f>IFERROR(S115/T115, 0)</f>
      </c>
      <c r="V115" s="10">
        <f>IFERROR(S115/E115, 0)</f>
      </c>
      <c r="W115" s="10">
        <f>IFERROR(T115/F115, 0)</f>
      </c>
      <c r="X115" s="11">
        <f>IFERROR(V115/W115, 0)</f>
      </c>
    </row>
    <row r="116" spans="1:24" x14ac:dyDescent="0.25">
      <c r="A116" s="8" t="s">
        <v>103</v>
      </c>
      <c r="B116" s="8" t="s">
        <v>104</v>
      </c>
      <c r="C116" s="8" t="s">
        <v>24</v>
      </c>
      <c r="D116" s="8" t="s">
        <v>145</v>
      </c>
      <c r="E116" s="9">
        <v>6</v>
      </c>
      <c r="F116" s="9">
        <v>28.64</v>
      </c>
      <c r="G116" s="10">
        <v>0</v>
      </c>
      <c r="H116" s="10">
        <v>856.6314814814815</v>
      </c>
      <c r="I116" s="11">
        <f>IFERROR(G116/H116, 0)</f>
      </c>
      <c r="J116" s="10">
        <v>0</v>
      </c>
      <c r="K116" s="10">
        <v>0</v>
      </c>
      <c r="L116" s="10">
        <v>0</v>
      </c>
      <c r="M116" s="12">
        <f>IFERROR(L116/K116, 0)</f>
      </c>
      <c r="N116" s="13">
        <f>IFERROR(J116/K116, 0)</f>
      </c>
      <c r="O116" s="10">
        <v>0</v>
      </c>
      <c r="P116" s="10">
        <v>0</v>
      </c>
      <c r="Q116" s="10">
        <v>9422.946296296297</v>
      </c>
      <c r="R116" s="11">
        <f>IFERROR(P116/Q116, 0)</f>
      </c>
      <c r="S116" s="10">
        <v>0</v>
      </c>
      <c r="T116" s="10">
        <v>106808.40629629629</v>
      </c>
      <c r="U116" s="11">
        <f>IFERROR(S116/T116, 0)</f>
      </c>
      <c r="V116" s="10">
        <f>IFERROR(S116/E116, 0)</f>
      </c>
      <c r="W116" s="10">
        <f>IFERROR(T116/F116, 0)</f>
      </c>
      <c r="X116" s="11">
        <f>IFERROR(V116/W116, 0)</f>
      </c>
    </row>
    <row r="117" spans="1:24" x14ac:dyDescent="0.25">
      <c r="A117" s="8" t="s">
        <v>103</v>
      </c>
      <c r="B117" s="8" t="s">
        <v>104</v>
      </c>
      <c r="C117" s="8" t="s">
        <v>24</v>
      </c>
      <c r="D117" s="8" t="s">
        <v>146</v>
      </c>
      <c r="E117" s="9">
        <v>675.83</v>
      </c>
      <c r="F117" s="9">
        <v>571.81</v>
      </c>
      <c r="G117" s="10">
        <v>31842</v>
      </c>
      <c r="H117" s="10">
        <v>17101.484074074073</v>
      </c>
      <c r="I117" s="11">
        <f>IFERROR(G117/H117, 0)</f>
      </c>
      <c r="J117" s="10">
        <v>45</v>
      </c>
      <c r="K117" s="10">
        <v>25</v>
      </c>
      <c r="L117" s="10">
        <v>31842</v>
      </c>
      <c r="M117" s="12">
        <f>IFERROR(L117/K117, 0)</f>
      </c>
      <c r="N117" s="13">
        <f>IFERROR(J117/K117, 0)</f>
      </c>
      <c r="O117" s="10">
        <v>0</v>
      </c>
      <c r="P117" s="10">
        <v>336322</v>
      </c>
      <c r="Q117" s="10">
        <v>188116.3248148148</v>
      </c>
      <c r="R117" s="11">
        <f>IFERROR(P117/Q117, 0)</f>
      </c>
      <c r="S117" s="10">
        <v>4202215</v>
      </c>
      <c r="T117" s="10">
        <v>2132285.014814815</v>
      </c>
      <c r="U117" s="11">
        <f>IFERROR(S117/T117, 0)</f>
      </c>
      <c r="V117" s="10">
        <f>IFERROR(S117/E117, 0)</f>
      </c>
      <c r="W117" s="10">
        <f>IFERROR(T117/F117, 0)</f>
      </c>
      <c r="X117" s="11">
        <f>IFERROR(V117/W117, 0)</f>
      </c>
    </row>
    <row r="118" spans="1:24" x14ac:dyDescent="0.25">
      <c r="A118" s="8" t="s">
        <v>103</v>
      </c>
      <c r="B118" s="8" t="s">
        <v>104</v>
      </c>
      <c r="C118" s="8" t="s">
        <v>24</v>
      </c>
      <c r="D118" s="8" t="s">
        <v>147</v>
      </c>
      <c r="E118" s="9">
        <v>0</v>
      </c>
      <c r="F118" s="9">
        <v>0</v>
      </c>
      <c r="G118" s="10">
        <v>0</v>
      </c>
      <c r="H118" s="10">
        <v>0</v>
      </c>
      <c r="I118" s="11">
        <f>IFERROR(G118/H118, 0)</f>
      </c>
      <c r="J118" s="10">
        <v>0</v>
      </c>
      <c r="K118" s="10">
        <v>0</v>
      </c>
      <c r="L118" s="10">
        <v>0</v>
      </c>
      <c r="M118" s="12">
        <f>IFERROR(L118/K118, 0)</f>
      </c>
      <c r="N118" s="13">
        <f>IFERROR(J118/K118, 0)</f>
      </c>
      <c r="O118" s="10">
        <v>0</v>
      </c>
      <c r="P118" s="10">
        <v>0</v>
      </c>
      <c r="Q118" s="10">
        <v>0</v>
      </c>
      <c r="R118" s="11">
        <f>IFERROR(P118/Q118, 0)</f>
      </c>
      <c r="S118" s="10">
        <v>0</v>
      </c>
      <c r="T118" s="10">
        <v>0</v>
      </c>
      <c r="U118" s="11">
        <f>IFERROR(S118/T118, 0)</f>
      </c>
      <c r="V118" s="10">
        <f>IFERROR(S118/E118, 0)</f>
      </c>
      <c r="W118" s="10">
        <f>IFERROR(T118/F118, 0)</f>
      </c>
      <c r="X118" s="11">
        <f>IFERROR(V118/W118, 0)</f>
      </c>
    </row>
    <row r="119" spans="1:24" x14ac:dyDescent="0.25">
      <c r="A119" s="8" t="s">
        <v>103</v>
      </c>
      <c r="B119" s="8" t="s">
        <v>104</v>
      </c>
      <c r="C119" s="8" t="s">
        <v>24</v>
      </c>
      <c r="D119" s="8" t="s">
        <v>148</v>
      </c>
      <c r="E119" s="9">
        <v>1802.71</v>
      </c>
      <c r="F119" s="9">
        <v>1673.21</v>
      </c>
      <c r="G119" s="10">
        <v>0</v>
      </c>
      <c r="H119" s="10">
        <v>50041.415555555555</v>
      </c>
      <c r="I119" s="11">
        <f>IFERROR(G119/H119, 0)</f>
      </c>
      <c r="J119" s="10">
        <v>0</v>
      </c>
      <c r="K119" s="10">
        <v>0</v>
      </c>
      <c r="L119" s="10">
        <v>0</v>
      </c>
      <c r="M119" s="12">
        <f>IFERROR(L119/K119, 0)</f>
      </c>
      <c r="N119" s="13">
        <f>IFERROR(J119/K119, 0)</f>
      </c>
      <c r="O119" s="10">
        <v>0</v>
      </c>
      <c r="P119" s="10">
        <v>607267</v>
      </c>
      <c r="Q119" s="10">
        <v>550455.5711111111</v>
      </c>
      <c r="R119" s="11">
        <f>IFERROR(P119/Q119, 0)</f>
      </c>
      <c r="S119" s="10">
        <v>6264532</v>
      </c>
      <c r="T119" s="10">
        <v>6239374.391111111</v>
      </c>
      <c r="U119" s="11">
        <f>IFERROR(S119/T119, 0)</f>
      </c>
      <c r="V119" s="10">
        <f>IFERROR(S119/E119, 0)</f>
      </c>
      <c r="W119" s="10">
        <f>IFERROR(T119/F119, 0)</f>
      </c>
      <c r="X119" s="11">
        <f>IFERROR(V119/W119, 0)</f>
      </c>
    </row>
    <row r="120" spans="1:24" x14ac:dyDescent="0.25">
      <c r="A120" s="8" t="s">
        <v>103</v>
      </c>
      <c r="B120" s="8" t="s">
        <v>104</v>
      </c>
      <c r="C120" s="8" t="s">
        <v>24</v>
      </c>
      <c r="D120" s="8" t="s">
        <v>149</v>
      </c>
      <c r="E120" s="9">
        <v>749.6</v>
      </c>
      <c r="F120" s="9">
        <v>557.53</v>
      </c>
      <c r="G120" s="10">
        <v>0</v>
      </c>
      <c r="H120" s="10">
        <v>16674.39185185185</v>
      </c>
      <c r="I120" s="11">
        <f>IFERROR(G120/H120, 0)</f>
      </c>
      <c r="J120" s="10">
        <v>0</v>
      </c>
      <c r="K120" s="10">
        <v>0</v>
      </c>
      <c r="L120" s="10">
        <v>0</v>
      </c>
      <c r="M120" s="12">
        <f>IFERROR(L120/K120, 0)</f>
      </c>
      <c r="N120" s="13">
        <f>IFERROR(J120/K120, 0)</f>
      </c>
      <c r="O120" s="10">
        <v>0</v>
      </c>
      <c r="P120" s="10">
        <v>0</v>
      </c>
      <c r="Q120" s="10">
        <v>183418.31037037037</v>
      </c>
      <c r="R120" s="11">
        <f>IFERROR(P120/Q120, 0)</f>
      </c>
      <c r="S120" s="10">
        <v>0</v>
      </c>
      <c r="T120" s="10">
        <v>2079033.3703703703</v>
      </c>
      <c r="U120" s="11">
        <f>IFERROR(S120/T120, 0)</f>
      </c>
      <c r="V120" s="10">
        <f>IFERROR(S120/E120, 0)</f>
      </c>
      <c r="W120" s="10">
        <f>IFERROR(T120/F120, 0)</f>
      </c>
      <c r="X120" s="11">
        <f>IFERROR(V120/W120, 0)</f>
      </c>
    </row>
    <row r="121" spans="1:24" x14ac:dyDescent="0.25">
      <c r="A121" s="8" t="s">
        <v>103</v>
      </c>
      <c r="B121" s="8" t="s">
        <v>104</v>
      </c>
      <c r="C121" s="8" t="s">
        <v>24</v>
      </c>
      <c r="D121" s="8" t="s">
        <v>150</v>
      </c>
      <c r="E121" s="9">
        <v>242</v>
      </c>
      <c r="F121" s="9">
        <v>321.31</v>
      </c>
      <c r="G121" s="10">
        <v>0</v>
      </c>
      <c r="H121" s="10">
        <v>9609.574814814814</v>
      </c>
      <c r="I121" s="11">
        <f>IFERROR(G121/H121, 0)</f>
      </c>
      <c r="J121" s="10">
        <v>0</v>
      </c>
      <c r="K121" s="10">
        <v>0</v>
      </c>
      <c r="L121" s="10">
        <v>0</v>
      </c>
      <c r="M121" s="12">
        <f>IFERROR(L121/K121, 0)</f>
      </c>
      <c r="N121" s="13">
        <f>IFERROR(J121/K121, 0)</f>
      </c>
      <c r="O121" s="10">
        <v>0</v>
      </c>
      <c r="P121" s="10">
        <v>0</v>
      </c>
      <c r="Q121" s="10">
        <v>105705.32296296296</v>
      </c>
      <c r="R121" s="11">
        <f>IFERROR(P121/Q121, 0)</f>
      </c>
      <c r="S121" s="10">
        <v>0</v>
      </c>
      <c r="T121" s="10">
        <v>1198162.232962963</v>
      </c>
      <c r="U121" s="11">
        <f>IFERROR(S121/T121, 0)</f>
      </c>
      <c r="V121" s="10">
        <f>IFERROR(S121/E121, 0)</f>
      </c>
      <c r="W121" s="10">
        <f>IFERROR(T121/F121, 0)</f>
      </c>
      <c r="X121" s="11">
        <f>IFERROR(V121/W121, 0)</f>
      </c>
    </row>
    <row r="122" spans="1:24" x14ac:dyDescent="0.25">
      <c r="A122" s="8" t="s">
        <v>103</v>
      </c>
      <c r="B122" s="8" t="s">
        <v>104</v>
      </c>
      <c r="C122" s="8" t="s">
        <v>24</v>
      </c>
      <c r="D122" s="8" t="s">
        <v>151</v>
      </c>
      <c r="E122" s="9">
        <v>786.38</v>
      </c>
      <c r="F122" s="9">
        <v>618.4</v>
      </c>
      <c r="G122" s="10">
        <v>86628</v>
      </c>
      <c r="H122" s="10">
        <v>18494.65</v>
      </c>
      <c r="I122" s="11">
        <f>IFERROR(G122/H122, 0)</f>
      </c>
      <c r="J122" s="10">
        <v>134.68</v>
      </c>
      <c r="K122" s="10">
        <v>40</v>
      </c>
      <c r="L122" s="10">
        <v>86628</v>
      </c>
      <c r="M122" s="12">
        <f>IFERROR(L122/K122, 0)</f>
      </c>
      <c r="N122" s="13">
        <f>IFERROR(J122/K122, 0)</f>
      </c>
      <c r="O122" s="10">
        <v>0</v>
      </c>
      <c r="P122" s="10">
        <v>1144336</v>
      </c>
      <c r="Q122" s="10">
        <v>203441.15</v>
      </c>
      <c r="R122" s="11">
        <f>IFERROR(P122/Q122, 0)</f>
      </c>
      <c r="S122" s="10">
        <v>13207845</v>
      </c>
      <c r="T122" s="10">
        <v>2305990.81</v>
      </c>
      <c r="U122" s="11">
        <f>IFERROR(S122/T122, 0)</f>
      </c>
      <c r="V122" s="10">
        <f>IFERROR(S122/E122, 0)</f>
      </c>
      <c r="W122" s="10">
        <f>IFERROR(T122/F122, 0)</f>
      </c>
      <c r="X122" s="11">
        <f>IFERROR(V122/W122, 0)</f>
      </c>
    </row>
    <row r="123" spans="1:24" x14ac:dyDescent="0.25">
      <c r="A123" s="8" t="s">
        <v>103</v>
      </c>
      <c r="B123" s="8" t="s">
        <v>104</v>
      </c>
      <c r="C123" s="8" t="s">
        <v>24</v>
      </c>
      <c r="D123" s="8" t="s">
        <v>152</v>
      </c>
      <c r="E123" s="9">
        <v>0</v>
      </c>
      <c r="F123" s="9">
        <v>0</v>
      </c>
      <c r="G123" s="10">
        <v>0</v>
      </c>
      <c r="H123" s="10">
        <v>0</v>
      </c>
      <c r="I123" s="11">
        <f>IFERROR(G123/H123, 0)</f>
      </c>
      <c r="J123" s="10">
        <v>0</v>
      </c>
      <c r="K123" s="10">
        <v>0</v>
      </c>
      <c r="L123" s="10">
        <v>0</v>
      </c>
      <c r="M123" s="12">
        <f>IFERROR(L123/K123, 0)</f>
      </c>
      <c r="N123" s="13">
        <f>IFERROR(J123/K123, 0)</f>
      </c>
      <c r="O123" s="10">
        <v>0</v>
      </c>
      <c r="P123" s="10">
        <v>0</v>
      </c>
      <c r="Q123" s="10">
        <v>0</v>
      </c>
      <c r="R123" s="11">
        <f>IFERROR(P123/Q123, 0)</f>
      </c>
      <c r="S123" s="10">
        <v>0</v>
      </c>
      <c r="T123" s="10">
        <v>0</v>
      </c>
      <c r="U123" s="11">
        <f>IFERROR(S123/T123, 0)</f>
      </c>
      <c r="V123" s="10">
        <f>IFERROR(S123/E123, 0)</f>
      </c>
      <c r="W123" s="10">
        <f>IFERROR(T123/F123, 0)</f>
      </c>
      <c r="X123" s="11">
        <f>IFERROR(V123/W123, 0)</f>
      </c>
    </row>
    <row r="124" spans="1:24" x14ac:dyDescent="0.25">
      <c r="A124" s="8" t="s">
        <v>103</v>
      </c>
      <c r="B124" s="8" t="s">
        <v>104</v>
      </c>
      <c r="C124" s="8" t="s">
        <v>24</v>
      </c>
      <c r="D124" s="8" t="s">
        <v>153</v>
      </c>
      <c r="E124" s="9">
        <v>126.29</v>
      </c>
      <c r="F124" s="9">
        <v>99.71</v>
      </c>
      <c r="G124" s="10">
        <v>19200</v>
      </c>
      <c r="H124" s="10">
        <v>2982.0822222222223</v>
      </c>
      <c r="I124" s="11">
        <f>IFERROR(G124/H124, 0)</f>
      </c>
      <c r="J124" s="10">
        <v>22.56</v>
      </c>
      <c r="K124" s="10">
        <v>11</v>
      </c>
      <c r="L124" s="10">
        <v>19200</v>
      </c>
      <c r="M124" s="12">
        <f>IFERROR(L124/K124, 0)</f>
      </c>
      <c r="N124" s="13">
        <f>IFERROR(J124/K124, 0)</f>
      </c>
      <c r="O124" s="10">
        <v>0</v>
      </c>
      <c r="P124" s="10">
        <v>79578</v>
      </c>
      <c r="Q124" s="10">
        <v>32802.904444444444</v>
      </c>
      <c r="R124" s="11">
        <f>IFERROR(P124/Q124, 0)</f>
      </c>
      <c r="S124" s="10">
        <v>875495</v>
      </c>
      <c r="T124" s="10">
        <v>371818.58444444445</v>
      </c>
      <c r="U124" s="11">
        <f>IFERROR(S124/T124, 0)</f>
      </c>
      <c r="V124" s="10">
        <f>IFERROR(S124/E124, 0)</f>
      </c>
      <c r="W124" s="10">
        <f>IFERROR(T124/F124, 0)</f>
      </c>
      <c r="X124" s="11">
        <f>IFERROR(V124/W124, 0)</f>
      </c>
    </row>
    <row r="125" spans="1:24" x14ac:dyDescent="0.25">
      <c r="A125" s="8" t="s">
        <v>103</v>
      </c>
      <c r="B125" s="8" t="s">
        <v>104</v>
      </c>
      <c r="C125" s="8" t="s">
        <v>24</v>
      </c>
      <c r="D125" s="8" t="s">
        <v>154</v>
      </c>
      <c r="E125" s="9">
        <v>677.77</v>
      </c>
      <c r="F125" s="9">
        <v>923.99</v>
      </c>
      <c r="G125" s="10">
        <v>15980</v>
      </c>
      <c r="H125" s="10">
        <v>27634.20074074074</v>
      </c>
      <c r="I125" s="11">
        <f>IFERROR(G125/H125, 0)</f>
      </c>
      <c r="J125" s="10">
        <v>64.21</v>
      </c>
      <c r="K125" s="10">
        <v>29</v>
      </c>
      <c r="L125" s="10">
        <v>15980</v>
      </c>
      <c r="M125" s="12">
        <f>IFERROR(L125/K125, 0)</f>
      </c>
      <c r="N125" s="13">
        <f>IFERROR(J125/K125, 0)</f>
      </c>
      <c r="O125" s="10">
        <v>0</v>
      </c>
      <c r="P125" s="10">
        <v>274500</v>
      </c>
      <c r="Q125" s="10">
        <v>303976.20814814814</v>
      </c>
      <c r="R125" s="11">
        <f>IFERROR(P125/Q125, 0)</f>
      </c>
      <c r="S125" s="10">
        <v>3340344</v>
      </c>
      <c r="T125" s="10">
        <v>3445548.488148148</v>
      </c>
      <c r="U125" s="11">
        <f>IFERROR(S125/T125, 0)</f>
      </c>
      <c r="V125" s="10">
        <f>IFERROR(S125/E125, 0)</f>
      </c>
      <c r="W125" s="10">
        <f>IFERROR(T125/F125, 0)</f>
      </c>
      <c r="X125" s="11">
        <f>IFERROR(V125/W125, 0)</f>
      </c>
    </row>
    <row r="126" spans="1:24" x14ac:dyDescent="0.25">
      <c r="A126" s="8" t="s">
        <v>103</v>
      </c>
      <c r="B126" s="8" t="s">
        <v>104</v>
      </c>
      <c r="C126" s="8" t="s">
        <v>24</v>
      </c>
      <c r="D126" s="8" t="s">
        <v>155</v>
      </c>
      <c r="E126" s="9">
        <v>12.65</v>
      </c>
      <c r="F126" s="9">
        <v>5.36</v>
      </c>
      <c r="G126" s="10">
        <v>0</v>
      </c>
      <c r="H126" s="10">
        <v>160.38185185185185</v>
      </c>
      <c r="I126" s="11">
        <f>IFERROR(G126/H126, 0)</f>
      </c>
      <c r="J126" s="10">
        <v>0</v>
      </c>
      <c r="K126" s="10">
        <v>0</v>
      </c>
      <c r="L126" s="10">
        <v>0</v>
      </c>
      <c r="M126" s="12">
        <f>IFERROR(L126/K126, 0)</f>
      </c>
      <c r="N126" s="13">
        <f>IFERROR(J126/K126, 0)</f>
      </c>
      <c r="O126" s="10">
        <v>0</v>
      </c>
      <c r="P126" s="10">
        <v>0</v>
      </c>
      <c r="Q126" s="10">
        <v>1764.2003703703704</v>
      </c>
      <c r="R126" s="11">
        <f>IFERROR(P126/Q126, 0)</f>
      </c>
      <c r="S126" s="10">
        <v>0</v>
      </c>
      <c r="T126" s="10">
        <v>19997.11037037037</v>
      </c>
      <c r="U126" s="11">
        <f>IFERROR(S126/T126, 0)</f>
      </c>
      <c r="V126" s="10">
        <f>IFERROR(S126/E126, 0)</f>
      </c>
      <c r="W126" s="10">
        <f>IFERROR(T126/F126, 0)</f>
      </c>
      <c r="X126" s="11">
        <f>IFERROR(V126/W126, 0)</f>
      </c>
    </row>
    <row r="127" spans="1:24" x14ac:dyDescent="0.25">
      <c r="A127" s="8" t="s">
        <v>103</v>
      </c>
      <c r="B127" s="8" t="s">
        <v>104</v>
      </c>
      <c r="C127" s="8" t="s">
        <v>24</v>
      </c>
      <c r="D127" s="8" t="s">
        <v>156</v>
      </c>
      <c r="E127" s="9">
        <v>15.1</v>
      </c>
      <c r="F127" s="9">
        <v>11.23</v>
      </c>
      <c r="G127" s="10">
        <v>0</v>
      </c>
      <c r="H127" s="10">
        <v>335.89037037037036</v>
      </c>
      <c r="I127" s="11">
        <f>IFERROR(G127/H127, 0)</f>
      </c>
      <c r="J127" s="10">
        <v>0</v>
      </c>
      <c r="K127" s="10">
        <v>0</v>
      </c>
      <c r="L127" s="10">
        <v>0</v>
      </c>
      <c r="M127" s="12">
        <f>IFERROR(L127/K127, 0)</f>
      </c>
      <c r="N127" s="13">
        <f>IFERROR(J127/K127, 0)</f>
      </c>
      <c r="O127" s="10">
        <v>0</v>
      </c>
      <c r="P127" s="10">
        <v>0</v>
      </c>
      <c r="Q127" s="10">
        <v>3694.794074074074</v>
      </c>
      <c r="R127" s="11">
        <f>IFERROR(P127/Q127, 0)</f>
      </c>
      <c r="S127" s="10">
        <v>36070</v>
      </c>
      <c r="T127" s="10">
        <v>41880.21407407407</v>
      </c>
      <c r="U127" s="11">
        <f>IFERROR(S127/T127, 0)</f>
      </c>
      <c r="V127" s="10">
        <f>IFERROR(S127/E127, 0)</f>
      </c>
      <c r="W127" s="10">
        <f>IFERROR(T127/F127, 0)</f>
      </c>
      <c r="X127" s="11">
        <f>IFERROR(V127/W127, 0)</f>
      </c>
    </row>
    <row r="128" spans="1:24" x14ac:dyDescent="0.25">
      <c r="A128" s="8" t="s">
        <v>103</v>
      </c>
      <c r="B128" s="8" t="s">
        <v>104</v>
      </c>
      <c r="C128" s="8" t="s">
        <v>24</v>
      </c>
      <c r="D128" s="8" t="s">
        <v>157</v>
      </c>
      <c r="E128" s="9">
        <v>13.68</v>
      </c>
      <c r="F128" s="9">
        <v>10.17</v>
      </c>
      <c r="G128" s="10">
        <v>0</v>
      </c>
      <c r="H128" s="10">
        <v>304.30333333333334</v>
      </c>
      <c r="I128" s="11">
        <f>IFERROR(G128/H128, 0)</f>
      </c>
      <c r="J128" s="10">
        <v>0</v>
      </c>
      <c r="K128" s="10">
        <v>0</v>
      </c>
      <c r="L128" s="10">
        <v>0</v>
      </c>
      <c r="M128" s="12">
        <f>IFERROR(L128/K128, 0)</f>
      </c>
      <c r="N128" s="13">
        <f>IFERROR(J128/K128, 0)</f>
      </c>
      <c r="O128" s="10">
        <v>0</v>
      </c>
      <c r="P128" s="10">
        <v>0</v>
      </c>
      <c r="Q128" s="10">
        <v>3347.3366666666666</v>
      </c>
      <c r="R128" s="11">
        <f>IFERROR(P128/Q128, 0)</f>
      </c>
      <c r="S128" s="10">
        <v>0</v>
      </c>
      <c r="T128" s="10">
        <v>37941.806666666664</v>
      </c>
      <c r="U128" s="11">
        <f>IFERROR(S128/T128, 0)</f>
      </c>
      <c r="V128" s="10">
        <f>IFERROR(S128/E128, 0)</f>
      </c>
      <c r="W128" s="10">
        <f>IFERROR(T128/F128, 0)</f>
      </c>
      <c r="X128" s="11">
        <f>IFERROR(V128/W128, 0)</f>
      </c>
    </row>
    <row r="129" spans="1:24" x14ac:dyDescent="0.25">
      <c r="A129" s="8" t="s">
        <v>103</v>
      </c>
      <c r="B129" s="8" t="s">
        <v>104</v>
      </c>
      <c r="C129" s="8" t="s">
        <v>24</v>
      </c>
      <c r="D129" s="8" t="s">
        <v>158</v>
      </c>
      <c r="E129" s="9">
        <v>200</v>
      </c>
      <c r="F129" s="9">
        <v>148.76</v>
      </c>
      <c r="G129" s="10">
        <v>0</v>
      </c>
      <c r="H129" s="10">
        <v>4448.877037037037</v>
      </c>
      <c r="I129" s="11">
        <f>IFERROR(G129/H129, 0)</f>
      </c>
      <c r="J129" s="10">
        <v>0</v>
      </c>
      <c r="K129" s="10">
        <v>0</v>
      </c>
      <c r="L129" s="10">
        <v>0</v>
      </c>
      <c r="M129" s="12">
        <f>IFERROR(L129/K129, 0)</f>
      </c>
      <c r="N129" s="13">
        <f>IFERROR(J129/K129, 0)</f>
      </c>
      <c r="O129" s="10">
        <v>0</v>
      </c>
      <c r="P129" s="10">
        <v>0</v>
      </c>
      <c r="Q129" s="10">
        <v>48937.64740740741</v>
      </c>
      <c r="R129" s="11">
        <f>IFERROR(P129/Q129, 0)</f>
      </c>
      <c r="S129" s="10">
        <v>2348</v>
      </c>
      <c r="T129" s="10">
        <v>554704.7374074074</v>
      </c>
      <c r="U129" s="11">
        <f>IFERROR(S129/T129, 0)</f>
      </c>
      <c r="V129" s="10">
        <f>IFERROR(S129/E129, 0)</f>
      </c>
      <c r="W129" s="10">
        <f>IFERROR(T129/F129, 0)</f>
      </c>
      <c r="X129" s="11">
        <f>IFERROR(V129/W129, 0)</f>
      </c>
    </row>
    <row r="130" spans="1:24" x14ac:dyDescent="0.25">
      <c r="A130" s="8" t="s">
        <v>103</v>
      </c>
      <c r="B130" s="8" t="s">
        <v>104</v>
      </c>
      <c r="C130" s="8" t="s">
        <v>24</v>
      </c>
      <c r="D130" s="8" t="s">
        <v>159</v>
      </c>
      <c r="E130" s="9">
        <v>774</v>
      </c>
      <c r="F130" s="9">
        <v>1071.33</v>
      </c>
      <c r="G130" s="10">
        <v>34142</v>
      </c>
      <c r="H130" s="10">
        <v>32040.813703703705</v>
      </c>
      <c r="I130" s="11">
        <f>IFERROR(G130/H130, 0)</f>
      </c>
      <c r="J130" s="10">
        <v>83</v>
      </c>
      <c r="K130" s="10">
        <v>26</v>
      </c>
      <c r="L130" s="10">
        <v>34142</v>
      </c>
      <c r="M130" s="12">
        <f>IFERROR(L130/K130, 0)</f>
      </c>
      <c r="N130" s="13">
        <f>IFERROR(J130/K130, 0)</f>
      </c>
      <c r="O130" s="10">
        <v>0</v>
      </c>
      <c r="P130" s="10">
        <v>283705</v>
      </c>
      <c r="Q130" s="10">
        <v>352448.95074074075</v>
      </c>
      <c r="R130" s="11">
        <f>IFERROR(P130/Q130, 0)</f>
      </c>
      <c r="S130" s="10">
        <v>4399118</v>
      </c>
      <c r="T130" s="10">
        <v>3994983.540740741</v>
      </c>
      <c r="U130" s="11">
        <f>IFERROR(S130/T130, 0)</f>
      </c>
      <c r="V130" s="10">
        <f>IFERROR(S130/E130, 0)</f>
      </c>
      <c r="W130" s="10">
        <f>IFERROR(T130/F130, 0)</f>
      </c>
      <c r="X130" s="11">
        <f>IFERROR(V130/W130, 0)</f>
      </c>
    </row>
    <row r="131" spans="1:24" x14ac:dyDescent="0.25">
      <c r="A131" s="8" t="s">
        <v>103</v>
      </c>
      <c r="B131" s="8" t="s">
        <v>104</v>
      </c>
      <c r="C131" s="8" t="s">
        <v>24</v>
      </c>
      <c r="D131" s="8" t="s">
        <v>160</v>
      </c>
      <c r="E131" s="9">
        <v>5.89</v>
      </c>
      <c r="F131" s="9">
        <v>4.38</v>
      </c>
      <c r="G131" s="10">
        <v>0</v>
      </c>
      <c r="H131" s="10">
        <v>131.01925925925926</v>
      </c>
      <c r="I131" s="11">
        <f>IFERROR(G131/H131, 0)</f>
      </c>
      <c r="J131" s="10">
        <v>0</v>
      </c>
      <c r="K131" s="10">
        <v>0</v>
      </c>
      <c r="L131" s="10">
        <v>0</v>
      </c>
      <c r="M131" s="12">
        <f>IFERROR(L131/K131, 0)</f>
      </c>
      <c r="N131" s="13">
        <f>IFERROR(J131/K131, 0)</f>
      </c>
      <c r="O131" s="10">
        <v>0</v>
      </c>
      <c r="P131" s="10">
        <v>0</v>
      </c>
      <c r="Q131" s="10">
        <v>1441.2118518518519</v>
      </c>
      <c r="R131" s="11">
        <f>IFERROR(P131/Q131, 0)</f>
      </c>
      <c r="S131" s="10">
        <v>12890</v>
      </c>
      <c r="T131" s="10">
        <v>16336.051851851851</v>
      </c>
      <c r="U131" s="11">
        <f>IFERROR(S131/T131, 0)</f>
      </c>
      <c r="V131" s="10">
        <f>IFERROR(S131/E131, 0)</f>
      </c>
      <c r="W131" s="10">
        <f>IFERROR(T131/F131, 0)</f>
      </c>
      <c r="X131" s="11">
        <f>IFERROR(V131/W131, 0)</f>
      </c>
    </row>
    <row r="132" spans="1:24" x14ac:dyDescent="0.25">
      <c r="A132" s="8" t="s">
        <v>103</v>
      </c>
      <c r="B132" s="8" t="s">
        <v>104</v>
      </c>
      <c r="C132" s="8" t="s">
        <v>24</v>
      </c>
      <c r="D132" s="8" t="s">
        <v>161</v>
      </c>
      <c r="E132" s="9">
        <v>123.56</v>
      </c>
      <c r="F132" s="9">
        <v>91.9</v>
      </c>
      <c r="G132" s="10">
        <v>0</v>
      </c>
      <c r="H132" s="10">
        <v>2748.5162962962963</v>
      </c>
      <c r="I132" s="11">
        <f>IFERROR(G132/H132, 0)</f>
      </c>
      <c r="J132" s="10">
        <v>0</v>
      </c>
      <c r="K132" s="10">
        <v>0</v>
      </c>
      <c r="L132" s="10">
        <v>0</v>
      </c>
      <c r="M132" s="12">
        <f>IFERROR(L132/K132, 0)</f>
      </c>
      <c r="N132" s="13">
        <f>IFERROR(J132/K132, 0)</f>
      </c>
      <c r="O132" s="10">
        <v>0</v>
      </c>
      <c r="P132" s="10">
        <v>102171</v>
      </c>
      <c r="Q132" s="10">
        <v>30233.67925925926</v>
      </c>
      <c r="R132" s="11">
        <f>IFERROR(P132/Q132, 0)</f>
      </c>
      <c r="S132" s="10">
        <v>792174</v>
      </c>
      <c r="T132" s="10">
        <v>342696.59925925924</v>
      </c>
      <c r="U132" s="11">
        <f>IFERROR(S132/T132, 0)</f>
      </c>
      <c r="V132" s="10">
        <f>IFERROR(S132/E132, 0)</f>
      </c>
      <c r="W132" s="10">
        <f>IFERROR(T132/F132, 0)</f>
      </c>
      <c r="X132" s="11">
        <f>IFERROR(V132/W132, 0)</f>
      </c>
    </row>
    <row r="133" spans="1:24" x14ac:dyDescent="0.25">
      <c r="A133" s="8" t="s">
        <v>103</v>
      </c>
      <c r="B133" s="8" t="s">
        <v>104</v>
      </c>
      <c r="C133" s="8" t="s">
        <v>24</v>
      </c>
      <c r="D133" s="8" t="s">
        <v>162</v>
      </c>
      <c r="E133" s="9">
        <v>481.2</v>
      </c>
      <c r="F133" s="9">
        <v>201.04</v>
      </c>
      <c r="G133" s="10">
        <v>38725</v>
      </c>
      <c r="H133" s="10">
        <v>6012.657407407408</v>
      </c>
      <c r="I133" s="11">
        <f>IFERROR(G133/H133, 0)</f>
      </c>
      <c r="J133" s="10">
        <v>40</v>
      </c>
      <c r="K133" s="10">
        <v>28</v>
      </c>
      <c r="L133" s="10">
        <v>38725</v>
      </c>
      <c r="M133" s="12">
        <f>IFERROR(L133/K133, 0)</f>
      </c>
      <c r="N133" s="13">
        <f>IFERROR(J133/K133, 0)</f>
      </c>
      <c r="O133" s="10">
        <v>0</v>
      </c>
      <c r="P133" s="10">
        <v>403037</v>
      </c>
      <c r="Q133" s="10">
        <v>66139.23148148147</v>
      </c>
      <c r="R133" s="11">
        <f>IFERROR(P133/Q133, 0)</f>
      </c>
      <c r="S133" s="10">
        <v>3281522</v>
      </c>
      <c r="T133" s="10">
        <v>749683.4614814814</v>
      </c>
      <c r="U133" s="11">
        <f>IFERROR(S133/T133, 0)</f>
      </c>
      <c r="V133" s="10">
        <f>IFERROR(S133/E133, 0)</f>
      </c>
      <c r="W133" s="10">
        <f>IFERROR(T133/F133, 0)</f>
      </c>
      <c r="X133" s="11">
        <f>IFERROR(V133/W133, 0)</f>
      </c>
    </row>
    <row r="134" spans="1:24" x14ac:dyDescent="0.25">
      <c r="A134" s="8" t="s">
        <v>103</v>
      </c>
      <c r="B134" s="8" t="s">
        <v>104</v>
      </c>
      <c r="C134" s="8" t="s">
        <v>24</v>
      </c>
      <c r="D134" s="8" t="s">
        <v>163</v>
      </c>
      <c r="E134" s="9">
        <v>3</v>
      </c>
      <c r="F134" s="9">
        <v>2.23</v>
      </c>
      <c r="G134" s="10">
        <v>0</v>
      </c>
      <c r="H134" s="10">
        <v>66.73333333333333</v>
      </c>
      <c r="I134" s="11">
        <f>IFERROR(G134/H134, 0)</f>
      </c>
      <c r="J134" s="10">
        <v>0</v>
      </c>
      <c r="K134" s="10">
        <v>0</v>
      </c>
      <c r="L134" s="10">
        <v>0</v>
      </c>
      <c r="M134" s="12">
        <f>IFERROR(L134/K134, 0)</f>
      </c>
      <c r="N134" s="13">
        <f>IFERROR(J134/K134, 0)</f>
      </c>
      <c r="O134" s="10">
        <v>0</v>
      </c>
      <c r="P134" s="10">
        <v>0</v>
      </c>
      <c r="Q134" s="10">
        <v>734.0666666666667</v>
      </c>
      <c r="R134" s="11">
        <f>IFERROR(P134/Q134, 0)</f>
      </c>
      <c r="S134" s="10">
        <v>0</v>
      </c>
      <c r="T134" s="10">
        <v>8320.576666666666</v>
      </c>
      <c r="U134" s="11">
        <f>IFERROR(S134/T134, 0)</f>
      </c>
      <c r="V134" s="10">
        <f>IFERROR(S134/E134, 0)</f>
      </c>
      <c r="W134" s="10">
        <f>IFERROR(T134/F134, 0)</f>
      </c>
      <c r="X134" s="11">
        <f>IFERROR(V134/W134, 0)</f>
      </c>
    </row>
    <row r="135" spans="1:24" x14ac:dyDescent="0.25">
      <c r="A135" s="8" t="s">
        <v>103</v>
      </c>
      <c r="B135" s="8" t="s">
        <v>104</v>
      </c>
      <c r="C135" s="8" t="s">
        <v>24</v>
      </c>
      <c r="D135" s="8" t="s">
        <v>164</v>
      </c>
      <c r="E135" s="9">
        <v>6.59</v>
      </c>
      <c r="F135" s="9">
        <v>4.9</v>
      </c>
      <c r="G135" s="10">
        <v>0</v>
      </c>
      <c r="H135" s="10">
        <v>146.59037037037038</v>
      </c>
      <c r="I135" s="11">
        <f>IFERROR(G135/H135, 0)</f>
      </c>
      <c r="J135" s="10">
        <v>0</v>
      </c>
      <c r="K135" s="10">
        <v>0</v>
      </c>
      <c r="L135" s="10">
        <v>0</v>
      </c>
      <c r="M135" s="12">
        <f>IFERROR(L135/K135, 0)</f>
      </c>
      <c r="N135" s="13">
        <f>IFERROR(J135/K135, 0)</f>
      </c>
      <c r="O135" s="10">
        <v>0</v>
      </c>
      <c r="P135" s="10">
        <v>0</v>
      </c>
      <c r="Q135" s="10">
        <v>1612.494074074074</v>
      </c>
      <c r="R135" s="11">
        <f>IFERROR(P135/Q135, 0)</f>
      </c>
      <c r="S135" s="10">
        <v>9440</v>
      </c>
      <c r="T135" s="10">
        <v>18277.514074074075</v>
      </c>
      <c r="U135" s="11">
        <f>IFERROR(S135/T135, 0)</f>
      </c>
      <c r="V135" s="10">
        <f>IFERROR(S135/E135, 0)</f>
      </c>
      <c r="W135" s="10">
        <f>IFERROR(T135/F135, 0)</f>
      </c>
      <c r="X135" s="11">
        <f>IFERROR(V135/W135, 0)</f>
      </c>
    </row>
    <row r="136" spans="1:24" x14ac:dyDescent="0.25">
      <c r="A136" s="8" t="s">
        <v>103</v>
      </c>
      <c r="B136" s="8" t="s">
        <v>104</v>
      </c>
      <c r="C136" s="8" t="s">
        <v>24</v>
      </c>
      <c r="D136" s="8" t="s">
        <v>165</v>
      </c>
      <c r="E136" s="9">
        <v>338.9</v>
      </c>
      <c r="F136" s="9">
        <v>310.8</v>
      </c>
      <c r="G136" s="10">
        <v>14973</v>
      </c>
      <c r="H136" s="10">
        <v>9295.26148148148</v>
      </c>
      <c r="I136" s="11">
        <f>IFERROR(G136/H136, 0)</f>
      </c>
      <c r="J136" s="10">
        <v>32.9</v>
      </c>
      <c r="K136" s="10">
        <v>17</v>
      </c>
      <c r="L136" s="10">
        <v>14973</v>
      </c>
      <c r="M136" s="12">
        <f>IFERROR(L136/K136, 0)</f>
      </c>
      <c r="N136" s="13">
        <f>IFERROR(J136/K136, 0)</f>
      </c>
      <c r="O136" s="10">
        <v>0</v>
      </c>
      <c r="P136" s="10">
        <v>148723</v>
      </c>
      <c r="Q136" s="10">
        <v>102247.8762962963</v>
      </c>
      <c r="R136" s="11">
        <f>IFERROR(P136/Q136, 0)</f>
      </c>
      <c r="S136" s="10">
        <v>1516141</v>
      </c>
      <c r="T136" s="10">
        <v>1158972.3462962962</v>
      </c>
      <c r="U136" s="11">
        <f>IFERROR(S136/T136, 0)</f>
      </c>
      <c r="V136" s="10">
        <f>IFERROR(S136/E136, 0)</f>
      </c>
      <c r="W136" s="10">
        <f>IFERROR(T136/F136, 0)</f>
      </c>
      <c r="X136" s="11">
        <f>IFERROR(V136/W136, 0)</f>
      </c>
    </row>
    <row r="137" spans="1:24" x14ac:dyDescent="0.25">
      <c r="A137" s="8" t="s">
        <v>103</v>
      </c>
      <c r="B137" s="8" t="s">
        <v>104</v>
      </c>
      <c r="C137" s="8" t="s">
        <v>24</v>
      </c>
      <c r="D137" s="8" t="s">
        <v>166</v>
      </c>
      <c r="E137" s="9">
        <v>306</v>
      </c>
      <c r="F137" s="9">
        <v>259.49</v>
      </c>
      <c r="G137" s="10">
        <v>15433</v>
      </c>
      <c r="H137" s="10">
        <v>7760.621481481481</v>
      </c>
      <c r="I137" s="11">
        <f>IFERROR(G137/H137, 0)</f>
      </c>
      <c r="J137" s="10">
        <v>56.1</v>
      </c>
      <c r="K137" s="10">
        <v>15</v>
      </c>
      <c r="L137" s="10">
        <v>15433</v>
      </c>
      <c r="M137" s="12">
        <f>IFERROR(L137/K137, 0)</f>
      </c>
      <c r="N137" s="13">
        <f>IFERROR(J137/K137, 0)</f>
      </c>
      <c r="O137" s="10">
        <v>0</v>
      </c>
      <c r="P137" s="10">
        <v>165502</v>
      </c>
      <c r="Q137" s="10">
        <v>85366.8362962963</v>
      </c>
      <c r="R137" s="11">
        <f>IFERROR(P137/Q137, 0)</f>
      </c>
      <c r="S137" s="10">
        <v>2146005</v>
      </c>
      <c r="T137" s="10">
        <v>967626.9462962963</v>
      </c>
      <c r="U137" s="11">
        <f>IFERROR(S137/T137, 0)</f>
      </c>
      <c r="V137" s="10">
        <f>IFERROR(S137/E137, 0)</f>
      </c>
      <c r="W137" s="10">
        <f>IFERROR(T137/F137, 0)</f>
      </c>
      <c r="X137" s="11">
        <f>IFERROR(V137/W137, 0)</f>
      </c>
    </row>
    <row r="138" spans="1:24" x14ac:dyDescent="0.25">
      <c r="A138" s="8" t="s">
        <v>103</v>
      </c>
      <c r="B138" s="8" t="s">
        <v>104</v>
      </c>
      <c r="C138" s="8" t="s">
        <v>24</v>
      </c>
      <c r="D138" s="8" t="s">
        <v>167</v>
      </c>
      <c r="E138" s="9">
        <v>7</v>
      </c>
      <c r="F138" s="9">
        <v>5.21</v>
      </c>
      <c r="G138" s="10">
        <v>0</v>
      </c>
      <c r="H138" s="10">
        <v>155.71074074074073</v>
      </c>
      <c r="I138" s="11">
        <f>IFERROR(G138/H138, 0)</f>
      </c>
      <c r="J138" s="10">
        <v>0</v>
      </c>
      <c r="K138" s="10">
        <v>0</v>
      </c>
      <c r="L138" s="10">
        <v>0</v>
      </c>
      <c r="M138" s="12">
        <f>IFERROR(L138/K138, 0)</f>
      </c>
      <c r="N138" s="13">
        <f>IFERROR(J138/K138, 0)</f>
      </c>
      <c r="O138" s="10">
        <v>0</v>
      </c>
      <c r="P138" s="10">
        <v>0</v>
      </c>
      <c r="Q138" s="10">
        <v>1712.818148148148</v>
      </c>
      <c r="R138" s="11">
        <f>IFERROR(P138/Q138, 0)</f>
      </c>
      <c r="S138" s="10">
        <v>0</v>
      </c>
      <c r="T138" s="10">
        <v>19414.668148148146</v>
      </c>
      <c r="U138" s="11">
        <f>IFERROR(S138/T138, 0)</f>
      </c>
      <c r="V138" s="10">
        <f>IFERROR(S138/E138, 0)</f>
      </c>
      <c r="W138" s="10">
        <f>IFERROR(T138/F138, 0)</f>
      </c>
      <c r="X138" s="11">
        <f>IFERROR(V138/W138, 0)</f>
      </c>
    </row>
    <row r="139" spans="1:24" x14ac:dyDescent="0.25">
      <c r="A139" s="8" t="s">
        <v>103</v>
      </c>
      <c r="B139" s="8" t="s">
        <v>104</v>
      </c>
      <c r="C139" s="8" t="s">
        <v>24</v>
      </c>
      <c r="D139" s="8" t="s">
        <v>168</v>
      </c>
      <c r="E139" s="9">
        <v>265</v>
      </c>
      <c r="F139" s="9">
        <v>269.95</v>
      </c>
      <c r="G139" s="10">
        <v>14488</v>
      </c>
      <c r="H139" s="10">
        <v>8073.377407407407</v>
      </c>
      <c r="I139" s="11">
        <f>IFERROR(G139/H139, 0)</f>
      </c>
      <c r="J139" s="10">
        <v>46.6</v>
      </c>
      <c r="K139" s="10">
        <v>16</v>
      </c>
      <c r="L139" s="10">
        <v>14488</v>
      </c>
      <c r="M139" s="12">
        <f>IFERROR(L139/K139, 0)</f>
      </c>
      <c r="N139" s="13">
        <f>IFERROR(J139/K139, 0)</f>
      </c>
      <c r="O139" s="10">
        <v>0</v>
      </c>
      <c r="P139" s="10">
        <v>140756</v>
      </c>
      <c r="Q139" s="10">
        <v>88807.15148148149</v>
      </c>
      <c r="R139" s="11">
        <f>IFERROR(P139/Q139, 0)</f>
      </c>
      <c r="S139" s="10">
        <v>2318577</v>
      </c>
      <c r="T139" s="10">
        <v>1006622.6914814815</v>
      </c>
      <c r="U139" s="11">
        <f>IFERROR(S139/T139, 0)</f>
      </c>
      <c r="V139" s="10">
        <f>IFERROR(S139/E139, 0)</f>
      </c>
      <c r="W139" s="10">
        <f>IFERROR(T139/F139, 0)</f>
      </c>
      <c r="X139" s="11">
        <f>IFERROR(V139/W139, 0)</f>
      </c>
    </row>
    <row r="140" spans="1:24" x14ac:dyDescent="0.25">
      <c r="A140" s="8" t="s">
        <v>103</v>
      </c>
      <c r="B140" s="8" t="s">
        <v>104</v>
      </c>
      <c r="C140" s="8" t="s">
        <v>24</v>
      </c>
      <c r="D140" s="8" t="s">
        <v>169</v>
      </c>
      <c r="E140" s="9">
        <v>99.45</v>
      </c>
      <c r="F140" s="9">
        <v>73.97</v>
      </c>
      <c r="G140" s="10">
        <v>0</v>
      </c>
      <c r="H140" s="10">
        <v>2212.204074074074</v>
      </c>
      <c r="I140" s="11">
        <f>IFERROR(G140/H140, 0)</f>
      </c>
      <c r="J140" s="10">
        <v>0</v>
      </c>
      <c r="K140" s="10">
        <v>0</v>
      </c>
      <c r="L140" s="10">
        <v>0</v>
      </c>
      <c r="M140" s="12">
        <f>IFERROR(L140/K140, 0)</f>
      </c>
      <c r="N140" s="13">
        <f>IFERROR(J140/K140, 0)</f>
      </c>
      <c r="O140" s="10">
        <v>0</v>
      </c>
      <c r="P140" s="10">
        <v>0</v>
      </c>
      <c r="Q140" s="10">
        <v>24334.244814814814</v>
      </c>
      <c r="R140" s="11">
        <f>IFERROR(P140/Q140, 0)</f>
      </c>
      <c r="S140" s="10">
        <v>0</v>
      </c>
      <c r="T140" s="10">
        <v>275826.9248148148</v>
      </c>
      <c r="U140" s="11">
        <f>IFERROR(S140/T140, 0)</f>
      </c>
      <c r="V140" s="10">
        <f>IFERROR(S140/E140, 0)</f>
      </c>
      <c r="W140" s="10">
        <f>IFERROR(T140/F140, 0)</f>
      </c>
      <c r="X140" s="11">
        <f>IFERROR(V140/W140, 0)</f>
      </c>
    </row>
    <row r="141" spans="1:24" x14ac:dyDescent="0.25">
      <c r="A141" s="8" t="s">
        <v>103</v>
      </c>
      <c r="B141" s="8" t="s">
        <v>104</v>
      </c>
      <c r="C141" s="8" t="s">
        <v>24</v>
      </c>
      <c r="D141" s="8" t="s">
        <v>170</v>
      </c>
      <c r="E141" s="9">
        <v>80</v>
      </c>
      <c r="F141" s="9">
        <v>210.35</v>
      </c>
      <c r="G141" s="10">
        <v>0</v>
      </c>
      <c r="H141" s="10">
        <v>6291.157407407408</v>
      </c>
      <c r="I141" s="11">
        <f>IFERROR(G141/H141, 0)</f>
      </c>
      <c r="J141" s="10">
        <v>0</v>
      </c>
      <c r="K141" s="10">
        <v>0</v>
      </c>
      <c r="L141" s="10">
        <v>0</v>
      </c>
      <c r="M141" s="12">
        <f>IFERROR(L141/K141, 0)</f>
      </c>
      <c r="N141" s="13">
        <f>IFERROR(J141/K141, 0)</f>
      </c>
      <c r="O141" s="10">
        <v>0</v>
      </c>
      <c r="P141" s="10">
        <v>28701</v>
      </c>
      <c r="Q141" s="10">
        <v>69202.73148148147</v>
      </c>
      <c r="R141" s="11">
        <f>IFERROR(P141/Q141, 0)</f>
      </c>
      <c r="S141" s="10">
        <v>366903</v>
      </c>
      <c r="T141" s="10">
        <v>784407.9714814815</v>
      </c>
      <c r="U141" s="11">
        <f>IFERROR(S141/T141, 0)</f>
      </c>
      <c r="V141" s="10">
        <f>IFERROR(S141/E141, 0)</f>
      </c>
      <c r="W141" s="10">
        <f>IFERROR(T141/F141, 0)</f>
      </c>
      <c r="X141" s="11">
        <f>IFERROR(V141/W141, 0)</f>
      </c>
    </row>
    <row r="142" spans="1:24" x14ac:dyDescent="0.25">
      <c r="A142" s="8" t="s">
        <v>103</v>
      </c>
      <c r="B142" s="8" t="s">
        <v>104</v>
      </c>
      <c r="C142" s="8" t="s">
        <v>24</v>
      </c>
      <c r="D142" s="8" t="s">
        <v>171</v>
      </c>
      <c r="E142" s="9">
        <v>91.72</v>
      </c>
      <c r="F142" s="9">
        <v>68.22</v>
      </c>
      <c r="G142" s="10">
        <v>5978</v>
      </c>
      <c r="H142" s="10">
        <v>2040.2551851851852</v>
      </c>
      <c r="I142" s="11">
        <f>IFERROR(G142/H142, 0)</f>
      </c>
      <c r="J142" s="10">
        <v>10.03</v>
      </c>
      <c r="K142" s="10">
        <v>10</v>
      </c>
      <c r="L142" s="10">
        <v>5978</v>
      </c>
      <c r="M142" s="12">
        <f>IFERROR(L142/K142, 0)</f>
      </c>
      <c r="N142" s="13">
        <f>IFERROR(J142/K142, 0)</f>
      </c>
      <c r="O142" s="10">
        <v>0</v>
      </c>
      <c r="P142" s="10">
        <v>60026</v>
      </c>
      <c r="Q142" s="10">
        <v>22442.807037037037</v>
      </c>
      <c r="R142" s="11">
        <f>IFERROR(P142/Q142, 0)</f>
      </c>
      <c r="S142" s="10">
        <v>852189</v>
      </c>
      <c r="T142" s="10">
        <v>254387.59703703705</v>
      </c>
      <c r="U142" s="11">
        <f>IFERROR(S142/T142, 0)</f>
      </c>
      <c r="V142" s="10">
        <f>IFERROR(S142/E142, 0)</f>
      </c>
      <c r="W142" s="10">
        <f>IFERROR(T142/F142, 0)</f>
      </c>
      <c r="X142" s="11">
        <f>IFERROR(V142/W142, 0)</f>
      </c>
    </row>
    <row r="143" spans="1:24" x14ac:dyDescent="0.25">
      <c r="A143" s="8" t="s">
        <v>103</v>
      </c>
      <c r="B143" s="8" t="s">
        <v>104</v>
      </c>
      <c r="C143" s="8" t="s">
        <v>24</v>
      </c>
      <c r="D143" s="8" t="s">
        <v>172</v>
      </c>
      <c r="E143" s="9">
        <v>47.19</v>
      </c>
      <c r="F143" s="9">
        <v>40.44</v>
      </c>
      <c r="G143" s="10">
        <v>0</v>
      </c>
      <c r="H143" s="10">
        <v>1209.4274074074074</v>
      </c>
      <c r="I143" s="11">
        <f>IFERROR(G143/H143, 0)</f>
      </c>
      <c r="J143" s="10">
        <v>0</v>
      </c>
      <c r="K143" s="10">
        <v>0</v>
      </c>
      <c r="L143" s="10">
        <v>0</v>
      </c>
      <c r="M143" s="12">
        <f>IFERROR(L143/K143, 0)</f>
      </c>
      <c r="N143" s="13">
        <f>IFERROR(J143/K143, 0)</f>
      </c>
      <c r="O143" s="10">
        <v>0</v>
      </c>
      <c r="P143" s="10">
        <v>0</v>
      </c>
      <c r="Q143" s="10">
        <v>13303.701481481481</v>
      </c>
      <c r="R143" s="11">
        <f>IFERROR(P143/Q143, 0)</f>
      </c>
      <c r="S143" s="10">
        <v>118880</v>
      </c>
      <c r="T143" s="10">
        <v>150796.50148148148</v>
      </c>
      <c r="U143" s="11">
        <f>IFERROR(S143/T143, 0)</f>
      </c>
      <c r="V143" s="10">
        <f>IFERROR(S143/E143, 0)</f>
      </c>
      <c r="W143" s="10">
        <f>IFERROR(T143/F143, 0)</f>
      </c>
      <c r="X143" s="11">
        <f>IFERROR(V143/W143, 0)</f>
      </c>
    </row>
    <row r="144" spans="1:24" x14ac:dyDescent="0.25">
      <c r="A144" s="8" t="s">
        <v>103</v>
      </c>
      <c r="B144" s="8" t="s">
        <v>104</v>
      </c>
      <c r="C144" s="8" t="s">
        <v>24</v>
      </c>
      <c r="D144" s="8" t="s">
        <v>173</v>
      </c>
      <c r="E144" s="9">
        <v>467.81</v>
      </c>
      <c r="F144" s="9">
        <v>375.2</v>
      </c>
      <c r="G144" s="10">
        <v>27580</v>
      </c>
      <c r="H144" s="10">
        <v>11221.18037037037</v>
      </c>
      <c r="I144" s="11">
        <f>IFERROR(G144/H144, 0)</f>
      </c>
      <c r="J144" s="10">
        <v>44.67</v>
      </c>
      <c r="K144" s="10">
        <v>20</v>
      </c>
      <c r="L144" s="10">
        <v>27580</v>
      </c>
      <c r="M144" s="12">
        <f>IFERROR(L144/K144, 0)</f>
      </c>
      <c r="N144" s="13">
        <f>IFERROR(J144/K144, 0)</f>
      </c>
      <c r="O144" s="10">
        <v>0</v>
      </c>
      <c r="P144" s="10">
        <v>286891</v>
      </c>
      <c r="Q144" s="10">
        <v>123432.98407407408</v>
      </c>
      <c r="R144" s="11">
        <f>IFERROR(P144/Q144, 0)</f>
      </c>
      <c r="S144" s="10">
        <v>2610081</v>
      </c>
      <c r="T144" s="10">
        <v>1399104.0340740741</v>
      </c>
      <c r="U144" s="11">
        <f>IFERROR(S144/T144, 0)</f>
      </c>
      <c r="V144" s="10">
        <f>IFERROR(S144/E144, 0)</f>
      </c>
      <c r="W144" s="10">
        <f>IFERROR(T144/F144, 0)</f>
      </c>
      <c r="X144" s="11">
        <f>IFERROR(V144/W144, 0)</f>
      </c>
    </row>
    <row r="145" spans="1:24" x14ac:dyDescent="0.25">
      <c r="A145" s="8" t="s">
        <v>103</v>
      </c>
      <c r="B145" s="8" t="s">
        <v>104</v>
      </c>
      <c r="C145" s="8" t="s">
        <v>24</v>
      </c>
      <c r="D145" s="8" t="s">
        <v>174</v>
      </c>
      <c r="E145" s="9">
        <v>180</v>
      </c>
      <c r="F145" s="9">
        <v>133.88</v>
      </c>
      <c r="G145" s="10">
        <v>0</v>
      </c>
      <c r="H145" s="10">
        <v>4003.9896296296297</v>
      </c>
      <c r="I145" s="11">
        <f>IFERROR(G145/H145, 0)</f>
      </c>
      <c r="J145" s="10">
        <v>0</v>
      </c>
      <c r="K145" s="10">
        <v>0</v>
      </c>
      <c r="L145" s="10">
        <v>0</v>
      </c>
      <c r="M145" s="12">
        <f>IFERROR(L145/K145, 0)</f>
      </c>
      <c r="N145" s="13">
        <f>IFERROR(J145/K145, 0)</f>
      </c>
      <c r="O145" s="10">
        <v>0</v>
      </c>
      <c r="P145" s="10">
        <v>0</v>
      </c>
      <c r="Q145" s="10">
        <v>44043.885925925926</v>
      </c>
      <c r="R145" s="11">
        <f>IFERROR(P145/Q145, 0)</f>
      </c>
      <c r="S145" s="10">
        <v>0</v>
      </c>
      <c r="T145" s="10">
        <v>499234.28592592594</v>
      </c>
      <c r="U145" s="11">
        <f>IFERROR(S145/T145, 0)</f>
      </c>
      <c r="V145" s="10">
        <f>IFERROR(S145/E145, 0)</f>
      </c>
      <c r="W145" s="10">
        <f>IFERROR(T145/F145, 0)</f>
      </c>
      <c r="X145" s="11">
        <f>IFERROR(V145/W145, 0)</f>
      </c>
    </row>
    <row r="146" spans="1:24" x14ac:dyDescent="0.25">
      <c r="A146" s="8" t="s">
        <v>103</v>
      </c>
      <c r="B146" s="8" t="s">
        <v>104</v>
      </c>
      <c r="C146" s="8" t="s">
        <v>24</v>
      </c>
      <c r="D146" s="8" t="s">
        <v>175</v>
      </c>
      <c r="E146" s="9">
        <v>6747</v>
      </c>
      <c r="F146" s="9">
        <v>10034.4</v>
      </c>
      <c r="G146" s="10">
        <v>0</v>
      </c>
      <c r="H146" s="10">
        <v>300102.7925925926</v>
      </c>
      <c r="I146" s="11">
        <f>IFERROR(G146/H146, 0)</f>
      </c>
      <c r="J146" s="10">
        <v>0</v>
      </c>
      <c r="K146" s="10">
        <v>0</v>
      </c>
      <c r="L146" s="10">
        <v>0</v>
      </c>
      <c r="M146" s="12">
        <f>IFERROR(L146/K146, 0)</f>
      </c>
      <c r="N146" s="13">
        <f>IFERROR(J146/K146, 0)</f>
      </c>
      <c r="O146" s="10">
        <v>0</v>
      </c>
      <c r="P146" s="10">
        <v>0</v>
      </c>
      <c r="Q146" s="10">
        <v>3301130.7185185184</v>
      </c>
      <c r="R146" s="11">
        <f>IFERROR(P146/Q146, 0)</f>
      </c>
      <c r="S146" s="10">
        <v>0</v>
      </c>
      <c r="T146" s="10">
        <v>37418079.768518515</v>
      </c>
      <c r="U146" s="11">
        <f>IFERROR(S146/T146, 0)</f>
      </c>
      <c r="V146" s="10">
        <f>IFERROR(S146/E146, 0)</f>
      </c>
      <c r="W146" s="10">
        <f>IFERROR(T146/F146, 0)</f>
      </c>
      <c r="X146" s="11">
        <f>IFERROR(V146/W146, 0)</f>
      </c>
    </row>
    <row r="147" spans="1:24" x14ac:dyDescent="0.25">
      <c r="A147" s="8" t="s">
        <v>103</v>
      </c>
      <c r="B147" s="8" t="s">
        <v>104</v>
      </c>
      <c r="C147" s="8" t="s">
        <v>24</v>
      </c>
      <c r="D147" s="8" t="s">
        <v>176</v>
      </c>
      <c r="E147" s="9">
        <v>83</v>
      </c>
      <c r="F147" s="9">
        <v>56.19</v>
      </c>
      <c r="G147" s="10">
        <v>0</v>
      </c>
      <c r="H147" s="10">
        <v>1680.5633333333333</v>
      </c>
      <c r="I147" s="11">
        <f>IFERROR(G147/H147, 0)</f>
      </c>
      <c r="J147" s="10">
        <v>0</v>
      </c>
      <c r="K147" s="10">
        <v>0</v>
      </c>
      <c r="L147" s="10">
        <v>0</v>
      </c>
      <c r="M147" s="12">
        <f>IFERROR(L147/K147, 0)</f>
      </c>
      <c r="N147" s="13">
        <f>IFERROR(J147/K147, 0)</f>
      </c>
      <c r="O147" s="10">
        <v>0</v>
      </c>
      <c r="P147" s="10">
        <v>0</v>
      </c>
      <c r="Q147" s="10">
        <v>18486.196666666667</v>
      </c>
      <c r="R147" s="11">
        <f>IFERROR(P147/Q147, 0)</f>
      </c>
      <c r="S147" s="10">
        <v>90630</v>
      </c>
      <c r="T147" s="10">
        <v>209539.71666666667</v>
      </c>
      <c r="U147" s="11">
        <f>IFERROR(S147/T147, 0)</f>
      </c>
      <c r="V147" s="10">
        <f>IFERROR(S147/E147, 0)</f>
      </c>
      <c r="W147" s="10">
        <f>IFERROR(T147/F147, 0)</f>
      </c>
      <c r="X147" s="11">
        <f>IFERROR(V147/W147, 0)</f>
      </c>
    </row>
    <row r="148" spans="1:24" x14ac:dyDescent="0.25">
      <c r="A148" s="8" t="s">
        <v>103</v>
      </c>
      <c r="B148" s="8" t="s">
        <v>104</v>
      </c>
      <c r="C148" s="8" t="s">
        <v>24</v>
      </c>
      <c r="D148" s="8" t="s">
        <v>177</v>
      </c>
      <c r="E148" s="9">
        <v>1473.47</v>
      </c>
      <c r="F148" s="9">
        <v>1163.67</v>
      </c>
      <c r="G148" s="10">
        <v>53087</v>
      </c>
      <c r="H148" s="10">
        <v>34802.23148148148</v>
      </c>
      <c r="I148" s="11">
        <f>IFERROR(G148/H148, 0)</f>
      </c>
      <c r="J148" s="10">
        <v>170.3</v>
      </c>
      <c r="K148" s="10">
        <v>52</v>
      </c>
      <c r="L148" s="10">
        <v>53087</v>
      </c>
      <c r="M148" s="12">
        <f>IFERROR(L148/K148, 0)</f>
      </c>
      <c r="N148" s="13">
        <f>IFERROR(J148/K148, 0)</f>
      </c>
      <c r="O148" s="10">
        <v>0</v>
      </c>
      <c r="P148" s="10">
        <v>625491</v>
      </c>
      <c r="Q148" s="10">
        <v>382824.5462962963</v>
      </c>
      <c r="R148" s="11">
        <f>IFERROR(P148/Q148, 0)</f>
      </c>
      <c r="S148" s="10">
        <v>7878837</v>
      </c>
      <c r="T148" s="10">
        <v>4339288.776296296</v>
      </c>
      <c r="U148" s="11">
        <f>IFERROR(S148/T148, 0)</f>
      </c>
      <c r="V148" s="10">
        <f>IFERROR(S148/E148, 0)</f>
      </c>
      <c r="W148" s="10">
        <f>IFERROR(T148/F148, 0)</f>
      </c>
      <c r="X148" s="11">
        <f>IFERROR(V148/W148, 0)</f>
      </c>
    </row>
    <row r="149" spans="1:24" x14ac:dyDescent="0.25">
      <c r="A149" s="8" t="s">
        <v>103</v>
      </c>
      <c r="B149" s="8" t="s">
        <v>104</v>
      </c>
      <c r="C149" s="8" t="s">
        <v>24</v>
      </c>
      <c r="D149" s="8" t="s">
        <v>178</v>
      </c>
      <c r="E149" s="9">
        <v>50.74</v>
      </c>
      <c r="F149" s="9">
        <v>312.39</v>
      </c>
      <c r="G149" s="10">
        <v>0</v>
      </c>
      <c r="H149" s="10">
        <v>9342.642222222223</v>
      </c>
      <c r="I149" s="11">
        <f>IFERROR(G149/H149, 0)</f>
      </c>
      <c r="J149" s="10">
        <v>0</v>
      </c>
      <c r="K149" s="10">
        <v>0</v>
      </c>
      <c r="L149" s="10">
        <v>0</v>
      </c>
      <c r="M149" s="12">
        <f>IFERROR(L149/K149, 0)</f>
      </c>
      <c r="N149" s="13">
        <f>IFERROR(J149/K149, 0)</f>
      </c>
      <c r="O149" s="10">
        <v>0</v>
      </c>
      <c r="P149" s="10">
        <v>0</v>
      </c>
      <c r="Q149" s="10">
        <v>102769.06444444445</v>
      </c>
      <c r="R149" s="11">
        <f>IFERROR(P149/Q149, 0)</f>
      </c>
      <c r="S149" s="10">
        <v>0</v>
      </c>
      <c r="T149" s="10">
        <v>1164879.9544444445</v>
      </c>
      <c r="U149" s="11">
        <f>IFERROR(S149/T149, 0)</f>
      </c>
      <c r="V149" s="10">
        <f>IFERROR(S149/E149, 0)</f>
      </c>
      <c r="W149" s="10">
        <f>IFERROR(T149/F149, 0)</f>
      </c>
      <c r="X149" s="11">
        <f>IFERROR(V149/W149, 0)</f>
      </c>
    </row>
    <row r="150" spans="1:24" x14ac:dyDescent="0.25">
      <c r="A150" s="8" t="s">
        <v>103</v>
      </c>
      <c r="B150" s="8" t="s">
        <v>104</v>
      </c>
      <c r="C150" s="8" t="s">
        <v>24</v>
      </c>
      <c r="D150" s="8" t="s">
        <v>179</v>
      </c>
      <c r="E150" s="9">
        <v>602.31</v>
      </c>
      <c r="F150" s="9">
        <v>447.98</v>
      </c>
      <c r="G150" s="10">
        <v>0</v>
      </c>
      <c r="H150" s="10">
        <v>13398.015925925925</v>
      </c>
      <c r="I150" s="11">
        <f>IFERROR(G150/H150, 0)</f>
      </c>
      <c r="J150" s="10">
        <v>0</v>
      </c>
      <c r="K150" s="10">
        <v>0</v>
      </c>
      <c r="L150" s="10">
        <v>0</v>
      </c>
      <c r="M150" s="12">
        <f>IFERROR(L150/K150, 0)</f>
      </c>
      <c r="N150" s="13">
        <f>IFERROR(J150/K150, 0)</f>
      </c>
      <c r="O150" s="10">
        <v>0</v>
      </c>
      <c r="P150" s="10">
        <v>0</v>
      </c>
      <c r="Q150" s="10">
        <v>147378.1751851852</v>
      </c>
      <c r="R150" s="11">
        <f>IFERROR(P150/Q150, 0)</f>
      </c>
      <c r="S150" s="10">
        <v>0</v>
      </c>
      <c r="T150" s="10">
        <v>1670521.0551851853</v>
      </c>
      <c r="U150" s="11">
        <f>IFERROR(S150/T150, 0)</f>
      </c>
      <c r="V150" s="10">
        <f>IFERROR(S150/E150, 0)</f>
      </c>
      <c r="W150" s="10">
        <f>IFERROR(T150/F150, 0)</f>
      </c>
      <c r="X150" s="11">
        <f>IFERROR(V150/W150, 0)</f>
      </c>
    </row>
    <row r="151" spans="1:24" x14ac:dyDescent="0.25">
      <c r="A151" s="8" t="s">
        <v>103</v>
      </c>
      <c r="B151" s="8" t="s">
        <v>104</v>
      </c>
      <c r="C151" s="8" t="s">
        <v>24</v>
      </c>
      <c r="D151" s="8" t="s">
        <v>180</v>
      </c>
      <c r="E151" s="9">
        <v>736.06</v>
      </c>
      <c r="F151" s="9">
        <v>547.46</v>
      </c>
      <c r="G151" s="10">
        <v>1843</v>
      </c>
      <c r="H151" s="10">
        <v>16373.202592592594</v>
      </c>
      <c r="I151" s="11">
        <f>IFERROR(G151/H151, 0)</f>
      </c>
      <c r="J151" s="10">
        <v>26</v>
      </c>
      <c r="K151" s="10">
        <v>12</v>
      </c>
      <c r="L151" s="10">
        <v>1843</v>
      </c>
      <c r="M151" s="12">
        <f>IFERROR(L151/K151, 0)</f>
      </c>
      <c r="N151" s="13">
        <f>IFERROR(J151/K151, 0)</f>
      </c>
      <c r="O151" s="10">
        <v>0</v>
      </c>
      <c r="P151" s="10">
        <v>34373</v>
      </c>
      <c r="Q151" s="10">
        <v>180105.22851851853</v>
      </c>
      <c r="R151" s="11">
        <f>IFERROR(P151/Q151, 0)</f>
      </c>
      <c r="S151" s="10">
        <v>336777</v>
      </c>
      <c r="T151" s="10">
        <v>2041479.8585185185</v>
      </c>
      <c r="U151" s="11">
        <f>IFERROR(S151/T151, 0)</f>
      </c>
      <c r="V151" s="10">
        <f>IFERROR(S151/E151, 0)</f>
      </c>
      <c r="W151" s="10">
        <f>IFERROR(T151/F151, 0)</f>
      </c>
      <c r="X151" s="11">
        <f>IFERROR(V151/W151, 0)</f>
      </c>
    </row>
    <row r="152" spans="1:24" x14ac:dyDescent="0.25">
      <c r="A152" s="8" t="s">
        <v>103</v>
      </c>
      <c r="B152" s="8" t="s">
        <v>104</v>
      </c>
      <c r="C152" s="8" t="s">
        <v>24</v>
      </c>
      <c r="D152" s="8" t="s">
        <v>181</v>
      </c>
      <c r="E152" s="9">
        <v>1988</v>
      </c>
      <c r="F152" s="9">
        <v>1478.62</v>
      </c>
      <c r="G152" s="10">
        <v>0</v>
      </c>
      <c r="H152" s="10">
        <v>44221.83925925926</v>
      </c>
      <c r="I152" s="11">
        <f>IFERROR(G152/H152, 0)</f>
      </c>
      <c r="J152" s="10">
        <v>0</v>
      </c>
      <c r="K152" s="10">
        <v>0</v>
      </c>
      <c r="L152" s="10">
        <v>0</v>
      </c>
      <c r="M152" s="12">
        <f>IFERROR(L152/K152, 0)</f>
      </c>
      <c r="N152" s="13">
        <f>IFERROR(J152/K152, 0)</f>
      </c>
      <c r="O152" s="10">
        <v>0</v>
      </c>
      <c r="P152" s="10">
        <v>0</v>
      </c>
      <c r="Q152" s="10">
        <v>486440.23185185186</v>
      </c>
      <c r="R152" s="11">
        <f>IFERROR(P152/Q152, 0)</f>
      </c>
      <c r="S152" s="10">
        <v>0</v>
      </c>
      <c r="T152" s="10">
        <v>5513765.111851851</v>
      </c>
      <c r="U152" s="11">
        <f>IFERROR(S152/T152, 0)</f>
      </c>
      <c r="V152" s="10">
        <f>IFERROR(S152/E152, 0)</f>
      </c>
      <c r="W152" s="10">
        <f>IFERROR(T152/F152, 0)</f>
      </c>
      <c r="X152" s="11">
        <f>IFERROR(V152/W152, 0)</f>
      </c>
    </row>
    <row r="153" spans="1:24" x14ac:dyDescent="0.25">
      <c r="A153" s="8" t="s">
        <v>103</v>
      </c>
      <c r="B153" s="8" t="s">
        <v>104</v>
      </c>
      <c r="C153" s="8" t="s">
        <v>24</v>
      </c>
      <c r="D153" s="8" t="s">
        <v>182</v>
      </c>
      <c r="E153" s="9">
        <v>73</v>
      </c>
      <c r="F153" s="9">
        <v>79.84</v>
      </c>
      <c r="G153" s="10">
        <v>3467</v>
      </c>
      <c r="H153" s="10">
        <v>2387.7122222222224</v>
      </c>
      <c r="I153" s="11">
        <f>IFERROR(G153/H153, 0)</f>
      </c>
      <c r="J153" s="10">
        <v>12</v>
      </c>
      <c r="K153" s="10">
        <v>9</v>
      </c>
      <c r="L153" s="10">
        <v>3467</v>
      </c>
      <c r="M153" s="12">
        <f>IFERROR(L153/K153, 0)</f>
      </c>
      <c r="N153" s="13">
        <f>IFERROR(J153/K153, 0)</f>
      </c>
      <c r="O153" s="10">
        <v>0</v>
      </c>
      <c r="P153" s="10">
        <v>19094</v>
      </c>
      <c r="Q153" s="10">
        <v>26264.834444444445</v>
      </c>
      <c r="R153" s="11">
        <f>IFERROR(P153/Q153, 0)</f>
      </c>
      <c r="S153" s="10">
        <v>168517</v>
      </c>
      <c r="T153" s="10">
        <v>297710.02444444445</v>
      </c>
      <c r="U153" s="11">
        <f>IFERROR(S153/T153, 0)</f>
      </c>
      <c r="V153" s="10">
        <f>IFERROR(S153/E153, 0)</f>
      </c>
      <c r="W153" s="10">
        <f>IFERROR(T153/F153, 0)</f>
      </c>
      <c r="X153" s="11">
        <f>IFERROR(V153/W153, 0)</f>
      </c>
    </row>
    <row r="154" spans="1:24" x14ac:dyDescent="0.25">
      <c r="A154" s="8" t="s">
        <v>103</v>
      </c>
      <c r="B154" s="8" t="s">
        <v>104</v>
      </c>
      <c r="C154" s="8" t="s">
        <v>24</v>
      </c>
      <c r="D154" s="8" t="s">
        <v>183</v>
      </c>
      <c r="E154" s="9">
        <v>0</v>
      </c>
      <c r="F154" s="9">
        <v>0</v>
      </c>
      <c r="G154" s="10">
        <v>0</v>
      </c>
      <c r="H154" s="10">
        <v>0</v>
      </c>
      <c r="I154" s="11">
        <f>IFERROR(G154/H154, 0)</f>
      </c>
      <c r="J154" s="10">
        <v>0</v>
      </c>
      <c r="K154" s="10">
        <v>0</v>
      </c>
      <c r="L154" s="10">
        <v>0</v>
      </c>
      <c r="M154" s="12">
        <f>IFERROR(L154/K154, 0)</f>
      </c>
      <c r="N154" s="13">
        <f>IFERROR(J154/K154, 0)</f>
      </c>
      <c r="O154" s="10">
        <v>0</v>
      </c>
      <c r="P154" s="10">
        <v>0</v>
      </c>
      <c r="Q154" s="10">
        <v>0</v>
      </c>
      <c r="R154" s="11">
        <f>IFERROR(P154/Q154, 0)</f>
      </c>
      <c r="S154" s="10">
        <v>0</v>
      </c>
      <c r="T154" s="10">
        <v>0</v>
      </c>
      <c r="U154" s="11">
        <f>IFERROR(S154/T154, 0)</f>
      </c>
      <c r="V154" s="10">
        <f>IFERROR(S154/E154, 0)</f>
      </c>
      <c r="W154" s="10">
        <f>IFERROR(T154/F154, 0)</f>
      </c>
      <c r="X154" s="11">
        <f>IFERROR(V154/W154, 0)</f>
      </c>
    </row>
    <row r="155" spans="1:24" x14ac:dyDescent="0.25">
      <c r="A155" s="8" t="s">
        <v>103</v>
      </c>
      <c r="B155" s="8" t="s">
        <v>104</v>
      </c>
      <c r="C155" s="8" t="s">
        <v>24</v>
      </c>
      <c r="D155" s="8" t="s">
        <v>184</v>
      </c>
      <c r="E155" s="9">
        <v>0</v>
      </c>
      <c r="F155" s="9">
        <v>0</v>
      </c>
      <c r="G155" s="10">
        <v>0</v>
      </c>
      <c r="H155" s="10">
        <v>0</v>
      </c>
      <c r="I155" s="11">
        <f>IFERROR(G155/H155, 0)</f>
      </c>
      <c r="J155" s="10">
        <v>0</v>
      </c>
      <c r="K155" s="10">
        <v>0</v>
      </c>
      <c r="L155" s="10">
        <v>0</v>
      </c>
      <c r="M155" s="12">
        <f>IFERROR(L155/K155, 0)</f>
      </c>
      <c r="N155" s="13">
        <f>IFERROR(J155/K155, 0)</f>
      </c>
      <c r="O155" s="10">
        <v>0</v>
      </c>
      <c r="P155" s="10">
        <v>0</v>
      </c>
      <c r="Q155" s="10">
        <v>0</v>
      </c>
      <c r="R155" s="11">
        <f>IFERROR(P155/Q155, 0)</f>
      </c>
      <c r="S155" s="10">
        <v>0</v>
      </c>
      <c r="T155" s="10">
        <v>0</v>
      </c>
      <c r="U155" s="11">
        <f>IFERROR(S155/T155, 0)</f>
      </c>
      <c r="V155" s="10">
        <f>IFERROR(S155/E155, 0)</f>
      </c>
      <c r="W155" s="10">
        <f>IFERROR(T155/F155, 0)</f>
      </c>
      <c r="X155" s="11">
        <f>IFERROR(V155/W155, 0)</f>
      </c>
    </row>
    <row r="156" spans="1:24" x14ac:dyDescent="0.25">
      <c r="A156" s="8" t="s">
        <v>103</v>
      </c>
      <c r="B156" s="8" t="s">
        <v>104</v>
      </c>
      <c r="C156" s="8" t="s">
        <v>24</v>
      </c>
      <c r="D156" s="8" t="s">
        <v>185</v>
      </c>
      <c r="E156" s="9">
        <v>46.44</v>
      </c>
      <c r="F156" s="9">
        <v>34.54</v>
      </c>
      <c r="G156" s="10">
        <v>2045</v>
      </c>
      <c r="H156" s="10">
        <v>1033.0292592592593</v>
      </c>
      <c r="I156" s="11">
        <f>IFERROR(G156/H156, 0)</f>
      </c>
      <c r="J156" s="10">
        <v>5.3</v>
      </c>
      <c r="K156" s="10">
        <v>3</v>
      </c>
      <c r="L156" s="10">
        <v>2045</v>
      </c>
      <c r="M156" s="12">
        <f>IFERROR(L156/K156, 0)</f>
      </c>
      <c r="N156" s="13">
        <f>IFERROR(J156/K156, 0)</f>
      </c>
      <c r="O156" s="10">
        <v>0</v>
      </c>
      <c r="P156" s="10">
        <v>5302</v>
      </c>
      <c r="Q156" s="10">
        <v>11363.321851851852</v>
      </c>
      <c r="R156" s="11">
        <f>IFERROR(P156/Q156, 0)</f>
      </c>
      <c r="S156" s="10">
        <v>10080</v>
      </c>
      <c r="T156" s="10">
        <v>128802.44185185185</v>
      </c>
      <c r="U156" s="11">
        <f>IFERROR(S156/T156, 0)</f>
      </c>
      <c r="V156" s="10">
        <f>IFERROR(S156/E156, 0)</f>
      </c>
      <c r="W156" s="10">
        <f>IFERROR(T156/F156, 0)</f>
      </c>
      <c r="X156" s="11">
        <f>IFERROR(V156/W156, 0)</f>
      </c>
    </row>
    <row r="157" spans="1:24" x14ac:dyDescent="0.25">
      <c r="A157" s="8" t="s">
        <v>103</v>
      </c>
      <c r="B157" s="8" t="s">
        <v>104</v>
      </c>
      <c r="C157" s="8" t="s">
        <v>24</v>
      </c>
      <c r="D157" s="8" t="s">
        <v>186</v>
      </c>
      <c r="E157" s="9">
        <v>806.56</v>
      </c>
      <c r="F157" s="9">
        <v>750.02</v>
      </c>
      <c r="G157" s="10">
        <v>70452</v>
      </c>
      <c r="H157" s="10">
        <v>22431.23888888889</v>
      </c>
      <c r="I157" s="11">
        <f>IFERROR(G157/H157, 0)</f>
      </c>
      <c r="J157" s="10">
        <v>218.69</v>
      </c>
      <c r="K157" s="10">
        <v>59</v>
      </c>
      <c r="L157" s="10">
        <v>70452</v>
      </c>
      <c r="M157" s="12">
        <f>IFERROR(L157/K157, 0)</f>
      </c>
      <c r="N157" s="13">
        <f>IFERROR(J157/K157, 0)</f>
      </c>
      <c r="O157" s="10">
        <v>0</v>
      </c>
      <c r="P157" s="10">
        <v>703967</v>
      </c>
      <c r="Q157" s="10">
        <v>246743.6277777778</v>
      </c>
      <c r="R157" s="11">
        <f>IFERROR(P157/Q157, 0)</f>
      </c>
      <c r="S157" s="10">
        <v>4670100</v>
      </c>
      <c r="T157" s="10">
        <v>2796821.297777778</v>
      </c>
      <c r="U157" s="11">
        <f>IFERROR(S157/T157, 0)</f>
      </c>
      <c r="V157" s="10">
        <f>IFERROR(S157/E157, 0)</f>
      </c>
      <c r="W157" s="10">
        <f>IFERROR(T157/F157, 0)</f>
      </c>
      <c r="X157" s="11">
        <f>IFERROR(V157/W157, 0)</f>
      </c>
    </row>
    <row r="158" spans="1:24" x14ac:dyDescent="0.25">
      <c r="A158" s="8" t="s">
        <v>103</v>
      </c>
      <c r="B158" s="8" t="s">
        <v>104</v>
      </c>
      <c r="C158" s="8" t="s">
        <v>24</v>
      </c>
      <c r="D158" s="8" t="s">
        <v>187</v>
      </c>
      <c r="E158" s="9">
        <v>165.79</v>
      </c>
      <c r="F158" s="9">
        <v>124.2</v>
      </c>
      <c r="G158" s="10">
        <v>0</v>
      </c>
      <c r="H158" s="10">
        <v>3714.3674074074074</v>
      </c>
      <c r="I158" s="11">
        <f>IFERROR(G158/H158, 0)</f>
      </c>
      <c r="J158" s="10">
        <v>0</v>
      </c>
      <c r="K158" s="10">
        <v>0</v>
      </c>
      <c r="L158" s="10">
        <v>0</v>
      </c>
      <c r="M158" s="12">
        <f>IFERROR(L158/K158, 0)</f>
      </c>
      <c r="N158" s="13">
        <f>IFERROR(J158/K158, 0)</f>
      </c>
      <c r="O158" s="10">
        <v>0</v>
      </c>
      <c r="P158" s="10">
        <v>9030</v>
      </c>
      <c r="Q158" s="10">
        <v>40858.04148148148</v>
      </c>
      <c r="R158" s="11">
        <f>IFERROR(P158/Q158, 0)</f>
      </c>
      <c r="S158" s="10">
        <v>9030</v>
      </c>
      <c r="T158" s="10">
        <v>463122.99148148147</v>
      </c>
      <c r="U158" s="11">
        <f>IFERROR(S158/T158, 0)</f>
      </c>
      <c r="V158" s="10">
        <f>IFERROR(S158/E158, 0)</f>
      </c>
      <c r="W158" s="10">
        <f>IFERROR(T158/F158, 0)</f>
      </c>
      <c r="X158" s="11">
        <f>IFERROR(V158/W158, 0)</f>
      </c>
    </row>
    <row r="159" spans="1:24" x14ac:dyDescent="0.25">
      <c r="A159" s="8" t="s">
        <v>103</v>
      </c>
      <c r="B159" s="8" t="s">
        <v>104</v>
      </c>
      <c r="C159" s="8" t="s">
        <v>24</v>
      </c>
      <c r="D159" s="8" t="s">
        <v>188</v>
      </c>
      <c r="E159" s="9">
        <v>0</v>
      </c>
      <c r="F159" s="9">
        <v>0</v>
      </c>
      <c r="G159" s="10">
        <v>0</v>
      </c>
      <c r="H159" s="10">
        <v>0</v>
      </c>
      <c r="I159" s="11">
        <f>IFERROR(G159/H159, 0)</f>
      </c>
      <c r="J159" s="10">
        <v>0</v>
      </c>
      <c r="K159" s="10">
        <v>0</v>
      </c>
      <c r="L159" s="10">
        <v>0</v>
      </c>
      <c r="M159" s="12">
        <f>IFERROR(L159/K159, 0)</f>
      </c>
      <c r="N159" s="13">
        <f>IFERROR(J159/K159, 0)</f>
      </c>
      <c r="O159" s="10">
        <v>0</v>
      </c>
      <c r="P159" s="10">
        <v>0</v>
      </c>
      <c r="Q159" s="10">
        <v>0</v>
      </c>
      <c r="R159" s="11">
        <f>IFERROR(P159/Q159, 0)</f>
      </c>
      <c r="S159" s="10">
        <v>0</v>
      </c>
      <c r="T159" s="10">
        <v>0</v>
      </c>
      <c r="U159" s="11">
        <f>IFERROR(S159/T159, 0)</f>
      </c>
      <c r="V159" s="10">
        <f>IFERROR(S159/E159, 0)</f>
      </c>
      <c r="W159" s="10">
        <f>IFERROR(T159/F159, 0)</f>
      </c>
      <c r="X159" s="11">
        <f>IFERROR(V159/W159, 0)</f>
      </c>
    </row>
    <row r="160" spans="1:24" x14ac:dyDescent="0.25">
      <c r="A160" s="8" t="s">
        <v>103</v>
      </c>
      <c r="B160" s="8" t="s">
        <v>104</v>
      </c>
      <c r="C160" s="8" t="s">
        <v>24</v>
      </c>
      <c r="D160" s="8" t="s">
        <v>189</v>
      </c>
      <c r="E160" s="9">
        <v>30.3</v>
      </c>
      <c r="F160" s="9">
        <v>22.54</v>
      </c>
      <c r="G160" s="10">
        <v>0</v>
      </c>
      <c r="H160" s="10">
        <v>674.0048148148148</v>
      </c>
      <c r="I160" s="11">
        <f>IFERROR(G160/H160, 0)</f>
      </c>
      <c r="J160" s="10">
        <v>0</v>
      </c>
      <c r="K160" s="10">
        <v>0</v>
      </c>
      <c r="L160" s="10">
        <v>0</v>
      </c>
      <c r="M160" s="12">
        <f>IFERROR(L160/K160, 0)</f>
      </c>
      <c r="N160" s="13">
        <f>IFERROR(J160/K160, 0)</f>
      </c>
      <c r="O160" s="10">
        <v>0</v>
      </c>
      <c r="P160" s="10">
        <v>0</v>
      </c>
      <c r="Q160" s="10">
        <v>7414.052962962963</v>
      </c>
      <c r="R160" s="11">
        <f>IFERROR(P160/Q160, 0)</f>
      </c>
      <c r="S160" s="10">
        <v>0</v>
      </c>
      <c r="T160" s="10">
        <v>84037.77296296296</v>
      </c>
      <c r="U160" s="11">
        <f>IFERROR(S160/T160, 0)</f>
      </c>
      <c r="V160" s="10">
        <f>IFERROR(S160/E160, 0)</f>
      </c>
      <c r="W160" s="10">
        <f>IFERROR(T160/F160, 0)</f>
      </c>
      <c r="X160" s="11">
        <f>IFERROR(V160/W160, 0)</f>
      </c>
    </row>
    <row r="161" spans="1:24" x14ac:dyDescent="0.25">
      <c r="A161" s="8" t="s">
        <v>103</v>
      </c>
      <c r="B161" s="8" t="s">
        <v>104</v>
      </c>
      <c r="C161" s="8" t="s">
        <v>24</v>
      </c>
      <c r="D161" s="8" t="s">
        <v>190</v>
      </c>
      <c r="E161" s="9">
        <v>4.21</v>
      </c>
      <c r="F161" s="9">
        <v>3.13</v>
      </c>
      <c r="G161" s="10">
        <v>0</v>
      </c>
      <c r="H161" s="10">
        <v>93.64888888888889</v>
      </c>
      <c r="I161" s="11">
        <f>IFERROR(G161/H161, 0)</f>
      </c>
      <c r="J161" s="10">
        <v>0</v>
      </c>
      <c r="K161" s="10">
        <v>0</v>
      </c>
      <c r="L161" s="10">
        <v>0</v>
      </c>
      <c r="M161" s="12">
        <f>IFERROR(L161/K161, 0)</f>
      </c>
      <c r="N161" s="13">
        <f>IFERROR(J161/K161, 0)</f>
      </c>
      <c r="O161" s="10">
        <v>0</v>
      </c>
      <c r="P161" s="10">
        <v>0</v>
      </c>
      <c r="Q161" s="10">
        <v>1030.1377777777777</v>
      </c>
      <c r="R161" s="11">
        <f>IFERROR(P161/Q161, 0)</f>
      </c>
      <c r="S161" s="10">
        <v>0</v>
      </c>
      <c r="T161" s="10">
        <v>11676.537777777778</v>
      </c>
      <c r="U161" s="11">
        <f>IFERROR(S161/T161, 0)</f>
      </c>
      <c r="V161" s="10">
        <f>IFERROR(S161/E161, 0)</f>
      </c>
      <c r="W161" s="10">
        <f>IFERROR(T161/F161, 0)</f>
      </c>
      <c r="X161" s="11">
        <f>IFERROR(V161/W161, 0)</f>
      </c>
    </row>
    <row r="162" spans="1:24" x14ac:dyDescent="0.25">
      <c r="A162" s="8" t="s">
        <v>103</v>
      </c>
      <c r="B162" s="8" t="s">
        <v>104</v>
      </c>
      <c r="C162" s="8" t="s">
        <v>24</v>
      </c>
      <c r="D162" s="8" t="s">
        <v>191</v>
      </c>
      <c r="E162" s="9">
        <v>150</v>
      </c>
      <c r="F162" s="9">
        <v>111.57</v>
      </c>
      <c r="G162" s="10">
        <v>0</v>
      </c>
      <c r="H162" s="10">
        <v>3336.657777777778</v>
      </c>
      <c r="I162" s="11">
        <f>IFERROR(G162/H162, 0)</f>
      </c>
      <c r="J162" s="10">
        <v>0</v>
      </c>
      <c r="K162" s="10">
        <v>0</v>
      </c>
      <c r="L162" s="10">
        <v>0</v>
      </c>
      <c r="M162" s="12">
        <f>IFERROR(L162/K162, 0)</f>
      </c>
      <c r="N162" s="13">
        <f>IFERROR(J162/K162, 0)</f>
      </c>
      <c r="O162" s="10">
        <v>0</v>
      </c>
      <c r="P162" s="10">
        <v>0</v>
      </c>
      <c r="Q162" s="10">
        <v>36703.235555555555</v>
      </c>
      <c r="R162" s="11">
        <f>IFERROR(P162/Q162, 0)</f>
      </c>
      <c r="S162" s="10">
        <v>0</v>
      </c>
      <c r="T162" s="10">
        <v>416028.55555555556</v>
      </c>
      <c r="U162" s="11">
        <f>IFERROR(S162/T162, 0)</f>
      </c>
      <c r="V162" s="10">
        <f>IFERROR(S162/E162, 0)</f>
      </c>
      <c r="W162" s="10">
        <f>IFERROR(T162/F162, 0)</f>
      </c>
      <c r="X162" s="11">
        <f>IFERROR(V162/W162, 0)</f>
      </c>
    </row>
    <row r="163" spans="1:24" x14ac:dyDescent="0.25">
      <c r="A163" s="8" t="s">
        <v>103</v>
      </c>
      <c r="B163" s="8" t="s">
        <v>104</v>
      </c>
      <c r="C163" s="8" t="s">
        <v>24</v>
      </c>
      <c r="D163" s="8" t="s">
        <v>192</v>
      </c>
      <c r="E163" s="9">
        <v>118.68</v>
      </c>
      <c r="F163" s="9">
        <v>110.47</v>
      </c>
      <c r="G163" s="10">
        <v>11300</v>
      </c>
      <c r="H163" s="10">
        <v>3303.9585185185183</v>
      </c>
      <c r="I163" s="11">
        <f>IFERROR(G163/H163, 0)</f>
      </c>
      <c r="J163" s="10">
        <v>22.75</v>
      </c>
      <c r="K163" s="10">
        <v>9</v>
      </c>
      <c r="L163" s="10">
        <v>11300</v>
      </c>
      <c r="M163" s="12">
        <f>IFERROR(L163/K163, 0)</f>
      </c>
      <c r="N163" s="13">
        <f>IFERROR(J163/K163, 0)</f>
      </c>
      <c r="O163" s="10">
        <v>0</v>
      </c>
      <c r="P163" s="10">
        <v>70920</v>
      </c>
      <c r="Q163" s="10">
        <v>36343.543703703705</v>
      </c>
      <c r="R163" s="11">
        <f>IFERROR(P163/Q163, 0)</f>
      </c>
      <c r="S163" s="10">
        <v>836707</v>
      </c>
      <c r="T163" s="10">
        <v>411951.4837037037</v>
      </c>
      <c r="U163" s="11">
        <f>IFERROR(S163/T163, 0)</f>
      </c>
      <c r="V163" s="10">
        <f>IFERROR(S163/E163, 0)</f>
      </c>
      <c r="W163" s="10">
        <f>IFERROR(T163/F163, 0)</f>
      </c>
      <c r="X163" s="11">
        <f>IFERROR(V163/W163, 0)</f>
      </c>
    </row>
    <row r="164" spans="1:24" x14ac:dyDescent="0.25">
      <c r="A164" s="8" t="s">
        <v>103</v>
      </c>
      <c r="B164" s="8" t="s">
        <v>104</v>
      </c>
      <c r="C164" s="8" t="s">
        <v>24</v>
      </c>
      <c r="D164" s="8" t="s">
        <v>193</v>
      </c>
      <c r="E164" s="9">
        <v>104.65</v>
      </c>
      <c r="F164" s="9">
        <v>77.84</v>
      </c>
      <c r="G164" s="10">
        <v>0</v>
      </c>
      <c r="H164" s="10">
        <v>2327.8748148148147</v>
      </c>
      <c r="I164" s="11">
        <f>IFERROR(G164/H164, 0)</f>
      </c>
      <c r="J164" s="10">
        <v>0</v>
      </c>
      <c r="K164" s="10">
        <v>0</v>
      </c>
      <c r="L164" s="10">
        <v>0</v>
      </c>
      <c r="M164" s="12">
        <f>IFERROR(L164/K164, 0)</f>
      </c>
      <c r="N164" s="13">
        <f>IFERROR(J164/K164, 0)</f>
      </c>
      <c r="O164" s="10">
        <v>0</v>
      </c>
      <c r="P164" s="10">
        <v>0</v>
      </c>
      <c r="Q164" s="10">
        <v>25606.622962962963</v>
      </c>
      <c r="R164" s="11">
        <f>IFERROR(P164/Q164, 0)</f>
      </c>
      <c r="S164" s="10">
        <v>0</v>
      </c>
      <c r="T164" s="10">
        <v>290249.24296296295</v>
      </c>
      <c r="U164" s="11">
        <f>IFERROR(S164/T164, 0)</f>
      </c>
      <c r="V164" s="10">
        <f>IFERROR(S164/E164, 0)</f>
      </c>
      <c r="W164" s="10">
        <f>IFERROR(T164/F164, 0)</f>
      </c>
      <c r="X164" s="11">
        <f>IFERROR(V164/W164, 0)</f>
      </c>
    </row>
    <row r="165" spans="1:24" x14ac:dyDescent="0.25">
      <c r="A165" s="8" t="s">
        <v>103</v>
      </c>
      <c r="B165" s="8" t="s">
        <v>104</v>
      </c>
      <c r="C165" s="8" t="s">
        <v>24</v>
      </c>
      <c r="D165" s="8" t="s">
        <v>194</v>
      </c>
      <c r="E165" s="9">
        <v>732.69</v>
      </c>
      <c r="F165" s="9">
        <v>545.93</v>
      </c>
      <c r="G165" s="10">
        <v>8920</v>
      </c>
      <c r="H165" s="10">
        <v>16327.379259259258</v>
      </c>
      <c r="I165" s="11">
        <f>IFERROR(G165/H165, 0)</f>
      </c>
      <c r="J165" s="10">
        <v>121.23</v>
      </c>
      <c r="K165" s="10">
        <v>25</v>
      </c>
      <c r="L165" s="10">
        <v>8920</v>
      </c>
      <c r="M165" s="12">
        <f>IFERROR(L165/K165, 0)</f>
      </c>
      <c r="N165" s="13">
        <f>IFERROR(J165/K165, 0)</f>
      </c>
      <c r="O165" s="10">
        <v>0</v>
      </c>
      <c r="P165" s="10">
        <v>115015</v>
      </c>
      <c r="Q165" s="10">
        <v>179601.17185185186</v>
      </c>
      <c r="R165" s="11">
        <f>IFERROR(P165/Q165, 0)</f>
      </c>
      <c r="S165" s="10">
        <v>500200</v>
      </c>
      <c r="T165" s="10">
        <v>2035766.391851852</v>
      </c>
      <c r="U165" s="11">
        <f>IFERROR(S165/T165, 0)</f>
      </c>
      <c r="V165" s="10">
        <f>IFERROR(S165/E165, 0)</f>
      </c>
      <c r="W165" s="10">
        <f>IFERROR(T165/F165, 0)</f>
      </c>
      <c r="X165" s="11">
        <f>IFERROR(V165/W165, 0)</f>
      </c>
    </row>
    <row r="166" spans="1:24" x14ac:dyDescent="0.25">
      <c r="A166" s="8" t="s">
        <v>103</v>
      </c>
      <c r="B166" s="8" t="s">
        <v>104</v>
      </c>
      <c r="C166" s="8" t="s">
        <v>24</v>
      </c>
      <c r="D166" s="8" t="s">
        <v>195</v>
      </c>
      <c r="E166" s="9">
        <v>1498.21</v>
      </c>
      <c r="F166" s="9">
        <v>1411.84</v>
      </c>
      <c r="G166" s="10">
        <v>99018</v>
      </c>
      <c r="H166" s="10">
        <v>42224.51592592592</v>
      </c>
      <c r="I166" s="11">
        <f>IFERROR(G166/H166, 0)</f>
      </c>
      <c r="J166" s="10">
        <v>218.45</v>
      </c>
      <c r="K166" s="10">
        <v>49</v>
      </c>
      <c r="L166" s="10">
        <v>99018</v>
      </c>
      <c r="M166" s="12">
        <f>IFERROR(L166/K166, 0)</f>
      </c>
      <c r="N166" s="13">
        <f>IFERROR(J166/K166, 0)</f>
      </c>
      <c r="O166" s="10">
        <v>0</v>
      </c>
      <c r="P166" s="10">
        <v>1006686</v>
      </c>
      <c r="Q166" s="10">
        <v>464469.67518518516</v>
      </c>
      <c r="R166" s="11">
        <f>IFERROR(P166/Q166, 0)</f>
      </c>
      <c r="S166" s="10">
        <v>10245828</v>
      </c>
      <c r="T166" s="10">
        <v>5264730.415185185</v>
      </c>
      <c r="U166" s="11">
        <f>IFERROR(S166/T166, 0)</f>
      </c>
      <c r="V166" s="10">
        <f>IFERROR(S166/E166, 0)</f>
      </c>
      <c r="W166" s="10">
        <f>IFERROR(T166/F166, 0)</f>
      </c>
      <c r="X166" s="11">
        <f>IFERROR(V166/W166, 0)</f>
      </c>
    </row>
    <row r="167" spans="1:24" x14ac:dyDescent="0.25">
      <c r="A167" s="8" t="s">
        <v>103</v>
      </c>
      <c r="B167" s="8" t="s">
        <v>104</v>
      </c>
      <c r="C167" s="8" t="s">
        <v>24</v>
      </c>
      <c r="D167" s="8" t="s">
        <v>196</v>
      </c>
      <c r="E167" s="9">
        <v>0</v>
      </c>
      <c r="F167" s="9">
        <v>1210.53</v>
      </c>
      <c r="G167" s="10">
        <v>0</v>
      </c>
      <c r="H167" s="10">
        <v>36203.85037037037</v>
      </c>
      <c r="I167" s="11">
        <f>IFERROR(G167/H167, 0)</f>
      </c>
      <c r="J167" s="10">
        <v>0</v>
      </c>
      <c r="K167" s="10">
        <v>0</v>
      </c>
      <c r="L167" s="10">
        <v>0</v>
      </c>
      <c r="M167" s="12">
        <f>IFERROR(L167/K167, 0)</f>
      </c>
      <c r="N167" s="13">
        <f>IFERROR(J167/K167, 0)</f>
      </c>
      <c r="O167" s="10">
        <v>0</v>
      </c>
      <c r="P167" s="10">
        <v>0</v>
      </c>
      <c r="Q167" s="10">
        <v>398242.3540740741</v>
      </c>
      <c r="R167" s="11">
        <f>IFERROR(P167/Q167, 0)</f>
      </c>
      <c r="S167" s="10">
        <v>0</v>
      </c>
      <c r="T167" s="10">
        <v>4514048.504074074</v>
      </c>
      <c r="U167" s="11">
        <f>IFERROR(S167/T167, 0)</f>
      </c>
      <c r="V167" s="10">
        <f>IFERROR(S167/E167, 0)</f>
      </c>
      <c r="W167" s="10">
        <f>IFERROR(T167/F167, 0)</f>
      </c>
      <c r="X167" s="11">
        <f>IFERROR(V167/W167, 0)</f>
      </c>
    </row>
    <row r="168" spans="1:24" x14ac:dyDescent="0.25">
      <c r="A168" s="8" t="s">
        <v>103</v>
      </c>
      <c r="B168" s="8" t="s">
        <v>104</v>
      </c>
      <c r="C168" s="8" t="s">
        <v>24</v>
      </c>
      <c r="D168" s="8" t="s">
        <v>197</v>
      </c>
      <c r="E168" s="9">
        <v>57.09</v>
      </c>
      <c r="F168" s="9">
        <v>42.46</v>
      </c>
      <c r="G168" s="10">
        <v>0</v>
      </c>
      <c r="H168" s="10">
        <v>1269.931851851852</v>
      </c>
      <c r="I168" s="11">
        <f>IFERROR(G168/H168, 0)</f>
      </c>
      <c r="J168" s="10">
        <v>0</v>
      </c>
      <c r="K168" s="10">
        <v>0</v>
      </c>
      <c r="L168" s="10">
        <v>0</v>
      </c>
      <c r="M168" s="12">
        <f>IFERROR(L168/K168, 0)</f>
      </c>
      <c r="N168" s="13">
        <f>IFERROR(J168/K168, 0)</f>
      </c>
      <c r="O168" s="10">
        <v>0</v>
      </c>
      <c r="P168" s="10">
        <v>10052</v>
      </c>
      <c r="Q168" s="10">
        <v>13969.25037037037</v>
      </c>
      <c r="R168" s="11">
        <f>IFERROR(P168/Q168, 0)</f>
      </c>
      <c r="S168" s="10">
        <v>154614</v>
      </c>
      <c r="T168" s="10">
        <v>158340.45037037038</v>
      </c>
      <c r="U168" s="11">
        <f>IFERROR(S168/T168, 0)</f>
      </c>
      <c r="V168" s="10">
        <f>IFERROR(S168/E168, 0)</f>
      </c>
      <c r="W168" s="10">
        <f>IFERROR(T168/F168, 0)</f>
      </c>
      <c r="X168" s="11">
        <f>IFERROR(V168/W168, 0)</f>
      </c>
    </row>
    <row r="169" spans="1:24" x14ac:dyDescent="0.25">
      <c r="A169" s="8" t="s">
        <v>103</v>
      </c>
      <c r="B169" s="8" t="s">
        <v>104</v>
      </c>
      <c r="C169" s="8" t="s">
        <v>24</v>
      </c>
      <c r="D169" s="8" t="s">
        <v>198</v>
      </c>
      <c r="E169" s="9">
        <v>24</v>
      </c>
      <c r="F169" s="9">
        <v>18.59</v>
      </c>
      <c r="G169" s="10">
        <v>0</v>
      </c>
      <c r="H169" s="10">
        <v>556.1096296296296</v>
      </c>
      <c r="I169" s="11">
        <f>IFERROR(G169/H169, 0)</f>
      </c>
      <c r="J169" s="10">
        <v>0</v>
      </c>
      <c r="K169" s="10">
        <v>0</v>
      </c>
      <c r="L169" s="10">
        <v>0</v>
      </c>
      <c r="M169" s="12">
        <f>IFERROR(L169/K169, 0)</f>
      </c>
      <c r="N169" s="13">
        <f>IFERROR(J169/K169, 0)</f>
      </c>
      <c r="O169" s="10">
        <v>0</v>
      </c>
      <c r="P169" s="10">
        <v>0</v>
      </c>
      <c r="Q169" s="10">
        <v>6117.205925925926</v>
      </c>
      <c r="R169" s="11">
        <f>IFERROR(P169/Q169, 0)</f>
      </c>
      <c r="S169" s="10">
        <v>53710</v>
      </c>
      <c r="T169" s="10">
        <v>69338.08592592593</v>
      </c>
      <c r="U169" s="11">
        <f>IFERROR(S169/T169, 0)</f>
      </c>
      <c r="V169" s="10">
        <f>IFERROR(S169/E169, 0)</f>
      </c>
      <c r="W169" s="10">
        <f>IFERROR(T169/F169, 0)</f>
      </c>
      <c r="X169" s="11">
        <f>IFERROR(V169/W169, 0)</f>
      </c>
    </row>
    <row r="170" spans="1:24" x14ac:dyDescent="0.25">
      <c r="A170" s="8" t="s">
        <v>103</v>
      </c>
      <c r="B170" s="8" t="s">
        <v>104</v>
      </c>
      <c r="C170" s="8" t="s">
        <v>24</v>
      </c>
      <c r="D170" s="8" t="s">
        <v>199</v>
      </c>
      <c r="E170" s="9">
        <v>53</v>
      </c>
      <c r="F170" s="9">
        <v>145.85</v>
      </c>
      <c r="G170" s="10">
        <v>6954</v>
      </c>
      <c r="H170" s="10">
        <v>4362.124074074074</v>
      </c>
      <c r="I170" s="11">
        <f>IFERROR(G170/H170, 0)</f>
      </c>
      <c r="J170" s="10">
        <v>11</v>
      </c>
      <c r="K170" s="10">
        <v>4</v>
      </c>
      <c r="L170" s="10">
        <v>6954</v>
      </c>
      <c r="M170" s="12">
        <f>IFERROR(L170/K170, 0)</f>
      </c>
      <c r="N170" s="13">
        <f>IFERROR(J170/K170, 0)</f>
      </c>
      <c r="O170" s="10">
        <v>0</v>
      </c>
      <c r="P170" s="10">
        <v>70041</v>
      </c>
      <c r="Q170" s="10">
        <v>47983.36481481481</v>
      </c>
      <c r="R170" s="11">
        <f>IFERROR(P170/Q170, 0)</f>
      </c>
      <c r="S170" s="10">
        <v>660690</v>
      </c>
      <c r="T170" s="10">
        <v>543887.9948148148</v>
      </c>
      <c r="U170" s="11">
        <f>IFERROR(S170/T170, 0)</f>
      </c>
      <c r="V170" s="10">
        <f>IFERROR(S170/E170, 0)</f>
      </c>
      <c r="W170" s="10">
        <f>IFERROR(T170/F170, 0)</f>
      </c>
      <c r="X170" s="11">
        <f>IFERROR(V170/W170, 0)</f>
      </c>
    </row>
    <row r="171" spans="1:24" x14ac:dyDescent="0.25">
      <c r="A171" s="8" t="s">
        <v>103</v>
      </c>
      <c r="B171" s="8" t="s">
        <v>104</v>
      </c>
      <c r="C171" s="8" t="s">
        <v>24</v>
      </c>
      <c r="D171" s="8" t="s">
        <v>200</v>
      </c>
      <c r="E171" s="9">
        <v>175</v>
      </c>
      <c r="F171" s="9">
        <v>135.37</v>
      </c>
      <c r="G171" s="10">
        <v>11526</v>
      </c>
      <c r="H171" s="10">
        <v>4048.478148148148</v>
      </c>
      <c r="I171" s="11">
        <f>IFERROR(G171/H171, 0)</f>
      </c>
      <c r="J171" s="10">
        <v>21</v>
      </c>
      <c r="K171" s="10">
        <v>8</v>
      </c>
      <c r="L171" s="10">
        <v>11526</v>
      </c>
      <c r="M171" s="12">
        <f>IFERROR(L171/K171, 0)</f>
      </c>
      <c r="N171" s="13">
        <f>IFERROR(J171/K171, 0)</f>
      </c>
      <c r="O171" s="10">
        <v>0</v>
      </c>
      <c r="P171" s="10">
        <v>90029</v>
      </c>
      <c r="Q171" s="10">
        <v>44533.25962962963</v>
      </c>
      <c r="R171" s="11">
        <f>IFERROR(P171/Q171, 0)</f>
      </c>
      <c r="S171" s="10">
        <v>1240635</v>
      </c>
      <c r="T171" s="10">
        <v>504781.3196296296</v>
      </c>
      <c r="U171" s="11">
        <f>IFERROR(S171/T171, 0)</f>
      </c>
      <c r="V171" s="10">
        <f>IFERROR(S171/E171, 0)</f>
      </c>
      <c r="W171" s="10">
        <f>IFERROR(T171/F171, 0)</f>
      </c>
      <c r="X171" s="11">
        <f>IFERROR(V171/W171, 0)</f>
      </c>
    </row>
    <row r="172" spans="1:24" x14ac:dyDescent="0.25">
      <c r="A172" s="8" t="s">
        <v>103</v>
      </c>
      <c r="B172" s="8" t="s">
        <v>104</v>
      </c>
      <c r="C172" s="8" t="s">
        <v>24</v>
      </c>
      <c r="D172" s="8" t="s">
        <v>201</v>
      </c>
      <c r="E172" s="9">
        <v>765.6</v>
      </c>
      <c r="F172" s="9">
        <v>0</v>
      </c>
      <c r="G172" s="10">
        <v>17880</v>
      </c>
      <c r="H172" s="10">
        <v>0</v>
      </c>
      <c r="I172" s="11">
        <f>IFERROR(G172/H172, 0)</f>
      </c>
      <c r="J172" s="10">
        <v>90</v>
      </c>
      <c r="K172" s="10">
        <v>21</v>
      </c>
      <c r="L172" s="10">
        <v>17880</v>
      </c>
      <c r="M172" s="12">
        <f>IFERROR(L172/K172, 0)</f>
      </c>
      <c r="N172" s="13">
        <f>IFERROR(J172/K172, 0)</f>
      </c>
      <c r="O172" s="10">
        <v>0</v>
      </c>
      <c r="P172" s="10">
        <v>387730</v>
      </c>
      <c r="Q172" s="10">
        <v>0</v>
      </c>
      <c r="R172" s="11">
        <f>IFERROR(P172/Q172, 0)</f>
      </c>
      <c r="S172" s="10">
        <v>5220081</v>
      </c>
      <c r="T172" s="10">
        <v>0</v>
      </c>
      <c r="U172" s="11">
        <f>IFERROR(S172/T172, 0)</f>
      </c>
      <c r="V172" s="10">
        <f>IFERROR(S172/E172, 0)</f>
      </c>
      <c r="W172" s="10">
        <f>IFERROR(T172/F172, 0)</f>
      </c>
      <c r="X172" s="11">
        <f>IFERROR(V172/W172, 0)</f>
      </c>
    </row>
    <row r="173" spans="1:24" x14ac:dyDescent="0.25">
      <c r="A173" s="8" t="s">
        <v>103</v>
      </c>
      <c r="B173" s="8" t="s">
        <v>104</v>
      </c>
      <c r="C173" s="8" t="s">
        <v>24</v>
      </c>
      <c r="D173" s="8" t="s">
        <v>202</v>
      </c>
      <c r="E173" s="9">
        <v>220.85</v>
      </c>
      <c r="F173" s="9">
        <v>986.62</v>
      </c>
      <c r="G173" s="10">
        <v>0</v>
      </c>
      <c r="H173" s="10">
        <v>29507.17814814815</v>
      </c>
      <c r="I173" s="11">
        <f>IFERROR(G173/H173, 0)</f>
      </c>
      <c r="J173" s="10">
        <v>0</v>
      </c>
      <c r="K173" s="10">
        <v>0</v>
      </c>
      <c r="L173" s="10">
        <v>0</v>
      </c>
      <c r="M173" s="12">
        <f>IFERROR(L173/K173, 0)</f>
      </c>
      <c r="N173" s="13">
        <f>IFERROR(J173/K173, 0)</f>
      </c>
      <c r="O173" s="10">
        <v>0</v>
      </c>
      <c r="P173" s="10">
        <v>106445</v>
      </c>
      <c r="Q173" s="10">
        <v>324578.9596296296</v>
      </c>
      <c r="R173" s="11">
        <f>IFERROR(P173/Q173, 0)</f>
      </c>
      <c r="S173" s="10">
        <v>1503675</v>
      </c>
      <c r="T173" s="10">
        <v>3679079.1896296297</v>
      </c>
      <c r="U173" s="11">
        <f>IFERROR(S173/T173, 0)</f>
      </c>
      <c r="V173" s="10">
        <f>IFERROR(S173/E173, 0)</f>
      </c>
      <c r="W173" s="10">
        <f>IFERROR(T173/F173, 0)</f>
      </c>
      <c r="X173" s="11">
        <f>IFERROR(V173/W173, 0)</f>
      </c>
    </row>
    <row r="174" spans="1:24" x14ac:dyDescent="0.25">
      <c r="A174" s="8" t="s">
        <v>103</v>
      </c>
      <c r="B174" s="8" t="s">
        <v>104</v>
      </c>
      <c r="C174" s="8" t="s">
        <v>24</v>
      </c>
      <c r="D174" s="8" t="s">
        <v>203</v>
      </c>
      <c r="E174" s="9">
        <v>94</v>
      </c>
      <c r="F174" s="9">
        <v>94.07</v>
      </c>
      <c r="G174" s="10">
        <v>0</v>
      </c>
      <c r="H174" s="10">
        <v>2813.47</v>
      </c>
      <c r="I174" s="11">
        <f>IFERROR(G174/H174, 0)</f>
      </c>
      <c r="J174" s="10">
        <v>0</v>
      </c>
      <c r="K174" s="10">
        <v>0</v>
      </c>
      <c r="L174" s="10">
        <v>0</v>
      </c>
      <c r="M174" s="12">
        <f>IFERROR(L174/K174, 0)</f>
      </c>
      <c r="N174" s="13">
        <f>IFERROR(J174/K174, 0)</f>
      </c>
      <c r="O174" s="10">
        <v>0</v>
      </c>
      <c r="P174" s="10">
        <v>50555</v>
      </c>
      <c r="Q174" s="10">
        <v>30948.17</v>
      </c>
      <c r="R174" s="11">
        <f>IFERROR(P174/Q174, 0)</f>
      </c>
      <c r="S174" s="10">
        <v>538274</v>
      </c>
      <c r="T174" s="10">
        <v>350795.28</v>
      </c>
      <c r="U174" s="11">
        <f>IFERROR(S174/T174, 0)</f>
      </c>
      <c r="V174" s="10">
        <f>IFERROR(S174/E174, 0)</f>
      </c>
      <c r="W174" s="10">
        <f>IFERROR(T174/F174, 0)</f>
      </c>
      <c r="X174" s="11">
        <f>IFERROR(V174/W174, 0)</f>
      </c>
    </row>
    <row r="175" spans="1:24" x14ac:dyDescent="0.25">
      <c r="A175" s="8" t="s">
        <v>103</v>
      </c>
      <c r="B175" s="8" t="s">
        <v>104</v>
      </c>
      <c r="C175" s="8" t="s">
        <v>24</v>
      </c>
      <c r="D175" s="8" t="s">
        <v>204</v>
      </c>
      <c r="E175" s="9">
        <v>65</v>
      </c>
      <c r="F175" s="9">
        <v>52</v>
      </c>
      <c r="G175" s="10">
        <v>6033</v>
      </c>
      <c r="H175" s="10">
        <v>1555.3274074074075</v>
      </c>
      <c r="I175" s="11">
        <f>IFERROR(G175/H175, 0)</f>
      </c>
      <c r="J175" s="10">
        <v>23.12</v>
      </c>
      <c r="K175" s="10">
        <v>6</v>
      </c>
      <c r="L175" s="10">
        <v>6033</v>
      </c>
      <c r="M175" s="12">
        <f>IFERROR(L175/K175, 0)</f>
      </c>
      <c r="N175" s="13">
        <f>IFERROR(J175/K175, 0)</f>
      </c>
      <c r="O175" s="10">
        <v>0</v>
      </c>
      <c r="P175" s="10">
        <v>29188</v>
      </c>
      <c r="Q175" s="10">
        <v>17108.60148148148</v>
      </c>
      <c r="R175" s="11">
        <f>IFERROR(P175/Q175, 0)</f>
      </c>
      <c r="S175" s="10">
        <v>409832</v>
      </c>
      <c r="T175" s="10">
        <v>193924.78148148148</v>
      </c>
      <c r="U175" s="11">
        <f>IFERROR(S175/T175, 0)</f>
      </c>
      <c r="V175" s="10">
        <f>IFERROR(S175/E175, 0)</f>
      </c>
      <c r="W175" s="10">
        <f>IFERROR(T175/F175, 0)</f>
      </c>
      <c r="X175" s="11">
        <f>IFERROR(V175/W175, 0)</f>
      </c>
    </row>
    <row r="176" spans="1:24" x14ac:dyDescent="0.25">
      <c r="A176" s="8" t="s">
        <v>103</v>
      </c>
      <c r="B176" s="8" t="s">
        <v>104</v>
      </c>
      <c r="C176" s="8" t="s">
        <v>24</v>
      </c>
      <c r="D176" s="8" t="s">
        <v>205</v>
      </c>
      <c r="E176" s="9">
        <v>59</v>
      </c>
      <c r="F176" s="9">
        <v>43.88</v>
      </c>
      <c r="G176" s="10">
        <v>0</v>
      </c>
      <c r="H176" s="10">
        <v>1312.418888888889</v>
      </c>
      <c r="I176" s="11">
        <f>IFERROR(G176/H176, 0)</f>
      </c>
      <c r="J176" s="10">
        <v>0</v>
      </c>
      <c r="K176" s="10">
        <v>0</v>
      </c>
      <c r="L176" s="10">
        <v>0</v>
      </c>
      <c r="M176" s="12">
        <f>IFERROR(L176/K176, 0)</f>
      </c>
      <c r="N176" s="13">
        <f>IFERROR(J176/K176, 0)</f>
      </c>
      <c r="O176" s="10">
        <v>0</v>
      </c>
      <c r="P176" s="10">
        <v>49001</v>
      </c>
      <c r="Q176" s="10">
        <v>14436.607777777777</v>
      </c>
      <c r="R176" s="11">
        <f>IFERROR(P176/Q176, 0)</f>
      </c>
      <c r="S176" s="10">
        <v>124841</v>
      </c>
      <c r="T176" s="10">
        <v>163637.89777777778</v>
      </c>
      <c r="U176" s="11">
        <f>IFERROR(S176/T176, 0)</f>
      </c>
      <c r="V176" s="10">
        <f>IFERROR(S176/E176, 0)</f>
      </c>
      <c r="W176" s="10">
        <f>IFERROR(T176/F176, 0)</f>
      </c>
      <c r="X176" s="11">
        <f>IFERROR(V176/W176, 0)</f>
      </c>
    </row>
    <row r="177" spans="1:24" x14ac:dyDescent="0.25">
      <c r="A177" s="8" t="s">
        <v>103</v>
      </c>
      <c r="B177" s="8" t="s">
        <v>104</v>
      </c>
      <c r="C177" s="8" t="s">
        <v>24</v>
      </c>
      <c r="D177" s="8" t="s">
        <v>206</v>
      </c>
      <c r="E177" s="9">
        <v>395.12</v>
      </c>
      <c r="F177" s="9">
        <v>293.88</v>
      </c>
      <c r="G177" s="10">
        <v>0</v>
      </c>
      <c r="H177" s="10">
        <v>8789.201851851853</v>
      </c>
      <c r="I177" s="11">
        <f>IFERROR(G177/H177, 0)</f>
      </c>
      <c r="J177" s="10">
        <v>0</v>
      </c>
      <c r="K177" s="10">
        <v>0</v>
      </c>
      <c r="L177" s="10">
        <v>0</v>
      </c>
      <c r="M177" s="12">
        <f>IFERROR(L177/K177, 0)</f>
      </c>
      <c r="N177" s="13">
        <f>IFERROR(J177/K177, 0)</f>
      </c>
      <c r="O177" s="10">
        <v>0</v>
      </c>
      <c r="P177" s="10">
        <v>0</v>
      </c>
      <c r="Q177" s="10">
        <v>96681.22037037037</v>
      </c>
      <c r="R177" s="11">
        <f>IFERROR(P177/Q177, 0)</f>
      </c>
      <c r="S177" s="10">
        <v>418735</v>
      </c>
      <c r="T177" s="10">
        <v>1095874.6903703704</v>
      </c>
      <c r="U177" s="11">
        <f>IFERROR(S177/T177, 0)</f>
      </c>
      <c r="V177" s="10">
        <f>IFERROR(S177/E177, 0)</f>
      </c>
      <c r="W177" s="10">
        <f>IFERROR(T177/F177, 0)</f>
      </c>
      <c r="X177" s="11">
        <f>IFERROR(V177/W177, 0)</f>
      </c>
    </row>
    <row r="178" spans="1:24" x14ac:dyDescent="0.25">
      <c r="A178" s="8" t="s">
        <v>103</v>
      </c>
      <c r="B178" s="8" t="s">
        <v>104</v>
      </c>
      <c r="C178" s="8" t="s">
        <v>24</v>
      </c>
      <c r="D178" s="8" t="s">
        <v>207</v>
      </c>
      <c r="E178" s="9">
        <v>313.64</v>
      </c>
      <c r="F178" s="9">
        <v>0</v>
      </c>
      <c r="G178" s="10">
        <v>9260</v>
      </c>
      <c r="H178" s="10">
        <v>0</v>
      </c>
      <c r="I178" s="11">
        <f>IFERROR(G178/H178, 0)</f>
      </c>
      <c r="J178" s="10">
        <v>13.5</v>
      </c>
      <c r="K178" s="10">
        <v>12</v>
      </c>
      <c r="L178" s="10">
        <v>9260</v>
      </c>
      <c r="M178" s="12">
        <f>IFERROR(L178/K178, 0)</f>
      </c>
      <c r="N178" s="13">
        <f>IFERROR(J178/K178, 0)</f>
      </c>
      <c r="O178" s="10">
        <v>0</v>
      </c>
      <c r="P178" s="10">
        <v>117220</v>
      </c>
      <c r="Q178" s="10">
        <v>0</v>
      </c>
      <c r="R178" s="11">
        <f>IFERROR(P178/Q178, 0)</f>
      </c>
      <c r="S178" s="10">
        <v>1371452</v>
      </c>
      <c r="T178" s="10">
        <v>0</v>
      </c>
      <c r="U178" s="11">
        <f>IFERROR(S178/T178, 0)</f>
      </c>
      <c r="V178" s="10">
        <f>IFERROR(S178/E178, 0)</f>
      </c>
      <c r="W178" s="10">
        <f>IFERROR(T178/F178, 0)</f>
      </c>
      <c r="X178" s="11">
        <f>IFERROR(V178/W178, 0)</f>
      </c>
    </row>
    <row r="179" spans="1:24" x14ac:dyDescent="0.25">
      <c r="A179" s="8" t="s">
        <v>103</v>
      </c>
      <c r="B179" s="8" t="s">
        <v>104</v>
      </c>
      <c r="C179" s="8" t="s">
        <v>24</v>
      </c>
      <c r="D179" s="8" t="s">
        <v>208</v>
      </c>
      <c r="E179" s="9">
        <v>0.63</v>
      </c>
      <c r="F179" s="9">
        <v>0</v>
      </c>
      <c r="G179" s="10">
        <v>0</v>
      </c>
      <c r="H179" s="10">
        <v>0</v>
      </c>
      <c r="I179" s="11">
        <f>IFERROR(G179/H179, 0)</f>
      </c>
      <c r="J179" s="10">
        <v>0</v>
      </c>
      <c r="K179" s="10">
        <v>0</v>
      </c>
      <c r="L179" s="10">
        <v>0</v>
      </c>
      <c r="M179" s="12">
        <f>IFERROR(L179/K179, 0)</f>
      </c>
      <c r="N179" s="13">
        <f>IFERROR(J179/K179, 0)</f>
      </c>
      <c r="O179" s="10">
        <v>0</v>
      </c>
      <c r="P179" s="10">
        <v>0</v>
      </c>
      <c r="Q179" s="10">
        <v>0</v>
      </c>
      <c r="R179" s="11">
        <f>IFERROR(P179/Q179, 0)</f>
      </c>
      <c r="S179" s="10">
        <v>0</v>
      </c>
      <c r="T179" s="10">
        <v>0</v>
      </c>
      <c r="U179" s="11">
        <f>IFERROR(S179/T179, 0)</f>
      </c>
      <c r="V179" s="10">
        <f>IFERROR(S179/E179, 0)</f>
      </c>
      <c r="W179" s="10">
        <f>IFERROR(T179/F179, 0)</f>
      </c>
      <c r="X179" s="11">
        <f>IFERROR(V179/W179, 0)</f>
      </c>
    </row>
    <row r="180" spans="1:24" x14ac:dyDescent="0.25">
      <c r="A180" s="8" t="s">
        <v>103</v>
      </c>
      <c r="B180" s="8" t="s">
        <v>104</v>
      </c>
      <c r="C180" s="8" t="s">
        <v>24</v>
      </c>
      <c r="D180" s="8" t="s">
        <v>209</v>
      </c>
      <c r="E180" s="9">
        <v>495.55</v>
      </c>
      <c r="F180" s="9">
        <v>368.58</v>
      </c>
      <c r="G180" s="10">
        <v>0</v>
      </c>
      <c r="H180" s="10">
        <v>11023.205555555556</v>
      </c>
      <c r="I180" s="11">
        <f>IFERROR(G180/H180, 0)</f>
      </c>
      <c r="J180" s="10">
        <v>0</v>
      </c>
      <c r="K180" s="10">
        <v>0</v>
      </c>
      <c r="L180" s="10">
        <v>0</v>
      </c>
      <c r="M180" s="12">
        <f>IFERROR(L180/K180, 0)</f>
      </c>
      <c r="N180" s="13">
        <f>IFERROR(J180/K180, 0)</f>
      </c>
      <c r="O180" s="10">
        <v>0</v>
      </c>
      <c r="P180" s="10">
        <v>0</v>
      </c>
      <c r="Q180" s="10">
        <v>121255.26111111112</v>
      </c>
      <c r="R180" s="11">
        <f>IFERROR(P180/Q180, 0)</f>
      </c>
      <c r="S180" s="10">
        <v>0</v>
      </c>
      <c r="T180" s="10">
        <v>1374419.671111111</v>
      </c>
      <c r="U180" s="11">
        <f>IFERROR(S180/T180, 0)</f>
      </c>
      <c r="V180" s="10">
        <f>IFERROR(S180/E180, 0)</f>
      </c>
      <c r="W180" s="10">
        <f>IFERROR(T180/F180, 0)</f>
      </c>
      <c r="X180" s="11">
        <f>IFERROR(V180/W180, 0)</f>
      </c>
    </row>
    <row r="181" spans="1:24" x14ac:dyDescent="0.25">
      <c r="A181" s="8" t="s">
        <v>103</v>
      </c>
      <c r="B181" s="8" t="s">
        <v>104</v>
      </c>
      <c r="C181" s="8" t="s">
        <v>24</v>
      </c>
      <c r="D181" s="8" t="s">
        <v>210</v>
      </c>
      <c r="E181" s="9">
        <v>16.8</v>
      </c>
      <c r="F181" s="9">
        <v>12.5</v>
      </c>
      <c r="G181" s="10">
        <v>0</v>
      </c>
      <c r="H181" s="10">
        <v>373.7055555555556</v>
      </c>
      <c r="I181" s="11">
        <f>IFERROR(G181/H181, 0)</f>
      </c>
      <c r="J181" s="10">
        <v>0</v>
      </c>
      <c r="K181" s="10">
        <v>0</v>
      </c>
      <c r="L181" s="10">
        <v>0</v>
      </c>
      <c r="M181" s="12">
        <f>IFERROR(L181/K181, 0)</f>
      </c>
      <c r="N181" s="13">
        <f>IFERROR(J181/K181, 0)</f>
      </c>
      <c r="O181" s="10">
        <v>0</v>
      </c>
      <c r="P181" s="10">
        <v>0</v>
      </c>
      <c r="Q181" s="10">
        <v>4110.761111111111</v>
      </c>
      <c r="R181" s="11">
        <f>IFERROR(P181/Q181, 0)</f>
      </c>
      <c r="S181" s="10">
        <v>0</v>
      </c>
      <c r="T181" s="10">
        <v>46595.20111111111</v>
      </c>
      <c r="U181" s="11">
        <f>IFERROR(S181/T181, 0)</f>
      </c>
      <c r="V181" s="10">
        <f>IFERROR(S181/E181, 0)</f>
      </c>
      <c r="W181" s="10">
        <f>IFERROR(T181/F181, 0)</f>
      </c>
      <c r="X181" s="11">
        <f>IFERROR(V181/W181, 0)</f>
      </c>
    </row>
    <row r="182" spans="1:24" x14ac:dyDescent="0.25">
      <c r="A182" s="8" t="s">
        <v>103</v>
      </c>
      <c r="B182" s="8" t="s">
        <v>104</v>
      </c>
      <c r="C182" s="8" t="s">
        <v>24</v>
      </c>
      <c r="D182" s="8" t="s">
        <v>211</v>
      </c>
      <c r="E182" s="9">
        <v>250</v>
      </c>
      <c r="F182" s="9">
        <v>185.94</v>
      </c>
      <c r="G182" s="10">
        <v>0</v>
      </c>
      <c r="H182" s="10">
        <v>5561.096666666666</v>
      </c>
      <c r="I182" s="11">
        <f>IFERROR(G182/H182, 0)</f>
      </c>
      <c r="J182" s="10">
        <v>0</v>
      </c>
      <c r="K182" s="10">
        <v>0</v>
      </c>
      <c r="L182" s="10">
        <v>0</v>
      </c>
      <c r="M182" s="12">
        <f>IFERROR(L182/K182, 0)</f>
      </c>
      <c r="N182" s="13">
        <f>IFERROR(J182/K182, 0)</f>
      </c>
      <c r="O182" s="10">
        <v>0</v>
      </c>
      <c r="P182" s="10">
        <v>0</v>
      </c>
      <c r="Q182" s="10">
        <v>61172.06333333333</v>
      </c>
      <c r="R182" s="11">
        <f>IFERROR(P182/Q182, 0)</f>
      </c>
      <c r="S182" s="10">
        <v>0</v>
      </c>
      <c r="T182" s="10">
        <v>693380.9333333333</v>
      </c>
      <c r="U182" s="11">
        <f>IFERROR(S182/T182, 0)</f>
      </c>
      <c r="V182" s="10">
        <f>IFERROR(S182/E182, 0)</f>
      </c>
      <c r="W182" s="10">
        <f>IFERROR(T182/F182, 0)</f>
      </c>
      <c r="X182" s="11">
        <f>IFERROR(V182/W182, 0)</f>
      </c>
    </row>
    <row r="183" spans="1:24" x14ac:dyDescent="0.25">
      <c r="A183" s="8" t="s">
        <v>103</v>
      </c>
      <c r="B183" s="8" t="s">
        <v>104</v>
      </c>
      <c r="C183" s="8" t="s">
        <v>24</v>
      </c>
      <c r="D183" s="8" t="s">
        <v>212</v>
      </c>
      <c r="E183" s="9">
        <v>551.04</v>
      </c>
      <c r="F183" s="9">
        <v>426.93</v>
      </c>
      <c r="G183" s="10">
        <v>24304</v>
      </c>
      <c r="H183" s="10">
        <v>12768.277407407408</v>
      </c>
      <c r="I183" s="11">
        <f>IFERROR(G183/H183, 0)</f>
      </c>
      <c r="J183" s="10">
        <v>85</v>
      </c>
      <c r="K183" s="10">
        <v>27</v>
      </c>
      <c r="L183" s="10">
        <v>24304</v>
      </c>
      <c r="M183" s="12">
        <f>IFERROR(L183/K183, 0)</f>
      </c>
      <c r="N183" s="13">
        <f>IFERROR(J183/K183, 0)</f>
      </c>
      <c r="O183" s="10">
        <v>0</v>
      </c>
      <c r="P183" s="10">
        <v>258192</v>
      </c>
      <c r="Q183" s="10">
        <v>140451.05148148147</v>
      </c>
      <c r="R183" s="11">
        <f>IFERROR(P183/Q183, 0)</f>
      </c>
      <c r="S183" s="10">
        <v>2799580</v>
      </c>
      <c r="T183" s="10">
        <v>1592002.6014814815</v>
      </c>
      <c r="U183" s="11">
        <f>IFERROR(S183/T183, 0)</f>
      </c>
      <c r="V183" s="10">
        <f>IFERROR(S183/E183, 0)</f>
      </c>
      <c r="W183" s="10">
        <f>IFERROR(T183/F183, 0)</f>
      </c>
      <c r="X183" s="11">
        <f>IFERROR(V183/W183, 0)</f>
      </c>
    </row>
    <row r="184" spans="1:24" x14ac:dyDescent="0.25">
      <c r="A184" s="8" t="s">
        <v>103</v>
      </c>
      <c r="B184" s="8" t="s">
        <v>104</v>
      </c>
      <c r="C184" s="8" t="s">
        <v>24</v>
      </c>
      <c r="D184" s="8" t="s">
        <v>213</v>
      </c>
      <c r="E184" s="9">
        <v>71</v>
      </c>
      <c r="F184" s="9">
        <v>79.58</v>
      </c>
      <c r="G184" s="10">
        <v>4370</v>
      </c>
      <c r="H184" s="10">
        <v>2380.1492592592595</v>
      </c>
      <c r="I184" s="11">
        <f>IFERROR(G184/H184, 0)</f>
      </c>
      <c r="J184" s="10">
        <v>8</v>
      </c>
      <c r="K184" s="10">
        <v>4</v>
      </c>
      <c r="L184" s="10">
        <v>4370</v>
      </c>
      <c r="M184" s="12">
        <f>IFERROR(L184/K184, 0)</f>
      </c>
      <c r="N184" s="13">
        <f>IFERROR(J184/K184, 0)</f>
      </c>
      <c r="O184" s="10">
        <v>0</v>
      </c>
      <c r="P184" s="10">
        <v>8892</v>
      </c>
      <c r="Q184" s="10">
        <v>26181.64185185185</v>
      </c>
      <c r="R184" s="11">
        <f>IFERROR(P184/Q184, 0)</f>
      </c>
      <c r="S184" s="10">
        <v>134179</v>
      </c>
      <c r="T184" s="10">
        <v>296767.04185185186</v>
      </c>
      <c r="U184" s="11">
        <f>IFERROR(S184/T184, 0)</f>
      </c>
      <c r="V184" s="10">
        <f>IFERROR(S184/E184, 0)</f>
      </c>
      <c r="W184" s="10">
        <f>IFERROR(T184/F184, 0)</f>
      </c>
      <c r="X184" s="11">
        <f>IFERROR(V184/W184, 0)</f>
      </c>
    </row>
    <row r="185" spans="1:24" x14ac:dyDescent="0.25">
      <c r="A185" s="8" t="s">
        <v>103</v>
      </c>
      <c r="B185" s="8" t="s">
        <v>104</v>
      </c>
      <c r="C185" s="8" t="s">
        <v>24</v>
      </c>
      <c r="D185" s="8" t="s">
        <v>214</v>
      </c>
      <c r="E185" s="9">
        <v>20</v>
      </c>
      <c r="F185" s="9">
        <v>23.5</v>
      </c>
      <c r="G185" s="10">
        <v>0</v>
      </c>
      <c r="H185" s="10">
        <v>702.9225925925925</v>
      </c>
      <c r="I185" s="11">
        <f>IFERROR(G185/H185, 0)</f>
      </c>
      <c r="J185" s="10">
        <v>0</v>
      </c>
      <c r="K185" s="10">
        <v>0</v>
      </c>
      <c r="L185" s="10">
        <v>0</v>
      </c>
      <c r="M185" s="12">
        <f>IFERROR(L185/K185, 0)</f>
      </c>
      <c r="N185" s="13">
        <f>IFERROR(J185/K185, 0)</f>
      </c>
      <c r="O185" s="10">
        <v>0</v>
      </c>
      <c r="P185" s="10">
        <v>1675</v>
      </c>
      <c r="Q185" s="10">
        <v>7732.148518518518</v>
      </c>
      <c r="R185" s="11">
        <f>IFERROR(P185/Q185, 0)</f>
      </c>
      <c r="S185" s="10">
        <v>38380</v>
      </c>
      <c r="T185" s="10">
        <v>87643.35851851852</v>
      </c>
      <c r="U185" s="11">
        <f>IFERROR(S185/T185, 0)</f>
      </c>
      <c r="V185" s="10">
        <f>IFERROR(S185/E185, 0)</f>
      </c>
      <c r="W185" s="10">
        <f>IFERROR(T185/F185, 0)</f>
      </c>
      <c r="X185" s="11">
        <f>IFERROR(V185/W185, 0)</f>
      </c>
    </row>
    <row r="186" spans="1:24" x14ac:dyDescent="0.25">
      <c r="A186" s="14" t="s">
        <v>215</v>
      </c>
      <c r="B186" s="14"/>
      <c r="C186" s="14"/>
      <c r="D186" s="14"/>
      <c r="E186" s="15">
        <f>SUM(E76:E185)</f>
      </c>
      <c r="F186" s="15">
        <f>SUM(F76:F185)</f>
      </c>
      <c r="G186" s="16">
        <f>SUM(G76:G185)</f>
      </c>
      <c r="H186" s="16">
        <f>SUM(H76:H185)</f>
      </c>
      <c r="I186" s="17">
        <f>IFERROR(G186/H186, 0)</f>
      </c>
      <c r="J186" s="16">
        <f>SUM(J76:J185)</f>
      </c>
      <c r="K186" s="16">
        <f>SUM(K76:K185)</f>
      </c>
      <c r="L186" s="16">
        <f>SUM(L76:L185)</f>
      </c>
      <c r="M186" s="18">
        <f>IFERROR(L186/K186, 0)</f>
      </c>
      <c r="N186" s="19">
        <f>IFERROR(J186/K186, 0)</f>
      </c>
      <c r="O186" s="16">
        <f>SUM(O76:O185)</f>
      </c>
      <c r="P186" s="16">
        <f>SUM(P76:P185)</f>
      </c>
      <c r="Q186" s="16">
        <f>SUM(Q76:Q185)</f>
      </c>
      <c r="R186" s="17">
        <f>IFERROR(P186/Q186, 0)</f>
      </c>
      <c r="S186" s="16">
        <f>SUM(S76:S185)</f>
      </c>
      <c r="T186" s="16">
        <f>SUM(T76:T185)</f>
      </c>
      <c r="U186" s="17">
        <f>IFERROR(S186/T186, 0)</f>
      </c>
      <c r="V186" s="16">
        <f>IFERROR(S186/E186, 0)</f>
      </c>
      <c r="W186" s="16">
        <f>IFERROR(T186/F186, 0)</f>
      </c>
      <c r="X186" s="17">
        <f>IFERROR(V186/W186, 0)</f>
      </c>
    </row>
    <row r="187" spans="1:24" x14ac:dyDescent="0.25">
      <c r="A187" s="8" t="s">
        <v>103</v>
      </c>
      <c r="B187" s="8" t="s">
        <v>216</v>
      </c>
      <c r="C187" s="8" t="s">
        <v>24</v>
      </c>
      <c r="D187" s="8" t="s">
        <v>217</v>
      </c>
      <c r="E187" s="9">
        <v>0</v>
      </c>
      <c r="F187" s="9">
        <v>0</v>
      </c>
      <c r="G187" s="10">
        <v>0</v>
      </c>
      <c r="H187" s="10">
        <v>0</v>
      </c>
      <c r="I187" s="11">
        <f>IFERROR(G187/H187, 0)</f>
      </c>
      <c r="J187" s="10">
        <v>0</v>
      </c>
      <c r="K187" s="10">
        <v>0</v>
      </c>
      <c r="L187" s="10">
        <v>0</v>
      </c>
      <c r="M187" s="12">
        <f>IFERROR(L187/K187, 0)</f>
      </c>
      <c r="N187" s="13">
        <f>IFERROR(J187/K187, 0)</f>
      </c>
      <c r="O187" s="10">
        <v>0</v>
      </c>
      <c r="P187" s="10">
        <v>0</v>
      </c>
      <c r="Q187" s="10">
        <v>0</v>
      </c>
      <c r="R187" s="11">
        <f>IFERROR(P187/Q187, 0)</f>
      </c>
      <c r="S187" s="10">
        <v>0</v>
      </c>
      <c r="T187" s="10">
        <v>0</v>
      </c>
      <c r="U187" s="11">
        <f>IFERROR(S187/T187, 0)</f>
      </c>
      <c r="V187" s="10">
        <f>IFERROR(S187/E187, 0)</f>
      </c>
      <c r="W187" s="10">
        <f>IFERROR(T187/F187, 0)</f>
      </c>
      <c r="X187" s="11">
        <f>IFERROR(V187/W187, 0)</f>
      </c>
    </row>
    <row r="188" spans="1:24" x14ac:dyDescent="0.25">
      <c r="A188" s="8" t="s">
        <v>103</v>
      </c>
      <c r="B188" s="8" t="s">
        <v>216</v>
      </c>
      <c r="C188" s="8" t="s">
        <v>24</v>
      </c>
      <c r="D188" s="8" t="s">
        <v>218</v>
      </c>
      <c r="E188" s="9">
        <v>0</v>
      </c>
      <c r="F188" s="9">
        <v>5950.2</v>
      </c>
      <c r="G188" s="10">
        <v>0</v>
      </c>
      <c r="H188" s="10">
        <v>177955.08777777778</v>
      </c>
      <c r="I188" s="11">
        <f>IFERROR(G188/H188, 0)</f>
      </c>
      <c r="J188" s="10">
        <v>0</v>
      </c>
      <c r="K188" s="10">
        <v>0</v>
      </c>
      <c r="L188" s="10">
        <v>0</v>
      </c>
      <c r="M188" s="12">
        <f>IFERROR(L188/K188, 0)</f>
      </c>
      <c r="N188" s="13">
        <f>IFERROR(J188/K188, 0)</f>
      </c>
      <c r="O188" s="10">
        <v>0</v>
      </c>
      <c r="P188" s="10">
        <v>0</v>
      </c>
      <c r="Q188" s="10">
        <v>1957505.9655555557</v>
      </c>
      <c r="R188" s="11">
        <f>IFERROR(P188/Q188, 0)</f>
      </c>
      <c r="S188" s="10">
        <v>0</v>
      </c>
      <c r="T188" s="10">
        <v>22188189.625555556</v>
      </c>
      <c r="U188" s="11">
        <f>IFERROR(S188/T188, 0)</f>
      </c>
      <c r="V188" s="10">
        <f>IFERROR(S188/E188, 0)</f>
      </c>
      <c r="W188" s="10">
        <f>IFERROR(T188/F188, 0)</f>
      </c>
      <c r="X188" s="11">
        <f>IFERROR(V188/W188, 0)</f>
      </c>
    </row>
    <row r="189" spans="1:24" x14ac:dyDescent="0.25">
      <c r="A189" s="8" t="s">
        <v>103</v>
      </c>
      <c r="B189" s="8" t="s">
        <v>216</v>
      </c>
      <c r="C189" s="8" t="s">
        <v>24</v>
      </c>
      <c r="D189" s="8" t="s">
        <v>219</v>
      </c>
      <c r="E189" s="9">
        <v>27.84</v>
      </c>
      <c r="F189" s="9">
        <v>0</v>
      </c>
      <c r="G189" s="10">
        <v>0</v>
      </c>
      <c r="H189" s="10">
        <v>0</v>
      </c>
      <c r="I189" s="11">
        <f>IFERROR(G189/H189, 0)</f>
      </c>
      <c r="J189" s="10">
        <v>0</v>
      </c>
      <c r="K189" s="10">
        <v>0</v>
      </c>
      <c r="L189" s="10">
        <v>0</v>
      </c>
      <c r="M189" s="12">
        <f>IFERROR(L189/K189, 0)</f>
      </c>
      <c r="N189" s="13">
        <f>IFERROR(J189/K189, 0)</f>
      </c>
      <c r="O189" s="10">
        <v>0</v>
      </c>
      <c r="P189" s="10">
        <v>0</v>
      </c>
      <c r="Q189" s="10">
        <v>0</v>
      </c>
      <c r="R189" s="11">
        <f>IFERROR(P189/Q189, 0)</f>
      </c>
      <c r="S189" s="10">
        <v>35410</v>
      </c>
      <c r="T189" s="10">
        <v>0</v>
      </c>
      <c r="U189" s="11">
        <f>IFERROR(S189/T189, 0)</f>
      </c>
      <c r="V189" s="10">
        <f>IFERROR(S189/E189, 0)</f>
      </c>
      <c r="W189" s="10">
        <f>IFERROR(T189/F189, 0)</f>
      </c>
      <c r="X189" s="11">
        <f>IFERROR(V189/W189, 0)</f>
      </c>
    </row>
    <row r="190" spans="1:24" x14ac:dyDescent="0.25">
      <c r="A190" s="8" t="s">
        <v>103</v>
      </c>
      <c r="B190" s="8" t="s">
        <v>216</v>
      </c>
      <c r="C190" s="8" t="s">
        <v>24</v>
      </c>
      <c r="D190" s="8" t="s">
        <v>220</v>
      </c>
      <c r="E190" s="9">
        <v>67.01</v>
      </c>
      <c r="F190" s="9">
        <v>50.82</v>
      </c>
      <c r="G190" s="10">
        <v>5070</v>
      </c>
      <c r="H190" s="10">
        <v>1519.9588888888889</v>
      </c>
      <c r="I190" s="11">
        <f>IFERROR(G190/H190, 0)</f>
      </c>
      <c r="J190" s="10">
        <v>19.51</v>
      </c>
      <c r="K190" s="10">
        <v>4</v>
      </c>
      <c r="L190" s="10">
        <v>5070</v>
      </c>
      <c r="M190" s="12">
        <f>IFERROR(L190/K190, 0)</f>
      </c>
      <c r="N190" s="13">
        <f>IFERROR(J190/K190, 0)</f>
      </c>
      <c r="O190" s="10">
        <v>0</v>
      </c>
      <c r="P190" s="10">
        <v>44599</v>
      </c>
      <c r="Q190" s="10">
        <v>16719.547777777778</v>
      </c>
      <c r="R190" s="11">
        <f>IFERROR(P190/Q190, 0)</f>
      </c>
      <c r="S190" s="10">
        <v>485449</v>
      </c>
      <c r="T190" s="10">
        <v>189514.86777777778</v>
      </c>
      <c r="U190" s="11">
        <f>IFERROR(S190/T190, 0)</f>
      </c>
      <c r="V190" s="10">
        <f>IFERROR(S190/E190, 0)</f>
      </c>
      <c r="W190" s="10">
        <f>IFERROR(T190/F190, 0)</f>
      </c>
      <c r="X190" s="11">
        <f>IFERROR(V190/W190, 0)</f>
      </c>
    </row>
    <row r="191" spans="1:24" x14ac:dyDescent="0.25">
      <c r="A191" s="8" t="s">
        <v>103</v>
      </c>
      <c r="B191" s="8" t="s">
        <v>216</v>
      </c>
      <c r="C191" s="8" t="s">
        <v>24</v>
      </c>
      <c r="D191" s="8" t="s">
        <v>221</v>
      </c>
      <c r="E191" s="9">
        <v>50.14</v>
      </c>
      <c r="F191" s="9">
        <v>0</v>
      </c>
      <c r="G191" s="10">
        <v>0</v>
      </c>
      <c r="H191" s="10">
        <v>0</v>
      </c>
      <c r="I191" s="11">
        <f>IFERROR(G191/H191, 0)</f>
      </c>
      <c r="J191" s="10">
        <v>0</v>
      </c>
      <c r="K191" s="10">
        <v>0</v>
      </c>
      <c r="L191" s="10">
        <v>0</v>
      </c>
      <c r="M191" s="12">
        <f>IFERROR(L191/K191, 0)</f>
      </c>
      <c r="N191" s="13">
        <f>IFERROR(J191/K191, 0)</f>
      </c>
      <c r="O191" s="10">
        <v>0</v>
      </c>
      <c r="P191" s="10">
        <v>53820</v>
      </c>
      <c r="Q191" s="10">
        <v>0</v>
      </c>
      <c r="R191" s="11">
        <f>IFERROR(P191/Q191, 0)</f>
      </c>
      <c r="S191" s="10">
        <v>447050</v>
      </c>
      <c r="T191" s="10">
        <v>0</v>
      </c>
      <c r="U191" s="11">
        <f>IFERROR(S191/T191, 0)</f>
      </c>
      <c r="V191" s="10">
        <f>IFERROR(S191/E191, 0)</f>
      </c>
      <c r="W191" s="10">
        <f>IFERROR(T191/F191, 0)</f>
      </c>
      <c r="X191" s="11">
        <f>IFERROR(V191/W191, 0)</f>
      </c>
    </row>
    <row r="192" spans="1:24" x14ac:dyDescent="0.25">
      <c r="A192" s="8" t="s">
        <v>103</v>
      </c>
      <c r="B192" s="8" t="s">
        <v>216</v>
      </c>
      <c r="C192" s="8" t="s">
        <v>24</v>
      </c>
      <c r="D192" s="8" t="s">
        <v>222</v>
      </c>
      <c r="E192" s="9">
        <v>143.22</v>
      </c>
      <c r="F192" s="9">
        <v>0</v>
      </c>
      <c r="G192" s="10">
        <v>7105</v>
      </c>
      <c r="H192" s="10">
        <v>0</v>
      </c>
      <c r="I192" s="11">
        <f>IFERROR(G192/H192, 0)</f>
      </c>
      <c r="J192" s="10">
        <v>32.1</v>
      </c>
      <c r="K192" s="10">
        <v>10</v>
      </c>
      <c r="L192" s="10">
        <v>7105</v>
      </c>
      <c r="M192" s="12">
        <f>IFERROR(L192/K192, 0)</f>
      </c>
      <c r="N192" s="13">
        <f>IFERROR(J192/K192, 0)</f>
      </c>
      <c r="O192" s="10">
        <v>0</v>
      </c>
      <c r="P192" s="10">
        <v>76558</v>
      </c>
      <c r="Q192" s="10">
        <v>0</v>
      </c>
      <c r="R192" s="11">
        <f>IFERROR(P192/Q192, 0)</f>
      </c>
      <c r="S192" s="10">
        <v>477952</v>
      </c>
      <c r="T192" s="10">
        <v>0</v>
      </c>
      <c r="U192" s="11">
        <f>IFERROR(S192/T192, 0)</f>
      </c>
      <c r="V192" s="10">
        <f>IFERROR(S192/E192, 0)</f>
      </c>
      <c r="W192" s="10">
        <f>IFERROR(T192/F192, 0)</f>
      </c>
      <c r="X192" s="11">
        <f>IFERROR(V192/W192, 0)</f>
      </c>
    </row>
    <row r="193" spans="1:24" x14ac:dyDescent="0.25">
      <c r="A193" s="8" t="s">
        <v>103</v>
      </c>
      <c r="B193" s="8" t="s">
        <v>216</v>
      </c>
      <c r="C193" s="8" t="s">
        <v>24</v>
      </c>
      <c r="D193" s="8" t="s">
        <v>223</v>
      </c>
      <c r="E193" s="9">
        <v>66.6</v>
      </c>
      <c r="F193" s="9">
        <v>0</v>
      </c>
      <c r="G193" s="10">
        <v>3197</v>
      </c>
      <c r="H193" s="10">
        <v>0</v>
      </c>
      <c r="I193" s="11">
        <f>IFERROR(G193/H193, 0)</f>
      </c>
      <c r="J193" s="10">
        <v>15.55</v>
      </c>
      <c r="K193" s="10">
        <v>3</v>
      </c>
      <c r="L193" s="10">
        <v>3197</v>
      </c>
      <c r="M193" s="12">
        <f>IFERROR(L193/K193, 0)</f>
      </c>
      <c r="N193" s="13">
        <f>IFERROR(J193/K193, 0)</f>
      </c>
      <c r="O193" s="10">
        <v>0</v>
      </c>
      <c r="P193" s="10">
        <v>27380</v>
      </c>
      <c r="Q193" s="10">
        <v>0</v>
      </c>
      <c r="R193" s="11">
        <f>IFERROR(P193/Q193, 0)</f>
      </c>
      <c r="S193" s="10">
        <v>136333</v>
      </c>
      <c r="T193" s="10">
        <v>0</v>
      </c>
      <c r="U193" s="11">
        <f>IFERROR(S193/T193, 0)</f>
      </c>
      <c r="V193" s="10">
        <f>IFERROR(S193/E193, 0)</f>
      </c>
      <c r="W193" s="10">
        <f>IFERROR(T193/F193, 0)</f>
      </c>
      <c r="X193" s="11">
        <f>IFERROR(V193/W193, 0)</f>
      </c>
    </row>
    <row r="194" spans="1:24" x14ac:dyDescent="0.25">
      <c r="A194" s="8" t="s">
        <v>103</v>
      </c>
      <c r="B194" s="8" t="s">
        <v>216</v>
      </c>
      <c r="C194" s="8" t="s">
        <v>24</v>
      </c>
      <c r="D194" s="8" t="s">
        <v>224</v>
      </c>
      <c r="E194" s="9">
        <v>162.09</v>
      </c>
      <c r="F194" s="9">
        <v>0</v>
      </c>
      <c r="G194" s="10">
        <v>0</v>
      </c>
      <c r="H194" s="10">
        <v>0</v>
      </c>
      <c r="I194" s="11">
        <f>IFERROR(G194/H194, 0)</f>
      </c>
      <c r="J194" s="10">
        <v>0</v>
      </c>
      <c r="K194" s="10">
        <v>0</v>
      </c>
      <c r="L194" s="10">
        <v>0</v>
      </c>
      <c r="M194" s="12">
        <f>IFERROR(L194/K194, 0)</f>
      </c>
      <c r="N194" s="13">
        <f>IFERROR(J194/K194, 0)</f>
      </c>
      <c r="O194" s="10">
        <v>6000</v>
      </c>
      <c r="P194" s="10">
        <v>50458</v>
      </c>
      <c r="Q194" s="10">
        <v>0</v>
      </c>
      <c r="R194" s="11">
        <f>IFERROR(P194/Q194, 0)</f>
      </c>
      <c r="S194" s="10">
        <v>429056</v>
      </c>
      <c r="T194" s="10">
        <v>0</v>
      </c>
      <c r="U194" s="11">
        <f>IFERROR(S194/T194, 0)</f>
      </c>
      <c r="V194" s="10">
        <f>IFERROR(S194/E194, 0)</f>
      </c>
      <c r="W194" s="10">
        <f>IFERROR(T194/F194, 0)</f>
      </c>
      <c r="X194" s="11">
        <f>IFERROR(V194/W194, 0)</f>
      </c>
    </row>
    <row r="195" spans="1:24" x14ac:dyDescent="0.25">
      <c r="A195" s="8" t="s">
        <v>103</v>
      </c>
      <c r="B195" s="8" t="s">
        <v>216</v>
      </c>
      <c r="C195" s="8" t="s">
        <v>24</v>
      </c>
      <c r="D195" s="8" t="s">
        <v>225</v>
      </c>
      <c r="E195" s="9">
        <v>54</v>
      </c>
      <c r="F195" s="9">
        <v>0</v>
      </c>
      <c r="G195" s="10">
        <v>0</v>
      </c>
      <c r="H195" s="10">
        <v>0</v>
      </c>
      <c r="I195" s="11">
        <f>IFERROR(G195/H195, 0)</f>
      </c>
      <c r="J195" s="10">
        <v>0</v>
      </c>
      <c r="K195" s="10">
        <v>0</v>
      </c>
      <c r="L195" s="10">
        <v>0</v>
      </c>
      <c r="M195" s="12">
        <f>IFERROR(L195/K195, 0)</f>
      </c>
      <c r="N195" s="13">
        <f>IFERROR(J195/K195, 0)</f>
      </c>
      <c r="O195" s="10">
        <v>0</v>
      </c>
      <c r="P195" s="10">
        <v>0</v>
      </c>
      <c r="Q195" s="10">
        <v>0</v>
      </c>
      <c r="R195" s="11">
        <f>IFERROR(P195/Q195, 0)</f>
      </c>
      <c r="S195" s="10">
        <v>11540</v>
      </c>
      <c r="T195" s="10">
        <v>0</v>
      </c>
      <c r="U195" s="11">
        <f>IFERROR(S195/T195, 0)</f>
      </c>
      <c r="V195" s="10">
        <f>IFERROR(S195/E195, 0)</f>
      </c>
      <c r="W195" s="10">
        <f>IFERROR(T195/F195, 0)</f>
      </c>
      <c r="X195" s="11">
        <f>IFERROR(V195/W195, 0)</f>
      </c>
    </row>
    <row r="196" spans="1:24" x14ac:dyDescent="0.25">
      <c r="A196" s="8" t="s">
        <v>103</v>
      </c>
      <c r="B196" s="8" t="s">
        <v>216</v>
      </c>
      <c r="C196" s="8" t="s">
        <v>24</v>
      </c>
      <c r="D196" s="8" t="s">
        <v>226</v>
      </c>
      <c r="E196" s="9">
        <v>0</v>
      </c>
      <c r="F196" s="9">
        <v>0</v>
      </c>
      <c r="G196" s="10">
        <v>0</v>
      </c>
      <c r="H196" s="10">
        <v>0</v>
      </c>
      <c r="I196" s="11">
        <f>IFERROR(G196/H196, 0)</f>
      </c>
      <c r="J196" s="10">
        <v>0</v>
      </c>
      <c r="K196" s="10">
        <v>0</v>
      </c>
      <c r="L196" s="10">
        <v>0</v>
      </c>
      <c r="M196" s="12">
        <f>IFERROR(L196/K196, 0)</f>
      </c>
      <c r="N196" s="13">
        <f>IFERROR(J196/K196, 0)</f>
      </c>
      <c r="O196" s="10">
        <v>0</v>
      </c>
      <c r="P196" s="10">
        <v>0</v>
      </c>
      <c r="Q196" s="10">
        <v>0</v>
      </c>
      <c r="R196" s="11">
        <f>IFERROR(P196/Q196, 0)</f>
      </c>
      <c r="S196" s="10">
        <v>0</v>
      </c>
      <c r="T196" s="10">
        <v>0</v>
      </c>
      <c r="U196" s="11">
        <f>IFERROR(S196/T196, 0)</f>
      </c>
      <c r="V196" s="10">
        <f>IFERROR(S196/E196, 0)</f>
      </c>
      <c r="W196" s="10">
        <f>IFERROR(T196/F196, 0)</f>
      </c>
      <c r="X196" s="11">
        <f>IFERROR(V196/W196, 0)</f>
      </c>
    </row>
    <row r="197" spans="1:24" x14ac:dyDescent="0.25">
      <c r="A197" s="8" t="s">
        <v>103</v>
      </c>
      <c r="B197" s="8" t="s">
        <v>216</v>
      </c>
      <c r="C197" s="8" t="s">
        <v>24</v>
      </c>
      <c r="D197" s="8" t="s">
        <v>227</v>
      </c>
      <c r="E197" s="9">
        <v>398.99</v>
      </c>
      <c r="F197" s="9">
        <v>476.02</v>
      </c>
      <c r="G197" s="10">
        <v>7895</v>
      </c>
      <c r="H197" s="10">
        <v>14236.407037037037</v>
      </c>
      <c r="I197" s="11">
        <f>IFERROR(G197/H197, 0)</f>
      </c>
      <c r="J197" s="10">
        <v>57.13</v>
      </c>
      <c r="K197" s="10">
        <v>8</v>
      </c>
      <c r="L197" s="10">
        <v>3185</v>
      </c>
      <c r="M197" s="12">
        <f>IFERROR(L197/K197, 0)</f>
      </c>
      <c r="N197" s="13">
        <f>IFERROR(J197/K197, 0)</f>
      </c>
      <c r="O197" s="10">
        <v>0</v>
      </c>
      <c r="P197" s="10">
        <v>37245</v>
      </c>
      <c r="Q197" s="10">
        <v>156600.4774074074</v>
      </c>
      <c r="R197" s="11">
        <f>IFERROR(P197/Q197, 0)</f>
      </c>
      <c r="S197" s="10">
        <v>605062</v>
      </c>
      <c r="T197" s="10">
        <v>1775055.1674074074</v>
      </c>
      <c r="U197" s="11">
        <f>IFERROR(S197/T197, 0)</f>
      </c>
      <c r="V197" s="10">
        <f>IFERROR(S197/E197, 0)</f>
      </c>
      <c r="W197" s="10">
        <f>IFERROR(T197/F197, 0)</f>
      </c>
      <c r="X197" s="11">
        <f>IFERROR(V197/W197, 0)</f>
      </c>
    </row>
    <row r="198" spans="1:24" x14ac:dyDescent="0.25">
      <c r="A198" s="8" t="s">
        <v>103</v>
      </c>
      <c r="B198" s="8" t="s">
        <v>216</v>
      </c>
      <c r="C198" s="8" t="s">
        <v>24</v>
      </c>
      <c r="D198" s="8" t="s">
        <v>228</v>
      </c>
      <c r="E198" s="9">
        <v>0</v>
      </c>
      <c r="F198" s="9">
        <v>0</v>
      </c>
      <c r="G198" s="10">
        <v>0</v>
      </c>
      <c r="H198" s="10">
        <v>0</v>
      </c>
      <c r="I198" s="11">
        <f>IFERROR(G198/H198, 0)</f>
      </c>
      <c r="J198" s="10">
        <v>0</v>
      </c>
      <c r="K198" s="10">
        <v>0</v>
      </c>
      <c r="L198" s="10">
        <v>0</v>
      </c>
      <c r="M198" s="12">
        <f>IFERROR(L198/K198, 0)</f>
      </c>
      <c r="N198" s="13">
        <f>IFERROR(J198/K198, 0)</f>
      </c>
      <c r="O198" s="10">
        <v>0</v>
      </c>
      <c r="P198" s="10">
        <v>0</v>
      </c>
      <c r="Q198" s="10">
        <v>0</v>
      </c>
      <c r="R198" s="11">
        <f>IFERROR(P198/Q198, 0)</f>
      </c>
      <c r="S198" s="10">
        <v>0</v>
      </c>
      <c r="T198" s="10">
        <v>0</v>
      </c>
      <c r="U198" s="11">
        <f>IFERROR(S198/T198, 0)</f>
      </c>
      <c r="V198" s="10">
        <f>IFERROR(S198/E198, 0)</f>
      </c>
      <c r="W198" s="10">
        <f>IFERROR(T198/F198, 0)</f>
      </c>
      <c r="X198" s="11">
        <f>IFERROR(V198/W198, 0)</f>
      </c>
    </row>
    <row r="199" spans="1:24" x14ac:dyDescent="0.25">
      <c r="A199" s="8" t="s">
        <v>103</v>
      </c>
      <c r="B199" s="8" t="s">
        <v>216</v>
      </c>
      <c r="C199" s="8" t="s">
        <v>24</v>
      </c>
      <c r="D199" s="8" t="s">
        <v>229</v>
      </c>
      <c r="E199" s="9">
        <v>33.39</v>
      </c>
      <c r="F199" s="9">
        <v>0</v>
      </c>
      <c r="G199" s="10">
        <v>0</v>
      </c>
      <c r="H199" s="10">
        <v>0</v>
      </c>
      <c r="I199" s="11">
        <f>IFERROR(G199/H199, 0)</f>
      </c>
      <c r="J199" s="10">
        <v>0</v>
      </c>
      <c r="K199" s="10">
        <v>0</v>
      </c>
      <c r="L199" s="10">
        <v>0</v>
      </c>
      <c r="M199" s="12">
        <f>IFERROR(L199/K199, 0)</f>
      </c>
      <c r="N199" s="13">
        <f>IFERROR(J199/K199, 0)</f>
      </c>
      <c r="O199" s="10">
        <v>0</v>
      </c>
      <c r="P199" s="10">
        <v>6020</v>
      </c>
      <c r="Q199" s="10">
        <v>0</v>
      </c>
      <c r="R199" s="11">
        <f>IFERROR(P199/Q199, 0)</f>
      </c>
      <c r="S199" s="10">
        <v>30360</v>
      </c>
      <c r="T199" s="10">
        <v>0</v>
      </c>
      <c r="U199" s="11">
        <f>IFERROR(S199/T199, 0)</f>
      </c>
      <c r="V199" s="10">
        <f>IFERROR(S199/E199, 0)</f>
      </c>
      <c r="W199" s="10">
        <f>IFERROR(T199/F199, 0)</f>
      </c>
      <c r="X199" s="11">
        <f>IFERROR(V199/W199, 0)</f>
      </c>
    </row>
    <row r="200" spans="1:24" x14ac:dyDescent="0.25">
      <c r="A200" s="8" t="s">
        <v>103</v>
      </c>
      <c r="B200" s="8" t="s">
        <v>216</v>
      </c>
      <c r="C200" s="8" t="s">
        <v>24</v>
      </c>
      <c r="D200" s="8" t="s">
        <v>230</v>
      </c>
      <c r="E200" s="9">
        <v>0</v>
      </c>
      <c r="F200" s="9">
        <v>0</v>
      </c>
      <c r="G200" s="10">
        <v>0</v>
      </c>
      <c r="H200" s="10">
        <v>0</v>
      </c>
      <c r="I200" s="11">
        <f>IFERROR(G200/H200, 0)</f>
      </c>
      <c r="J200" s="10">
        <v>0</v>
      </c>
      <c r="K200" s="10">
        <v>0</v>
      </c>
      <c r="L200" s="10">
        <v>0</v>
      </c>
      <c r="M200" s="12">
        <f>IFERROR(L200/K200, 0)</f>
      </c>
      <c r="N200" s="13">
        <f>IFERROR(J200/K200, 0)</f>
      </c>
      <c r="O200" s="10">
        <v>0</v>
      </c>
      <c r="P200" s="10">
        <v>0</v>
      </c>
      <c r="Q200" s="10">
        <v>0</v>
      </c>
      <c r="R200" s="11">
        <f>IFERROR(P200/Q200, 0)</f>
      </c>
      <c r="S200" s="10">
        <v>0</v>
      </c>
      <c r="T200" s="10">
        <v>0</v>
      </c>
      <c r="U200" s="11">
        <f>IFERROR(S200/T200, 0)</f>
      </c>
      <c r="V200" s="10">
        <f>IFERROR(S200/E200, 0)</f>
      </c>
      <c r="W200" s="10">
        <f>IFERROR(T200/F200, 0)</f>
      </c>
      <c r="X200" s="11">
        <f>IFERROR(V200/W200, 0)</f>
      </c>
    </row>
    <row r="201" spans="1:24" x14ac:dyDescent="0.25">
      <c r="A201" s="8" t="s">
        <v>103</v>
      </c>
      <c r="B201" s="8" t="s">
        <v>216</v>
      </c>
      <c r="C201" s="8" t="s">
        <v>24</v>
      </c>
      <c r="D201" s="8" t="s">
        <v>231</v>
      </c>
      <c r="E201" s="9">
        <v>0</v>
      </c>
      <c r="F201" s="9">
        <v>0</v>
      </c>
      <c r="G201" s="10">
        <v>0</v>
      </c>
      <c r="H201" s="10">
        <v>0</v>
      </c>
      <c r="I201" s="11">
        <f>IFERROR(G201/H201, 0)</f>
      </c>
      <c r="J201" s="10">
        <v>0</v>
      </c>
      <c r="K201" s="10">
        <v>0</v>
      </c>
      <c r="L201" s="10">
        <v>0</v>
      </c>
      <c r="M201" s="12">
        <f>IFERROR(L201/K201, 0)</f>
      </c>
      <c r="N201" s="13">
        <f>IFERROR(J201/K201, 0)</f>
      </c>
      <c r="O201" s="10">
        <v>0</v>
      </c>
      <c r="P201" s="10">
        <v>0</v>
      </c>
      <c r="Q201" s="10">
        <v>0</v>
      </c>
      <c r="R201" s="11">
        <f>IFERROR(P201/Q201, 0)</f>
      </c>
      <c r="S201" s="10">
        <v>0</v>
      </c>
      <c r="T201" s="10">
        <v>0</v>
      </c>
      <c r="U201" s="11">
        <f>IFERROR(S201/T201, 0)</f>
      </c>
      <c r="V201" s="10">
        <f>IFERROR(S201/E201, 0)</f>
      </c>
      <c r="W201" s="10">
        <f>IFERROR(T201/F201, 0)</f>
      </c>
      <c r="X201" s="11">
        <f>IFERROR(V201/W201, 0)</f>
      </c>
    </row>
    <row r="202" spans="1:24" x14ac:dyDescent="0.25">
      <c r="A202" s="8" t="s">
        <v>103</v>
      </c>
      <c r="B202" s="8" t="s">
        <v>216</v>
      </c>
      <c r="C202" s="8" t="s">
        <v>24</v>
      </c>
      <c r="D202" s="8" t="s">
        <v>232</v>
      </c>
      <c r="E202" s="9">
        <v>1901.32</v>
      </c>
      <c r="F202" s="9">
        <v>1840.48</v>
      </c>
      <c r="G202" s="10">
        <v>16609</v>
      </c>
      <c r="H202" s="10">
        <v>55043.955555555556</v>
      </c>
      <c r="I202" s="11">
        <f>IFERROR(G202/H202, 0)</f>
      </c>
      <c r="J202" s="10">
        <v>86.83</v>
      </c>
      <c r="K202" s="10">
        <v>20</v>
      </c>
      <c r="L202" s="10">
        <v>16609</v>
      </c>
      <c r="M202" s="12">
        <f>IFERROR(L202/K202, 0)</f>
      </c>
      <c r="N202" s="13">
        <f>IFERROR(J202/K202, 0)</f>
      </c>
      <c r="O202" s="10">
        <v>0</v>
      </c>
      <c r="P202" s="10">
        <v>113205</v>
      </c>
      <c r="Q202" s="10">
        <v>605483.5111111111</v>
      </c>
      <c r="R202" s="11">
        <f>IFERROR(P202/Q202, 0)</f>
      </c>
      <c r="S202" s="10">
        <v>1149078</v>
      </c>
      <c r="T202" s="10">
        <v>6863112.1311111115</v>
      </c>
      <c r="U202" s="11">
        <f>IFERROR(S202/T202, 0)</f>
      </c>
      <c r="V202" s="10">
        <f>IFERROR(S202/E202, 0)</f>
      </c>
      <c r="W202" s="10">
        <f>IFERROR(T202/F202, 0)</f>
      </c>
      <c r="X202" s="11">
        <f>IFERROR(V202/W202, 0)</f>
      </c>
    </row>
    <row r="203" spans="1:24" x14ac:dyDescent="0.25">
      <c r="A203" s="8" t="s">
        <v>103</v>
      </c>
      <c r="B203" s="8" t="s">
        <v>216</v>
      </c>
      <c r="C203" s="8" t="s">
        <v>24</v>
      </c>
      <c r="D203" s="8" t="s">
        <v>233</v>
      </c>
      <c r="E203" s="9">
        <v>328.49</v>
      </c>
      <c r="F203" s="9">
        <v>0</v>
      </c>
      <c r="G203" s="10">
        <v>7904</v>
      </c>
      <c r="H203" s="10">
        <v>0</v>
      </c>
      <c r="I203" s="11">
        <f>IFERROR(G203/H203, 0)</f>
      </c>
      <c r="J203" s="10">
        <v>24.4</v>
      </c>
      <c r="K203" s="10">
        <v>13</v>
      </c>
      <c r="L203" s="10">
        <v>7904</v>
      </c>
      <c r="M203" s="12">
        <f>IFERROR(L203/K203, 0)</f>
      </c>
      <c r="N203" s="13">
        <f>IFERROR(J203/K203, 0)</f>
      </c>
      <c r="O203" s="10">
        <v>0</v>
      </c>
      <c r="P203" s="10">
        <v>44772</v>
      </c>
      <c r="Q203" s="10">
        <v>0</v>
      </c>
      <c r="R203" s="11">
        <f>IFERROR(P203/Q203, 0)</f>
      </c>
      <c r="S203" s="10">
        <v>863049</v>
      </c>
      <c r="T203" s="10">
        <v>0</v>
      </c>
      <c r="U203" s="11">
        <f>IFERROR(S203/T203, 0)</f>
      </c>
      <c r="V203" s="10">
        <f>IFERROR(S203/E203, 0)</f>
      </c>
      <c r="W203" s="10">
        <f>IFERROR(T203/F203, 0)</f>
      </c>
      <c r="X203" s="11">
        <f>IFERROR(V203/W203, 0)</f>
      </c>
    </row>
    <row r="204" spans="1:24" x14ac:dyDescent="0.25">
      <c r="A204" s="8" t="s">
        <v>103</v>
      </c>
      <c r="B204" s="8" t="s">
        <v>216</v>
      </c>
      <c r="C204" s="8" t="s">
        <v>24</v>
      </c>
      <c r="D204" s="8" t="s">
        <v>234</v>
      </c>
      <c r="E204" s="9">
        <v>83</v>
      </c>
      <c r="F204" s="9">
        <v>0</v>
      </c>
      <c r="G204" s="10">
        <v>1791</v>
      </c>
      <c r="H204" s="10">
        <v>0</v>
      </c>
      <c r="I204" s="11">
        <f>IFERROR(G204/H204, 0)</f>
      </c>
      <c r="J204" s="10">
        <v>0</v>
      </c>
      <c r="K204" s="10">
        <v>0</v>
      </c>
      <c r="L204" s="10">
        <v>0</v>
      </c>
      <c r="M204" s="12">
        <f>IFERROR(L204/K204, 0)</f>
      </c>
      <c r="N204" s="13">
        <f>IFERROR(J204/K204, 0)</f>
      </c>
      <c r="O204" s="10">
        <v>0</v>
      </c>
      <c r="P204" s="10">
        <v>32051</v>
      </c>
      <c r="Q204" s="10">
        <v>0</v>
      </c>
      <c r="R204" s="11">
        <f>IFERROR(P204/Q204, 0)</f>
      </c>
      <c r="S204" s="10">
        <v>128870</v>
      </c>
      <c r="T204" s="10">
        <v>0</v>
      </c>
      <c r="U204" s="11">
        <f>IFERROR(S204/T204, 0)</f>
      </c>
      <c r="V204" s="10">
        <f>IFERROR(S204/E204, 0)</f>
      </c>
      <c r="W204" s="10">
        <f>IFERROR(T204/F204, 0)</f>
      </c>
      <c r="X204" s="11">
        <f>IFERROR(V204/W204, 0)</f>
      </c>
    </row>
    <row r="205" spans="1:24" x14ac:dyDescent="0.25">
      <c r="A205" s="8" t="s">
        <v>103</v>
      </c>
      <c r="B205" s="8" t="s">
        <v>216</v>
      </c>
      <c r="C205" s="8" t="s">
        <v>24</v>
      </c>
      <c r="D205" s="8" t="s">
        <v>235</v>
      </c>
      <c r="E205" s="9">
        <v>44.5</v>
      </c>
      <c r="F205" s="9">
        <v>0</v>
      </c>
      <c r="G205" s="10">
        <v>0</v>
      </c>
      <c r="H205" s="10">
        <v>0</v>
      </c>
      <c r="I205" s="11">
        <f>IFERROR(G205/H205, 0)</f>
      </c>
      <c r="J205" s="10">
        <v>0</v>
      </c>
      <c r="K205" s="10">
        <v>0</v>
      </c>
      <c r="L205" s="10">
        <v>0</v>
      </c>
      <c r="M205" s="12">
        <f>IFERROR(L205/K205, 0)</f>
      </c>
      <c r="N205" s="13">
        <f>IFERROR(J205/K205, 0)</f>
      </c>
      <c r="O205" s="10">
        <v>0</v>
      </c>
      <c r="P205" s="10">
        <v>2977</v>
      </c>
      <c r="Q205" s="10">
        <v>0</v>
      </c>
      <c r="R205" s="11">
        <f>IFERROR(P205/Q205, 0)</f>
      </c>
      <c r="S205" s="10">
        <v>84916</v>
      </c>
      <c r="T205" s="10">
        <v>0</v>
      </c>
      <c r="U205" s="11">
        <f>IFERROR(S205/T205, 0)</f>
      </c>
      <c r="V205" s="10">
        <f>IFERROR(S205/E205, 0)</f>
      </c>
      <c r="W205" s="10">
        <f>IFERROR(T205/F205, 0)</f>
      </c>
      <c r="X205" s="11">
        <f>IFERROR(V205/W205, 0)</f>
      </c>
    </row>
    <row r="206" spans="1:24" x14ac:dyDescent="0.25">
      <c r="A206" s="8" t="s">
        <v>103</v>
      </c>
      <c r="B206" s="8" t="s">
        <v>216</v>
      </c>
      <c r="C206" s="8" t="s">
        <v>24</v>
      </c>
      <c r="D206" s="8" t="s">
        <v>236</v>
      </c>
      <c r="E206" s="9">
        <v>0</v>
      </c>
      <c r="F206" s="9">
        <v>0</v>
      </c>
      <c r="G206" s="10">
        <v>0</v>
      </c>
      <c r="H206" s="10">
        <v>0</v>
      </c>
      <c r="I206" s="11">
        <f>IFERROR(G206/H206, 0)</f>
      </c>
      <c r="J206" s="10">
        <v>0</v>
      </c>
      <c r="K206" s="10">
        <v>0</v>
      </c>
      <c r="L206" s="10">
        <v>0</v>
      </c>
      <c r="M206" s="12">
        <f>IFERROR(L206/K206, 0)</f>
      </c>
      <c r="N206" s="13">
        <f>IFERROR(J206/K206, 0)</f>
      </c>
      <c r="O206" s="10">
        <v>0</v>
      </c>
      <c r="P206" s="10">
        <v>0</v>
      </c>
      <c r="Q206" s="10">
        <v>0</v>
      </c>
      <c r="R206" s="11">
        <f>IFERROR(P206/Q206, 0)</f>
      </c>
      <c r="S206" s="10">
        <v>0</v>
      </c>
      <c r="T206" s="10">
        <v>0</v>
      </c>
      <c r="U206" s="11">
        <f>IFERROR(S206/T206, 0)</f>
      </c>
      <c r="V206" s="10">
        <f>IFERROR(S206/E206, 0)</f>
      </c>
      <c r="W206" s="10">
        <f>IFERROR(T206/F206, 0)</f>
      </c>
      <c r="X206" s="11">
        <f>IFERROR(V206/W206, 0)</f>
      </c>
    </row>
    <row r="207" spans="1:24" x14ac:dyDescent="0.25">
      <c r="A207" s="8" t="s">
        <v>103</v>
      </c>
      <c r="B207" s="8" t="s">
        <v>216</v>
      </c>
      <c r="C207" s="8" t="s">
        <v>24</v>
      </c>
      <c r="D207" s="8" t="s">
        <v>237</v>
      </c>
      <c r="E207" s="9">
        <v>0</v>
      </c>
      <c r="F207" s="9">
        <v>0</v>
      </c>
      <c r="G207" s="10">
        <v>0</v>
      </c>
      <c r="H207" s="10">
        <v>0</v>
      </c>
      <c r="I207" s="11">
        <f>IFERROR(G207/H207, 0)</f>
      </c>
      <c r="J207" s="10">
        <v>0</v>
      </c>
      <c r="K207" s="10">
        <v>0</v>
      </c>
      <c r="L207" s="10">
        <v>0</v>
      </c>
      <c r="M207" s="12">
        <f>IFERROR(L207/K207, 0)</f>
      </c>
      <c r="N207" s="13">
        <f>IFERROR(J207/K207, 0)</f>
      </c>
      <c r="O207" s="10">
        <v>0</v>
      </c>
      <c r="P207" s="10">
        <v>0</v>
      </c>
      <c r="Q207" s="10">
        <v>0</v>
      </c>
      <c r="R207" s="11">
        <f>IFERROR(P207/Q207, 0)</f>
      </c>
      <c r="S207" s="10">
        <v>0</v>
      </c>
      <c r="T207" s="10">
        <v>0</v>
      </c>
      <c r="U207" s="11">
        <f>IFERROR(S207/T207, 0)</f>
      </c>
      <c r="V207" s="10">
        <f>IFERROR(S207/E207, 0)</f>
      </c>
      <c r="W207" s="10">
        <f>IFERROR(T207/F207, 0)</f>
      </c>
      <c r="X207" s="11">
        <f>IFERROR(V207/W207, 0)</f>
      </c>
    </row>
    <row r="208" spans="1:24" x14ac:dyDescent="0.25">
      <c r="A208" s="8" t="s">
        <v>103</v>
      </c>
      <c r="B208" s="8" t="s">
        <v>216</v>
      </c>
      <c r="C208" s="8" t="s">
        <v>24</v>
      </c>
      <c r="D208" s="8" t="s">
        <v>238</v>
      </c>
      <c r="E208" s="9">
        <v>89.51</v>
      </c>
      <c r="F208" s="9">
        <v>0</v>
      </c>
      <c r="G208" s="10">
        <v>0</v>
      </c>
      <c r="H208" s="10">
        <v>0</v>
      </c>
      <c r="I208" s="11">
        <f>IFERROR(G208/H208, 0)</f>
      </c>
      <c r="J208" s="10">
        <v>0</v>
      </c>
      <c r="K208" s="10">
        <v>0</v>
      </c>
      <c r="L208" s="10">
        <v>0</v>
      </c>
      <c r="M208" s="12">
        <f>IFERROR(L208/K208, 0)</f>
      </c>
      <c r="N208" s="13">
        <f>IFERROR(J208/K208, 0)</f>
      </c>
      <c r="O208" s="10">
        <v>0</v>
      </c>
      <c r="P208" s="10">
        <v>30930</v>
      </c>
      <c r="Q208" s="10">
        <v>0</v>
      </c>
      <c r="R208" s="11">
        <f>IFERROR(P208/Q208, 0)</f>
      </c>
      <c r="S208" s="10">
        <v>205898</v>
      </c>
      <c r="T208" s="10">
        <v>0</v>
      </c>
      <c r="U208" s="11">
        <f>IFERROR(S208/T208, 0)</f>
      </c>
      <c r="V208" s="10">
        <f>IFERROR(S208/E208, 0)</f>
      </c>
      <c r="W208" s="10">
        <f>IFERROR(T208/F208, 0)</f>
      </c>
      <c r="X208" s="11">
        <f>IFERROR(V208/W208, 0)</f>
      </c>
    </row>
    <row r="209" spans="1:24" x14ac:dyDescent="0.25">
      <c r="A209" s="8" t="s">
        <v>103</v>
      </c>
      <c r="B209" s="8" t="s">
        <v>216</v>
      </c>
      <c r="C209" s="8" t="s">
        <v>24</v>
      </c>
      <c r="D209" s="8" t="s">
        <v>239</v>
      </c>
      <c r="E209" s="9">
        <v>1053.5</v>
      </c>
      <c r="F209" s="9">
        <v>843.49</v>
      </c>
      <c r="G209" s="10">
        <v>0</v>
      </c>
      <c r="H209" s="10">
        <v>25226.46851851852</v>
      </c>
      <c r="I209" s="11">
        <f>IFERROR(G209/H209, 0)</f>
      </c>
      <c r="J209" s="10">
        <v>0</v>
      </c>
      <c r="K209" s="10">
        <v>0</v>
      </c>
      <c r="L209" s="10">
        <v>0</v>
      </c>
      <c r="M209" s="12">
        <f>IFERROR(L209/K209, 0)</f>
      </c>
      <c r="N209" s="13">
        <f>IFERROR(J209/K209, 0)</f>
      </c>
      <c r="O209" s="10">
        <v>0</v>
      </c>
      <c r="P209" s="10">
        <v>33220</v>
      </c>
      <c r="Q209" s="10">
        <v>277491.1537037037</v>
      </c>
      <c r="R209" s="11">
        <f>IFERROR(P209/Q209, 0)</f>
      </c>
      <c r="S209" s="10">
        <v>918010</v>
      </c>
      <c r="T209" s="10">
        <v>3145342.2937037037</v>
      </c>
      <c r="U209" s="11">
        <f>IFERROR(S209/T209, 0)</f>
      </c>
      <c r="V209" s="10">
        <f>IFERROR(S209/E209, 0)</f>
      </c>
      <c r="W209" s="10">
        <f>IFERROR(T209/F209, 0)</f>
      </c>
      <c r="X209" s="11">
        <f>IFERROR(V209/W209, 0)</f>
      </c>
    </row>
    <row r="210" spans="1:24" x14ac:dyDescent="0.25">
      <c r="A210" s="8" t="s">
        <v>103</v>
      </c>
      <c r="B210" s="8" t="s">
        <v>216</v>
      </c>
      <c r="C210" s="8" t="s">
        <v>24</v>
      </c>
      <c r="D210" s="8" t="s">
        <v>240</v>
      </c>
      <c r="E210" s="9">
        <v>32.38</v>
      </c>
      <c r="F210" s="9">
        <v>0</v>
      </c>
      <c r="G210" s="10">
        <v>990</v>
      </c>
      <c r="H210" s="10">
        <v>0</v>
      </c>
      <c r="I210" s="11">
        <f>IFERROR(G210/H210, 0)</f>
      </c>
      <c r="J210" s="10">
        <v>8.36</v>
      </c>
      <c r="K210" s="10">
        <v>2</v>
      </c>
      <c r="L210" s="10">
        <v>990</v>
      </c>
      <c r="M210" s="12">
        <f>IFERROR(L210/K210, 0)</f>
      </c>
      <c r="N210" s="13">
        <f>IFERROR(J210/K210, 0)</f>
      </c>
      <c r="O210" s="10">
        <v>0</v>
      </c>
      <c r="P210" s="10">
        <v>6320</v>
      </c>
      <c r="Q210" s="10">
        <v>0</v>
      </c>
      <c r="R210" s="11">
        <f>IFERROR(P210/Q210, 0)</f>
      </c>
      <c r="S210" s="10">
        <v>106220</v>
      </c>
      <c r="T210" s="10">
        <v>0</v>
      </c>
      <c r="U210" s="11">
        <f>IFERROR(S210/T210, 0)</f>
      </c>
      <c r="V210" s="10">
        <f>IFERROR(S210/E210, 0)</f>
      </c>
      <c r="W210" s="10">
        <f>IFERROR(T210/F210, 0)</f>
      </c>
      <c r="X210" s="11">
        <f>IFERROR(V210/W210, 0)</f>
      </c>
    </row>
    <row r="211" spans="1:24" x14ac:dyDescent="0.25">
      <c r="A211" s="8" t="s">
        <v>103</v>
      </c>
      <c r="B211" s="8" t="s">
        <v>216</v>
      </c>
      <c r="C211" s="8" t="s">
        <v>24</v>
      </c>
      <c r="D211" s="8" t="s">
        <v>241</v>
      </c>
      <c r="E211" s="9">
        <v>304.2</v>
      </c>
      <c r="F211" s="9">
        <v>246.31</v>
      </c>
      <c r="G211" s="10">
        <v>5501</v>
      </c>
      <c r="H211" s="10">
        <v>7366.450740740741</v>
      </c>
      <c r="I211" s="11">
        <f>IFERROR(G211/H211, 0)</f>
      </c>
      <c r="J211" s="10">
        <v>35</v>
      </c>
      <c r="K211" s="10">
        <v>8</v>
      </c>
      <c r="L211" s="10">
        <v>5501</v>
      </c>
      <c r="M211" s="12">
        <f>IFERROR(L211/K211, 0)</f>
      </c>
      <c r="N211" s="13">
        <f>IFERROR(J211/K211, 0)</f>
      </c>
      <c r="O211" s="10">
        <v>0</v>
      </c>
      <c r="P211" s="10">
        <v>52480</v>
      </c>
      <c r="Q211" s="10">
        <v>81030.95814814814</v>
      </c>
      <c r="R211" s="11">
        <f>IFERROR(P211/Q211, 0)</f>
      </c>
      <c r="S211" s="10">
        <v>661831</v>
      </c>
      <c r="T211" s="10">
        <v>918480.1081481482</v>
      </c>
      <c r="U211" s="11">
        <f>IFERROR(S211/T211, 0)</f>
      </c>
      <c r="V211" s="10">
        <f>IFERROR(S211/E211, 0)</f>
      </c>
      <c r="W211" s="10">
        <f>IFERROR(T211/F211, 0)</f>
      </c>
      <c r="X211" s="11">
        <f>IFERROR(V211/W211, 0)</f>
      </c>
    </row>
    <row r="212" spans="1:24" x14ac:dyDescent="0.25">
      <c r="A212" s="8" t="s">
        <v>103</v>
      </c>
      <c r="B212" s="8" t="s">
        <v>216</v>
      </c>
      <c r="C212" s="8" t="s">
        <v>24</v>
      </c>
      <c r="D212" s="8" t="s">
        <v>242</v>
      </c>
      <c r="E212" s="9">
        <v>0</v>
      </c>
      <c r="F212" s="9">
        <v>0</v>
      </c>
      <c r="G212" s="10">
        <v>0</v>
      </c>
      <c r="H212" s="10">
        <v>0</v>
      </c>
      <c r="I212" s="11">
        <f>IFERROR(G212/H212, 0)</f>
      </c>
      <c r="J212" s="10">
        <v>0</v>
      </c>
      <c r="K212" s="10">
        <v>0</v>
      </c>
      <c r="L212" s="10">
        <v>0</v>
      </c>
      <c r="M212" s="12">
        <f>IFERROR(L212/K212, 0)</f>
      </c>
      <c r="N212" s="13">
        <f>IFERROR(J212/K212, 0)</f>
      </c>
      <c r="O212" s="10">
        <v>0</v>
      </c>
      <c r="P212" s="10">
        <v>0</v>
      </c>
      <c r="Q212" s="10">
        <v>0</v>
      </c>
      <c r="R212" s="11">
        <f>IFERROR(P212/Q212, 0)</f>
      </c>
      <c r="S212" s="10">
        <v>0</v>
      </c>
      <c r="T212" s="10">
        <v>0</v>
      </c>
      <c r="U212" s="11">
        <f>IFERROR(S212/T212, 0)</f>
      </c>
      <c r="V212" s="10">
        <f>IFERROR(S212/E212, 0)</f>
      </c>
      <c r="W212" s="10">
        <f>IFERROR(T212/F212, 0)</f>
      </c>
      <c r="X212" s="11">
        <f>IFERROR(V212/W212, 0)</f>
      </c>
    </row>
    <row r="213" spans="1:24" x14ac:dyDescent="0.25">
      <c r="A213" s="8" t="s">
        <v>103</v>
      </c>
      <c r="B213" s="8" t="s">
        <v>216</v>
      </c>
      <c r="C213" s="8" t="s">
        <v>24</v>
      </c>
      <c r="D213" s="8" t="s">
        <v>243</v>
      </c>
      <c r="E213" s="9">
        <v>0</v>
      </c>
      <c r="F213" s="9">
        <v>57.27</v>
      </c>
      <c r="G213" s="10">
        <v>0</v>
      </c>
      <c r="H213" s="10">
        <v>1712.8177777777778</v>
      </c>
      <c r="I213" s="11">
        <f>IFERROR(G213/H213, 0)</f>
      </c>
      <c r="J213" s="10">
        <v>0</v>
      </c>
      <c r="K213" s="10">
        <v>0</v>
      </c>
      <c r="L213" s="10">
        <v>0</v>
      </c>
      <c r="M213" s="12">
        <f>IFERROR(L213/K213, 0)</f>
      </c>
      <c r="N213" s="13">
        <f>IFERROR(J213/K213, 0)</f>
      </c>
      <c r="O213" s="10">
        <v>0</v>
      </c>
      <c r="P213" s="10">
        <v>0</v>
      </c>
      <c r="Q213" s="10">
        <v>18840.995555555557</v>
      </c>
      <c r="R213" s="11">
        <f>IFERROR(P213/Q213, 0)</f>
      </c>
      <c r="S213" s="10">
        <v>0</v>
      </c>
      <c r="T213" s="10">
        <v>213561.32555555555</v>
      </c>
      <c r="U213" s="11">
        <f>IFERROR(S213/T213, 0)</f>
      </c>
      <c r="V213" s="10">
        <f>IFERROR(S213/E213, 0)</f>
      </c>
      <c r="W213" s="10">
        <f>IFERROR(T213/F213, 0)</f>
      </c>
      <c r="X213" s="11">
        <f>IFERROR(V213/W213, 0)</f>
      </c>
    </row>
    <row r="214" spans="1:24" x14ac:dyDescent="0.25">
      <c r="A214" s="8" t="s">
        <v>103</v>
      </c>
      <c r="B214" s="8" t="s">
        <v>216</v>
      </c>
      <c r="C214" s="8" t="s">
        <v>24</v>
      </c>
      <c r="D214" s="8" t="s">
        <v>244</v>
      </c>
      <c r="E214" s="9">
        <v>0</v>
      </c>
      <c r="F214" s="9">
        <v>0</v>
      </c>
      <c r="G214" s="10">
        <v>0</v>
      </c>
      <c r="H214" s="10">
        <v>0</v>
      </c>
      <c r="I214" s="11">
        <f>IFERROR(G214/H214, 0)</f>
      </c>
      <c r="J214" s="10">
        <v>0</v>
      </c>
      <c r="K214" s="10">
        <v>0</v>
      </c>
      <c r="L214" s="10">
        <v>0</v>
      </c>
      <c r="M214" s="12">
        <f>IFERROR(L214/K214, 0)</f>
      </c>
      <c r="N214" s="13">
        <f>IFERROR(J214/K214, 0)</f>
      </c>
      <c r="O214" s="10">
        <v>0</v>
      </c>
      <c r="P214" s="10">
        <v>0</v>
      </c>
      <c r="Q214" s="10">
        <v>0</v>
      </c>
      <c r="R214" s="11">
        <f>IFERROR(P214/Q214, 0)</f>
      </c>
      <c r="S214" s="10">
        <v>0</v>
      </c>
      <c r="T214" s="10">
        <v>0</v>
      </c>
      <c r="U214" s="11">
        <f>IFERROR(S214/T214, 0)</f>
      </c>
      <c r="V214" s="10">
        <f>IFERROR(S214/E214, 0)</f>
      </c>
      <c r="W214" s="10">
        <f>IFERROR(T214/F214, 0)</f>
      </c>
      <c r="X214" s="11">
        <f>IFERROR(V214/W214, 0)</f>
      </c>
    </row>
    <row r="215" spans="1:24" x14ac:dyDescent="0.25">
      <c r="A215" s="14" t="s">
        <v>245</v>
      </c>
      <c r="B215" s="14"/>
      <c r="C215" s="14"/>
      <c r="D215" s="14"/>
      <c r="E215" s="15">
        <f>SUM(E187:E214)</f>
      </c>
      <c r="F215" s="15">
        <f>SUM(F187:F214)</f>
      </c>
      <c r="G215" s="16">
        <f>SUM(G187:G214)</f>
      </c>
      <c r="H215" s="16">
        <f>SUM(H187:H214)</f>
      </c>
      <c r="I215" s="17">
        <f>IFERROR(G215/H215, 0)</f>
      </c>
      <c r="J215" s="16">
        <f>SUM(J187:J214)</f>
      </c>
      <c r="K215" s="16">
        <f>SUM(K187:K214)</f>
      </c>
      <c r="L215" s="16">
        <f>SUM(L187:L214)</f>
      </c>
      <c r="M215" s="18">
        <f>IFERROR(L215/K215, 0)</f>
      </c>
      <c r="N215" s="19">
        <f>IFERROR(J215/K215, 0)</f>
      </c>
      <c r="O215" s="16">
        <f>SUM(O187:O214)</f>
      </c>
      <c r="P215" s="16">
        <f>SUM(P187:P214)</f>
      </c>
      <c r="Q215" s="16">
        <f>SUM(Q187:Q214)</f>
      </c>
      <c r="R215" s="17">
        <f>IFERROR(P215/Q215, 0)</f>
      </c>
      <c r="S215" s="16">
        <f>SUM(S187:S214)</f>
      </c>
      <c r="T215" s="16">
        <f>SUM(T187:T214)</f>
      </c>
      <c r="U215" s="17">
        <f>IFERROR(S215/T215, 0)</f>
      </c>
      <c r="V215" s="16">
        <f>IFERROR(S215/E215, 0)</f>
      </c>
      <c r="W215" s="16">
        <f>IFERROR(T215/F215, 0)</f>
      </c>
      <c r="X215" s="17">
        <f>IFERROR(V215/W215, 0)</f>
      </c>
    </row>
    <row r="216" spans="1:24" x14ac:dyDescent="0.25">
      <c r="A216" s="20" t="s">
        <v>246</v>
      </c>
      <c r="B216" s="20"/>
      <c r="C216" s="20"/>
      <c r="D216" s="20"/>
      <c r="E216" s="21">
        <f>SUM(E186,E215)</f>
      </c>
      <c r="F216" s="21">
        <f>SUM(F186,F215)</f>
      </c>
      <c r="G216" s="22">
        <f>SUM(G186,G215)</f>
      </c>
      <c r="H216" s="22">
        <f>SUM(H186,H215)</f>
      </c>
      <c r="I216" s="23">
        <f>IFERROR(G216/H216, 0)</f>
      </c>
      <c r="J216" s="22">
        <f>SUM(J186,J215)</f>
      </c>
      <c r="K216" s="22">
        <f>SUM(K186,K215)</f>
      </c>
      <c r="L216" s="22">
        <f>SUM(L186,L215)</f>
      </c>
      <c r="M216" s="24">
        <f>IFERROR(L216/K216, 0)</f>
      </c>
      <c r="N216" s="25">
        <f>IFERROR(J216/K216, 0)</f>
      </c>
      <c r="O216" s="22">
        <f>SUM(O186,O215)</f>
      </c>
      <c r="P216" s="22">
        <f>SUM(P186,P215)</f>
      </c>
      <c r="Q216" s="22">
        <f>SUM(Q186,Q215)</f>
      </c>
      <c r="R216" s="23">
        <f>IFERROR(P216/Q216, 0)</f>
      </c>
      <c r="S216" s="22">
        <f>SUM(S186,S215)</f>
      </c>
      <c r="T216" s="22">
        <f>SUM(T186,T215)</f>
      </c>
      <c r="U216" s="23">
        <f>IFERROR(S216/T216, 0)</f>
      </c>
      <c r="V216" s="22">
        <f>IFERROR(S216/E216, 0)</f>
      </c>
      <c r="W216" s="22">
        <f>IFERROR(T216/F216, 0)</f>
      </c>
      <c r="X216" s="23">
        <f>IFERROR(V216/W216, 0)</f>
      </c>
    </row>
    <row r="217" spans="1:24" x14ac:dyDescent="0.25">
      <c r="A217" s="8" t="s">
        <v>247</v>
      </c>
      <c r="B217" s="8" t="s">
        <v>248</v>
      </c>
      <c r="C217" s="8" t="s">
        <v>24</v>
      </c>
      <c r="D217" s="8" t="s">
        <v>249</v>
      </c>
      <c r="E217" s="9">
        <v>1573.49</v>
      </c>
      <c r="F217" s="9">
        <v>1515</v>
      </c>
      <c r="G217" s="10">
        <v>22440</v>
      </c>
      <c r="H217" s="10">
        <v>47694.444444444445</v>
      </c>
      <c r="I217" s="11">
        <f>IFERROR(G217/H217, 0)</f>
      </c>
      <c r="J217" s="10">
        <v>120.39</v>
      </c>
      <c r="K217" s="10">
        <v>26</v>
      </c>
      <c r="L217" s="10">
        <v>22440</v>
      </c>
      <c r="M217" s="12">
        <f>IFERROR(L217/K217, 0)</f>
      </c>
      <c r="N217" s="13">
        <f>IFERROR(J217/K217, 0)</f>
      </c>
      <c r="O217" s="10">
        <v>0</v>
      </c>
      <c r="P217" s="10">
        <v>237053</v>
      </c>
      <c r="Q217" s="10">
        <v>524638.8888888889</v>
      </c>
      <c r="R217" s="11">
        <f>IFERROR(P217/Q217, 0)</f>
      </c>
      <c r="S217" s="10">
        <v>896212</v>
      </c>
      <c r="T217" s="10">
        <v>5804413.888888889</v>
      </c>
      <c r="U217" s="11">
        <f>IFERROR(S217/T217, 0)</f>
      </c>
      <c r="V217" s="10">
        <f>IFERROR(S217/E217, 0)</f>
      </c>
      <c r="W217" s="10">
        <f>IFERROR(T217/F217, 0)</f>
      </c>
      <c r="X217" s="11">
        <f>IFERROR(V217/W217, 0)</f>
      </c>
    </row>
    <row r="218" spans="1:24" x14ac:dyDescent="0.25">
      <c r="A218" s="8" t="s">
        <v>247</v>
      </c>
      <c r="B218" s="8" t="s">
        <v>248</v>
      </c>
      <c r="C218" s="8" t="s">
        <v>24</v>
      </c>
      <c r="D218" s="8" t="s">
        <v>250</v>
      </c>
      <c r="E218" s="9">
        <v>6836.95</v>
      </c>
      <c r="F218" s="9">
        <v>24687.34</v>
      </c>
      <c r="G218" s="10">
        <v>68500</v>
      </c>
      <c r="H218" s="10">
        <v>692616.5370370371</v>
      </c>
      <c r="I218" s="11">
        <f>IFERROR(G218/H218, 0)</f>
      </c>
      <c r="J218" s="10">
        <v>689.83</v>
      </c>
      <c r="K218" s="10">
        <v>104</v>
      </c>
      <c r="L218" s="10">
        <v>83594</v>
      </c>
      <c r="M218" s="12">
        <f>IFERROR(L218/K218, 0)</f>
      </c>
      <c r="N218" s="13">
        <f>IFERROR(J218/K218, 0)</f>
      </c>
      <c r="O218" s="10">
        <v>15094</v>
      </c>
      <c r="P218" s="10">
        <v>957250</v>
      </c>
      <c r="Q218" s="10">
        <v>7618781.907407408</v>
      </c>
      <c r="R218" s="11">
        <f>IFERROR(P218/Q218, 0)</f>
      </c>
      <c r="S218" s="10">
        <v>4876813</v>
      </c>
      <c r="T218" s="10">
        <v>84291432.55740741</v>
      </c>
      <c r="U218" s="11">
        <f>IFERROR(S218/T218, 0)</f>
      </c>
      <c r="V218" s="10">
        <f>IFERROR(S218/E218, 0)</f>
      </c>
      <c r="W218" s="10">
        <f>IFERROR(T218/F218, 0)</f>
      </c>
      <c r="X218" s="11">
        <f>IFERROR(V218/W218, 0)</f>
      </c>
    </row>
    <row r="219" spans="1:24" x14ac:dyDescent="0.25">
      <c r="A219" s="8" t="s">
        <v>247</v>
      </c>
      <c r="B219" s="8" t="s">
        <v>248</v>
      </c>
      <c r="C219" s="8" t="s">
        <v>24</v>
      </c>
      <c r="D219" s="8" t="s">
        <v>251</v>
      </c>
      <c r="E219" s="9">
        <v>7533.16</v>
      </c>
      <c r="F219" s="9">
        <v>5733.67</v>
      </c>
      <c r="G219" s="10">
        <v>22730</v>
      </c>
      <c r="H219" s="10">
        <v>191122.33333333334</v>
      </c>
      <c r="I219" s="11">
        <f>IFERROR(G219/H219, 0)</f>
      </c>
      <c r="J219" s="10">
        <v>691.7</v>
      </c>
      <c r="K219" s="10">
        <v>99</v>
      </c>
      <c r="L219" s="10">
        <v>88403</v>
      </c>
      <c r="M219" s="12">
        <f>IFERROR(L219/K219, 0)</f>
      </c>
      <c r="N219" s="13">
        <f>IFERROR(J219/K219, 0)</f>
      </c>
      <c r="O219" s="10">
        <v>65673</v>
      </c>
      <c r="P219" s="10">
        <v>779880</v>
      </c>
      <c r="Q219" s="10">
        <v>2102345.6666666665</v>
      </c>
      <c r="R219" s="11">
        <f>IFERROR(P219/Q219, 0)</f>
      </c>
      <c r="S219" s="10">
        <v>6907978</v>
      </c>
      <c r="T219" s="10">
        <v>23259587.966666665</v>
      </c>
      <c r="U219" s="11">
        <f>IFERROR(S219/T219, 0)</f>
      </c>
      <c r="V219" s="10">
        <f>IFERROR(S219/E219, 0)</f>
      </c>
      <c r="W219" s="10">
        <f>IFERROR(T219/F219, 0)</f>
      </c>
      <c r="X219" s="11">
        <f>IFERROR(V219/W219, 0)</f>
      </c>
    </row>
    <row r="220" spans="1:24" x14ac:dyDescent="0.25">
      <c r="A220" s="8" t="s">
        <v>247</v>
      </c>
      <c r="B220" s="8" t="s">
        <v>248</v>
      </c>
      <c r="C220" s="8" t="s">
        <v>24</v>
      </c>
      <c r="D220" s="8" t="s">
        <v>252</v>
      </c>
      <c r="E220" s="9">
        <v>1386.07</v>
      </c>
      <c r="F220" s="9">
        <v>1386.07</v>
      </c>
      <c r="G220" s="10">
        <v>0</v>
      </c>
      <c r="H220" s="10">
        <v>43635.53703703704</v>
      </c>
      <c r="I220" s="11">
        <f>IFERROR(G220/H220, 0)</f>
      </c>
      <c r="J220" s="10">
        <v>0</v>
      </c>
      <c r="K220" s="10">
        <v>0</v>
      </c>
      <c r="L220" s="10">
        <v>0</v>
      </c>
      <c r="M220" s="12">
        <f>IFERROR(L220/K220, 0)</f>
      </c>
      <c r="N220" s="13">
        <f>IFERROR(J220/K220, 0)</f>
      </c>
      <c r="O220" s="10">
        <v>0</v>
      </c>
      <c r="P220" s="10">
        <v>0</v>
      </c>
      <c r="Q220" s="10">
        <v>479990.9074074074</v>
      </c>
      <c r="R220" s="11">
        <f>IFERROR(P220/Q220, 0)</f>
      </c>
      <c r="S220" s="10">
        <v>0</v>
      </c>
      <c r="T220" s="10">
        <v>5310444.857407408</v>
      </c>
      <c r="U220" s="11">
        <f>IFERROR(S220/T220, 0)</f>
      </c>
      <c r="V220" s="10">
        <f>IFERROR(S220/E220, 0)</f>
      </c>
      <c r="W220" s="10">
        <f>IFERROR(T220/F220, 0)</f>
      </c>
      <c r="X220" s="11">
        <f>IFERROR(V220/W220, 0)</f>
      </c>
    </row>
    <row r="221" spans="1:24" x14ac:dyDescent="0.25">
      <c r="A221" s="8" t="s">
        <v>247</v>
      </c>
      <c r="B221" s="8" t="s">
        <v>248</v>
      </c>
      <c r="C221" s="8" t="s">
        <v>24</v>
      </c>
      <c r="D221" s="8" t="s">
        <v>253</v>
      </c>
      <c r="E221" s="9">
        <v>8639.31</v>
      </c>
      <c r="F221" s="9">
        <v>10605.3</v>
      </c>
      <c r="G221" s="10">
        <v>176930</v>
      </c>
      <c r="H221" s="10">
        <v>353510</v>
      </c>
      <c r="I221" s="11">
        <f>IFERROR(G221/H221, 0)</f>
      </c>
      <c r="J221" s="10">
        <v>1163.17</v>
      </c>
      <c r="K221" s="10">
        <v>194</v>
      </c>
      <c r="L221" s="10">
        <v>176930</v>
      </c>
      <c r="M221" s="12">
        <f>IFERROR(L221/K221, 0)</f>
      </c>
      <c r="N221" s="13">
        <f>IFERROR(J221/K221, 0)</f>
      </c>
      <c r="O221" s="10">
        <v>0</v>
      </c>
      <c r="P221" s="10">
        <v>1579550</v>
      </c>
      <c r="Q221" s="10">
        <v>3888610</v>
      </c>
      <c r="R221" s="11">
        <f>IFERROR(P221/Q221, 0)</f>
      </c>
      <c r="S221" s="10">
        <v>7726871</v>
      </c>
      <c r="T221" s="10">
        <v>43022167</v>
      </c>
      <c r="U221" s="11">
        <f>IFERROR(S221/T221, 0)</f>
      </c>
      <c r="V221" s="10">
        <f>IFERROR(S221/E221, 0)</f>
      </c>
      <c r="W221" s="10">
        <f>IFERROR(T221/F221, 0)</f>
      </c>
      <c r="X221" s="11">
        <f>IFERROR(V221/W221, 0)</f>
      </c>
    </row>
    <row r="222" spans="1:24" x14ac:dyDescent="0.25">
      <c r="A222" s="8" t="s">
        <v>247</v>
      </c>
      <c r="B222" s="8" t="s">
        <v>248</v>
      </c>
      <c r="C222" s="8" t="s">
        <v>24</v>
      </c>
      <c r="D222" s="8" t="s">
        <v>254</v>
      </c>
      <c r="E222" s="9">
        <v>12152.49</v>
      </c>
      <c r="F222" s="9">
        <v>12693.26</v>
      </c>
      <c r="G222" s="10">
        <v>86640</v>
      </c>
      <c r="H222" s="10">
        <v>399602.6296296296</v>
      </c>
      <c r="I222" s="11">
        <f>IFERROR(G222/H222, 0)</f>
      </c>
      <c r="J222" s="10">
        <v>1323.58</v>
      </c>
      <c r="K222" s="10">
        <v>215</v>
      </c>
      <c r="L222" s="10">
        <v>86640</v>
      </c>
      <c r="M222" s="12">
        <f>IFERROR(L222/K222, 0)</f>
      </c>
      <c r="N222" s="13">
        <f>IFERROR(J222/K222, 0)</f>
      </c>
      <c r="O222" s="10">
        <v>0</v>
      </c>
      <c r="P222" s="10">
        <v>872133</v>
      </c>
      <c r="Q222" s="10">
        <v>4395628.925925926</v>
      </c>
      <c r="R222" s="11">
        <f>IFERROR(P222/Q222, 0)</f>
      </c>
      <c r="S222" s="10">
        <v>3399374</v>
      </c>
      <c r="T222" s="10">
        <v>48631640.02592593</v>
      </c>
      <c r="U222" s="11">
        <f>IFERROR(S222/T222, 0)</f>
      </c>
      <c r="V222" s="10">
        <f>IFERROR(S222/E222, 0)</f>
      </c>
      <c r="W222" s="10">
        <f>IFERROR(T222/F222, 0)</f>
      </c>
      <c r="X222" s="11">
        <f>IFERROR(V222/W222, 0)</f>
      </c>
    </row>
    <row r="223" spans="1:24" x14ac:dyDescent="0.25">
      <c r="A223" s="14" t="s">
        <v>255</v>
      </c>
      <c r="B223" s="14"/>
      <c r="C223" s="14"/>
      <c r="D223" s="14"/>
      <c r="E223" s="15">
        <f>SUM(E217:E222)</f>
      </c>
      <c r="F223" s="15">
        <f>SUM(F217:F222)</f>
      </c>
      <c r="G223" s="16">
        <f>SUM(G217:G222)</f>
      </c>
      <c r="H223" s="16">
        <f>SUM(H217:H222)</f>
      </c>
      <c r="I223" s="17">
        <f>IFERROR(G223/H223, 0)</f>
      </c>
      <c r="J223" s="16">
        <f>SUM(J217:J222)</f>
      </c>
      <c r="K223" s="16">
        <f>SUM(K217:K222)</f>
      </c>
      <c r="L223" s="16">
        <f>SUM(L217:L222)</f>
      </c>
      <c r="M223" s="18">
        <f>IFERROR(L223/K223, 0)</f>
      </c>
      <c r="N223" s="19">
        <f>IFERROR(J223/K223, 0)</f>
      </c>
      <c r="O223" s="16">
        <f>SUM(O217:O222)</f>
      </c>
      <c r="P223" s="16">
        <f>SUM(P217:P222)</f>
      </c>
      <c r="Q223" s="16">
        <f>SUM(Q217:Q222)</f>
      </c>
      <c r="R223" s="17">
        <f>IFERROR(P223/Q223, 0)</f>
      </c>
      <c r="S223" s="16">
        <f>SUM(S217:S222)</f>
      </c>
      <c r="T223" s="16">
        <f>SUM(T217:T222)</f>
      </c>
      <c r="U223" s="17">
        <f>IFERROR(S223/T223, 0)</f>
      </c>
      <c r="V223" s="16">
        <f>IFERROR(S223/E223, 0)</f>
      </c>
      <c r="W223" s="16">
        <f>IFERROR(T223/F223, 0)</f>
      </c>
      <c r="X223" s="17">
        <f>IFERROR(V223/W223, 0)</f>
      </c>
    </row>
    <row r="224" spans="1:24" x14ac:dyDescent="0.25">
      <c r="A224" s="20" t="s">
        <v>256</v>
      </c>
      <c r="B224" s="20"/>
      <c r="C224" s="20"/>
      <c r="D224" s="20"/>
      <c r="E224" s="21">
        <f>SUM(E223)</f>
      </c>
      <c r="F224" s="21">
        <f>SUM(F223)</f>
      </c>
      <c r="G224" s="22">
        <f>SUM(G223)</f>
      </c>
      <c r="H224" s="22">
        <f>SUM(H223)</f>
      </c>
      <c r="I224" s="23">
        <f>IFERROR(G224/H224, 0)</f>
      </c>
      <c r="J224" s="22">
        <f>SUM(J223)</f>
      </c>
      <c r="K224" s="22">
        <f>SUM(K223)</f>
      </c>
      <c r="L224" s="22">
        <f>SUM(L223)</f>
      </c>
      <c r="M224" s="24">
        <f>IFERROR(L224/K224, 0)</f>
      </c>
      <c r="N224" s="25">
        <f>IFERROR(J224/K224, 0)</f>
      </c>
      <c r="O224" s="22">
        <f>SUM(O223)</f>
      </c>
      <c r="P224" s="22">
        <f>SUM(P223)</f>
      </c>
      <c r="Q224" s="22">
        <f>SUM(Q223)</f>
      </c>
      <c r="R224" s="23">
        <f>IFERROR(P224/Q224, 0)</f>
      </c>
      <c r="S224" s="22">
        <f>SUM(S223)</f>
      </c>
      <c r="T224" s="22">
        <f>SUM(T223)</f>
      </c>
      <c r="U224" s="23">
        <f>IFERROR(S224/T224, 0)</f>
      </c>
      <c r="V224" s="22">
        <f>IFERROR(S224/E224, 0)</f>
      </c>
      <c r="W224" s="22">
        <f>IFERROR(T224/F224, 0)</f>
      </c>
      <c r="X224" s="23">
        <f>IFERROR(V224/W224, 0)</f>
      </c>
    </row>
    <row r="225" spans="1:24" x14ac:dyDescent="0.25">
      <c r="A225" s="8" t="s">
        <v>257</v>
      </c>
      <c r="B225" s="8" t="s">
        <v>258</v>
      </c>
      <c r="C225" s="8" t="s">
        <v>24</v>
      </c>
      <c r="D225" s="8" t="s">
        <v>259</v>
      </c>
      <c r="E225" s="9">
        <v>34.78</v>
      </c>
      <c r="F225" s="9">
        <v>29.98</v>
      </c>
      <c r="G225" s="10">
        <v>12790</v>
      </c>
      <c r="H225" s="10">
        <v>896.6711111111111</v>
      </c>
      <c r="I225" s="11">
        <f>IFERROR(G225/H225, 0)</f>
      </c>
      <c r="J225" s="10">
        <v>30</v>
      </c>
      <c r="K225" s="10">
        <v>14</v>
      </c>
      <c r="L225" s="10">
        <v>12790</v>
      </c>
      <c r="M225" s="12">
        <f>IFERROR(L225/K225, 0)</f>
      </c>
      <c r="N225" s="13">
        <f>IFERROR(J225/K225, 0)</f>
      </c>
      <c r="O225" s="10">
        <v>0</v>
      </c>
      <c r="P225" s="10">
        <v>12790</v>
      </c>
      <c r="Q225" s="10">
        <v>9863.382222222222</v>
      </c>
      <c r="R225" s="11">
        <f>IFERROR(P225/Q225, 0)</f>
      </c>
      <c r="S225" s="10">
        <v>84740</v>
      </c>
      <c r="T225" s="10">
        <v>111800.73222222223</v>
      </c>
      <c r="U225" s="11">
        <f>IFERROR(S225/T225, 0)</f>
      </c>
      <c r="V225" s="10">
        <f>IFERROR(S225/E225, 0)</f>
      </c>
      <c r="W225" s="10">
        <f>IFERROR(T225/F225, 0)</f>
      </c>
      <c r="X225" s="11">
        <f>IFERROR(V225/W225, 0)</f>
      </c>
    </row>
    <row r="226" spans="1:24" x14ac:dyDescent="0.25">
      <c r="A226" s="8" t="s">
        <v>257</v>
      </c>
      <c r="B226" s="8" t="s">
        <v>258</v>
      </c>
      <c r="C226" s="8" t="s">
        <v>24</v>
      </c>
      <c r="D226" s="8" t="s">
        <v>260</v>
      </c>
      <c r="E226" s="9">
        <v>41.5</v>
      </c>
      <c r="F226" s="9">
        <v>33.47</v>
      </c>
      <c r="G226" s="10">
        <v>5742</v>
      </c>
      <c r="H226" s="10">
        <v>1000.9974074074074</v>
      </c>
      <c r="I226" s="11">
        <f>IFERROR(G226/H226, 0)</f>
      </c>
      <c r="J226" s="10">
        <v>6.6</v>
      </c>
      <c r="K226" s="10">
        <v>7</v>
      </c>
      <c r="L226" s="10">
        <v>5742</v>
      </c>
      <c r="M226" s="12">
        <f>IFERROR(L226/K226, 0)</f>
      </c>
      <c r="N226" s="13">
        <f>IFERROR(J226/K226, 0)</f>
      </c>
      <c r="O226" s="10">
        <v>0</v>
      </c>
      <c r="P226" s="10">
        <v>39976</v>
      </c>
      <c r="Q226" s="10">
        <v>11010.971481481482</v>
      </c>
      <c r="R226" s="11">
        <f>IFERROR(P226/Q226, 0)</f>
      </c>
      <c r="S226" s="10">
        <v>335315</v>
      </c>
      <c r="T226" s="10">
        <v>124808.56148148148</v>
      </c>
      <c r="U226" s="11">
        <f>IFERROR(S226/T226, 0)</f>
      </c>
      <c r="V226" s="10">
        <f>IFERROR(S226/E226, 0)</f>
      </c>
      <c r="W226" s="10">
        <f>IFERROR(T226/F226, 0)</f>
      </c>
      <c r="X226" s="11">
        <f>IFERROR(V226/W226, 0)</f>
      </c>
    </row>
    <row r="227" spans="1:24" x14ac:dyDescent="0.25">
      <c r="A227" s="8" t="s">
        <v>257</v>
      </c>
      <c r="B227" s="8" t="s">
        <v>258</v>
      </c>
      <c r="C227" s="8" t="s">
        <v>24</v>
      </c>
      <c r="D227" s="8" t="s">
        <v>261</v>
      </c>
      <c r="E227" s="9">
        <v>15</v>
      </c>
      <c r="F227" s="9">
        <v>0</v>
      </c>
      <c r="G227" s="10">
        <v>0</v>
      </c>
      <c r="H227" s="10">
        <v>0</v>
      </c>
      <c r="I227" s="11">
        <f>IFERROR(G227/H227, 0)</f>
      </c>
      <c r="J227" s="10">
        <v>0</v>
      </c>
      <c r="K227" s="10">
        <v>0</v>
      </c>
      <c r="L227" s="10">
        <v>0</v>
      </c>
      <c r="M227" s="12">
        <f>IFERROR(L227/K227, 0)</f>
      </c>
      <c r="N227" s="13">
        <f>IFERROR(J227/K227, 0)</f>
      </c>
      <c r="O227" s="10">
        <v>0</v>
      </c>
      <c r="P227" s="10">
        <v>6210</v>
      </c>
      <c r="Q227" s="10">
        <v>0</v>
      </c>
      <c r="R227" s="11">
        <f>IFERROR(P227/Q227, 0)</f>
      </c>
      <c r="S227" s="10">
        <v>36230</v>
      </c>
      <c r="T227" s="10">
        <v>0</v>
      </c>
      <c r="U227" s="11">
        <f>IFERROR(S227/T227, 0)</f>
      </c>
      <c r="V227" s="10">
        <f>IFERROR(S227/E227, 0)</f>
      </c>
      <c r="W227" s="10">
        <f>IFERROR(T227/F227, 0)</f>
      </c>
      <c r="X227" s="11">
        <f>IFERROR(V227/W227, 0)</f>
      </c>
    </row>
    <row r="228" spans="1:24" x14ac:dyDescent="0.25">
      <c r="A228" s="8" t="s">
        <v>257</v>
      </c>
      <c r="B228" s="8" t="s">
        <v>258</v>
      </c>
      <c r="C228" s="8" t="s">
        <v>24</v>
      </c>
      <c r="D228" s="8" t="s">
        <v>262</v>
      </c>
      <c r="E228" s="9">
        <v>0</v>
      </c>
      <c r="F228" s="9">
        <v>41.79</v>
      </c>
      <c r="G228" s="10">
        <v>0</v>
      </c>
      <c r="H228" s="10">
        <v>1249.6896296296297</v>
      </c>
      <c r="I228" s="11">
        <f>IFERROR(G228/H228, 0)</f>
      </c>
      <c r="J228" s="10">
        <v>0</v>
      </c>
      <c r="K228" s="10">
        <v>0</v>
      </c>
      <c r="L228" s="10">
        <v>0</v>
      </c>
      <c r="M228" s="12">
        <f>IFERROR(L228/K228, 0)</f>
      </c>
      <c r="N228" s="13">
        <f>IFERROR(J228/K228, 0)</f>
      </c>
      <c r="O228" s="10">
        <v>0</v>
      </c>
      <c r="P228" s="10">
        <v>0</v>
      </c>
      <c r="Q228" s="10">
        <v>13746.585925925925</v>
      </c>
      <c r="R228" s="11">
        <f>IFERROR(P228/Q228, 0)</f>
      </c>
      <c r="S228" s="10">
        <v>0</v>
      </c>
      <c r="T228" s="10">
        <v>155816.5659259259</v>
      </c>
      <c r="U228" s="11">
        <f>IFERROR(S228/T228, 0)</f>
      </c>
      <c r="V228" s="10">
        <f>IFERROR(S228/E228, 0)</f>
      </c>
      <c r="W228" s="10">
        <f>IFERROR(T228/F228, 0)</f>
      </c>
      <c r="X228" s="11">
        <f>IFERROR(V228/W228, 0)</f>
      </c>
    </row>
    <row r="229" spans="1:24" x14ac:dyDescent="0.25">
      <c r="A229" s="8" t="s">
        <v>257</v>
      </c>
      <c r="B229" s="8" t="s">
        <v>258</v>
      </c>
      <c r="C229" s="8" t="s">
        <v>24</v>
      </c>
      <c r="D229" s="8" t="s">
        <v>263</v>
      </c>
      <c r="E229" s="9">
        <v>26.5</v>
      </c>
      <c r="F229" s="9">
        <v>26.55</v>
      </c>
      <c r="G229" s="10">
        <v>0</v>
      </c>
      <c r="H229" s="10">
        <v>794.1244444444444</v>
      </c>
      <c r="I229" s="11">
        <f>IFERROR(G229/H229, 0)</f>
      </c>
      <c r="J229" s="10">
        <v>0</v>
      </c>
      <c r="K229" s="10">
        <v>0</v>
      </c>
      <c r="L229" s="10">
        <v>0</v>
      </c>
      <c r="M229" s="12">
        <f>IFERROR(L229/K229, 0)</f>
      </c>
      <c r="N229" s="13">
        <f>IFERROR(J229/K229, 0)</f>
      </c>
      <c r="O229" s="10">
        <v>0</v>
      </c>
      <c r="P229" s="10">
        <v>15650</v>
      </c>
      <c r="Q229" s="10">
        <v>8735.368888888888</v>
      </c>
      <c r="R229" s="11">
        <f>IFERROR(P229/Q229, 0)</f>
      </c>
      <c r="S229" s="10">
        <v>197900</v>
      </c>
      <c r="T229" s="10">
        <v>99014.78888888888</v>
      </c>
      <c r="U229" s="11">
        <f>IFERROR(S229/T229, 0)</f>
      </c>
      <c r="V229" s="10">
        <f>IFERROR(S229/E229, 0)</f>
      </c>
      <c r="W229" s="10">
        <f>IFERROR(T229/F229, 0)</f>
      </c>
      <c r="X229" s="11">
        <f>IFERROR(V229/W229, 0)</f>
      </c>
    </row>
    <row r="230" spans="1:24" x14ac:dyDescent="0.25">
      <c r="A230" s="8" t="s">
        <v>257</v>
      </c>
      <c r="B230" s="8" t="s">
        <v>258</v>
      </c>
      <c r="C230" s="8" t="s">
        <v>24</v>
      </c>
      <c r="D230" s="8" t="s">
        <v>264</v>
      </c>
      <c r="E230" s="9">
        <v>76.77</v>
      </c>
      <c r="F230" s="9">
        <v>57.1</v>
      </c>
      <c r="G230" s="10">
        <v>0</v>
      </c>
      <c r="H230" s="10">
        <v>1707.7014814814816</v>
      </c>
      <c r="I230" s="11">
        <f>IFERROR(G230/H230, 0)</f>
      </c>
      <c r="J230" s="10">
        <v>0</v>
      </c>
      <c r="K230" s="10">
        <v>0</v>
      </c>
      <c r="L230" s="10">
        <v>0</v>
      </c>
      <c r="M230" s="12">
        <f>IFERROR(L230/K230, 0)</f>
      </c>
      <c r="N230" s="13">
        <f>IFERROR(J230/K230, 0)</f>
      </c>
      <c r="O230" s="10">
        <v>0</v>
      </c>
      <c r="P230" s="10">
        <v>14300</v>
      </c>
      <c r="Q230" s="10">
        <v>18784.716296296298</v>
      </c>
      <c r="R230" s="11">
        <f>IFERROR(P230/Q230, 0)</f>
      </c>
      <c r="S230" s="10">
        <v>234168</v>
      </c>
      <c r="T230" s="10">
        <v>212923.4162962963</v>
      </c>
      <c r="U230" s="11">
        <f>IFERROR(S230/T230, 0)</f>
      </c>
      <c r="V230" s="10">
        <f>IFERROR(S230/E230, 0)</f>
      </c>
      <c r="W230" s="10">
        <f>IFERROR(T230/F230, 0)</f>
      </c>
      <c r="X230" s="11">
        <f>IFERROR(V230/W230, 0)</f>
      </c>
    </row>
    <row r="231" spans="1:24" x14ac:dyDescent="0.25">
      <c r="A231" s="8" t="s">
        <v>257</v>
      </c>
      <c r="B231" s="8" t="s">
        <v>258</v>
      </c>
      <c r="C231" s="8" t="s">
        <v>24</v>
      </c>
      <c r="D231" s="8" t="s">
        <v>265</v>
      </c>
      <c r="E231" s="9">
        <v>22</v>
      </c>
      <c r="F231" s="9">
        <v>16.36</v>
      </c>
      <c r="G231" s="10">
        <v>0</v>
      </c>
      <c r="H231" s="10">
        <v>489.37666666666667</v>
      </c>
      <c r="I231" s="11">
        <f>IFERROR(G231/H231, 0)</f>
      </c>
      <c r="J231" s="10">
        <v>0</v>
      </c>
      <c r="K231" s="10">
        <v>0</v>
      </c>
      <c r="L231" s="10">
        <v>0</v>
      </c>
      <c r="M231" s="12">
        <f>IFERROR(L231/K231, 0)</f>
      </c>
      <c r="N231" s="13">
        <f>IFERROR(J231/K231, 0)</f>
      </c>
      <c r="O231" s="10">
        <v>0</v>
      </c>
      <c r="P231" s="10">
        <v>13540</v>
      </c>
      <c r="Q231" s="10">
        <v>5383.143333333333</v>
      </c>
      <c r="R231" s="11">
        <f>IFERROR(P231/Q231, 0)</f>
      </c>
      <c r="S231" s="10">
        <v>67356</v>
      </c>
      <c r="T231" s="10">
        <v>61017.53333333333</v>
      </c>
      <c r="U231" s="11">
        <f>IFERROR(S231/T231, 0)</f>
      </c>
      <c r="V231" s="10">
        <f>IFERROR(S231/E231, 0)</f>
      </c>
      <c r="W231" s="10">
        <f>IFERROR(T231/F231, 0)</f>
      </c>
      <c r="X231" s="11">
        <f>IFERROR(V231/W231, 0)</f>
      </c>
    </row>
    <row r="232" spans="1:24" x14ac:dyDescent="0.25">
      <c r="A232" s="8" t="s">
        <v>257</v>
      </c>
      <c r="B232" s="8" t="s">
        <v>258</v>
      </c>
      <c r="C232" s="8" t="s">
        <v>24</v>
      </c>
      <c r="D232" s="8" t="s">
        <v>266</v>
      </c>
      <c r="E232" s="9">
        <v>29</v>
      </c>
      <c r="F232" s="9">
        <v>42.76</v>
      </c>
      <c r="G232" s="10">
        <v>0</v>
      </c>
      <c r="H232" s="10">
        <v>1278.8296296296296</v>
      </c>
      <c r="I232" s="11">
        <f>IFERROR(G232/H232, 0)</f>
      </c>
      <c r="J232" s="10">
        <v>0</v>
      </c>
      <c r="K232" s="10">
        <v>0</v>
      </c>
      <c r="L232" s="10">
        <v>0</v>
      </c>
      <c r="M232" s="12">
        <f>IFERROR(L232/K232, 0)</f>
      </c>
      <c r="N232" s="13">
        <f>IFERROR(J232/K232, 0)</f>
      </c>
      <c r="O232" s="10">
        <v>0</v>
      </c>
      <c r="P232" s="10">
        <v>0</v>
      </c>
      <c r="Q232" s="10">
        <v>14067.125925925926</v>
      </c>
      <c r="R232" s="11">
        <f>IFERROR(P232/Q232, 0)</f>
      </c>
      <c r="S232" s="10">
        <v>0</v>
      </c>
      <c r="T232" s="10">
        <v>159449.87592592594</v>
      </c>
      <c r="U232" s="11">
        <f>IFERROR(S232/T232, 0)</f>
      </c>
      <c r="V232" s="10">
        <f>IFERROR(S232/E232, 0)</f>
      </c>
      <c r="W232" s="10">
        <f>IFERROR(T232/F232, 0)</f>
      </c>
      <c r="X232" s="11">
        <f>IFERROR(V232/W232, 0)</f>
      </c>
    </row>
    <row r="233" spans="1:24" x14ac:dyDescent="0.25">
      <c r="A233" s="8" t="s">
        <v>257</v>
      </c>
      <c r="B233" s="8" t="s">
        <v>258</v>
      </c>
      <c r="C233" s="8" t="s">
        <v>24</v>
      </c>
      <c r="D233" s="8" t="s">
        <v>267</v>
      </c>
      <c r="E233" s="9">
        <v>207.92</v>
      </c>
      <c r="F233" s="9">
        <v>281.78</v>
      </c>
      <c r="G233" s="10">
        <v>0</v>
      </c>
      <c r="H233" s="10">
        <v>8427.285555555556</v>
      </c>
      <c r="I233" s="11">
        <f>IFERROR(G233/H233, 0)</f>
      </c>
      <c r="J233" s="10">
        <v>0</v>
      </c>
      <c r="K233" s="10">
        <v>0</v>
      </c>
      <c r="L233" s="10">
        <v>0</v>
      </c>
      <c r="M233" s="12">
        <f>IFERROR(L233/K233, 0)</f>
      </c>
      <c r="N233" s="13">
        <f>IFERROR(J233/K233, 0)</f>
      </c>
      <c r="O233" s="10">
        <v>0</v>
      </c>
      <c r="P233" s="10">
        <v>121630</v>
      </c>
      <c r="Q233" s="10">
        <v>92700.14111111111</v>
      </c>
      <c r="R233" s="11">
        <f>IFERROR(P233/Q233, 0)</f>
      </c>
      <c r="S233" s="10">
        <v>1437015</v>
      </c>
      <c r="T233" s="10">
        <v>1050749.461111111</v>
      </c>
      <c r="U233" s="11">
        <f>IFERROR(S233/T233, 0)</f>
      </c>
      <c r="V233" s="10">
        <f>IFERROR(S233/E233, 0)</f>
      </c>
      <c r="W233" s="10">
        <f>IFERROR(T233/F233, 0)</f>
      </c>
      <c r="X233" s="11">
        <f>IFERROR(V233/W233, 0)</f>
      </c>
    </row>
    <row r="234" spans="1:24" x14ac:dyDescent="0.25">
      <c r="A234" s="8" t="s">
        <v>257</v>
      </c>
      <c r="B234" s="8" t="s">
        <v>258</v>
      </c>
      <c r="C234" s="8" t="s">
        <v>24</v>
      </c>
      <c r="D234" s="8" t="s">
        <v>268</v>
      </c>
      <c r="E234" s="9">
        <v>29</v>
      </c>
      <c r="F234" s="9">
        <v>0</v>
      </c>
      <c r="G234" s="10">
        <v>0</v>
      </c>
      <c r="H234" s="10">
        <v>0</v>
      </c>
      <c r="I234" s="11">
        <f>IFERROR(G234/H234, 0)</f>
      </c>
      <c r="J234" s="10">
        <v>0</v>
      </c>
      <c r="K234" s="10">
        <v>0</v>
      </c>
      <c r="L234" s="10">
        <v>0</v>
      </c>
      <c r="M234" s="12">
        <f>IFERROR(L234/K234, 0)</f>
      </c>
      <c r="N234" s="13">
        <f>IFERROR(J234/K234, 0)</f>
      </c>
      <c r="O234" s="10">
        <v>0</v>
      </c>
      <c r="P234" s="10">
        <v>16290</v>
      </c>
      <c r="Q234" s="10">
        <v>0</v>
      </c>
      <c r="R234" s="11">
        <f>IFERROR(P234/Q234, 0)</f>
      </c>
      <c r="S234" s="10">
        <v>202285</v>
      </c>
      <c r="T234" s="10">
        <v>0</v>
      </c>
      <c r="U234" s="11">
        <f>IFERROR(S234/T234, 0)</f>
      </c>
      <c r="V234" s="10">
        <f>IFERROR(S234/E234, 0)</f>
      </c>
      <c r="W234" s="10">
        <f>IFERROR(T234/F234, 0)</f>
      </c>
      <c r="X234" s="11">
        <f>IFERROR(V234/W234, 0)</f>
      </c>
    </row>
    <row r="235" spans="1:24" x14ac:dyDescent="0.25">
      <c r="A235" s="8" t="s">
        <v>257</v>
      </c>
      <c r="B235" s="8" t="s">
        <v>258</v>
      </c>
      <c r="C235" s="8" t="s">
        <v>24</v>
      </c>
      <c r="D235" s="8" t="s">
        <v>269</v>
      </c>
      <c r="E235" s="9">
        <v>86</v>
      </c>
      <c r="F235" s="9">
        <v>87.65</v>
      </c>
      <c r="G235" s="10">
        <v>0</v>
      </c>
      <c r="H235" s="10">
        <v>2621.2785185185185</v>
      </c>
      <c r="I235" s="11">
        <f>IFERROR(G235/H235, 0)</f>
      </c>
      <c r="J235" s="10">
        <v>0</v>
      </c>
      <c r="K235" s="10">
        <v>0</v>
      </c>
      <c r="L235" s="10">
        <v>0</v>
      </c>
      <c r="M235" s="12">
        <f>IFERROR(L235/K235, 0)</f>
      </c>
      <c r="N235" s="13">
        <f>IFERROR(J235/K235, 0)</f>
      </c>
      <c r="O235" s="10">
        <v>0</v>
      </c>
      <c r="P235" s="10">
        <v>0</v>
      </c>
      <c r="Q235" s="10">
        <v>28834.063703703705</v>
      </c>
      <c r="R235" s="11">
        <f>IFERROR(P235/Q235, 0)</f>
      </c>
      <c r="S235" s="10">
        <v>57490</v>
      </c>
      <c r="T235" s="10">
        <v>326832.0337037037</v>
      </c>
      <c r="U235" s="11">
        <f>IFERROR(S235/T235, 0)</f>
      </c>
      <c r="V235" s="10">
        <f>IFERROR(S235/E235, 0)</f>
      </c>
      <c r="W235" s="10">
        <f>IFERROR(T235/F235, 0)</f>
      </c>
      <c r="X235" s="11">
        <f>IFERROR(V235/W235, 0)</f>
      </c>
    </row>
    <row r="236" spans="1:24" x14ac:dyDescent="0.25">
      <c r="A236" s="8" t="s">
        <v>257</v>
      </c>
      <c r="B236" s="8" t="s">
        <v>258</v>
      </c>
      <c r="C236" s="8" t="s">
        <v>24</v>
      </c>
      <c r="D236" s="8" t="s">
        <v>270</v>
      </c>
      <c r="E236" s="9">
        <v>0</v>
      </c>
      <c r="F236" s="9">
        <v>0</v>
      </c>
      <c r="G236" s="10">
        <v>0</v>
      </c>
      <c r="H236" s="10">
        <v>0</v>
      </c>
      <c r="I236" s="11">
        <f>IFERROR(G236/H236, 0)</f>
      </c>
      <c r="J236" s="10">
        <v>0</v>
      </c>
      <c r="K236" s="10">
        <v>0</v>
      </c>
      <c r="L236" s="10">
        <v>0</v>
      </c>
      <c r="M236" s="12">
        <f>IFERROR(L236/K236, 0)</f>
      </c>
      <c r="N236" s="13">
        <f>IFERROR(J236/K236, 0)</f>
      </c>
      <c r="O236" s="10">
        <v>0</v>
      </c>
      <c r="P236" s="10">
        <v>0</v>
      </c>
      <c r="Q236" s="10">
        <v>0</v>
      </c>
      <c r="R236" s="11">
        <f>IFERROR(P236/Q236, 0)</f>
      </c>
      <c r="S236" s="10">
        <v>0</v>
      </c>
      <c r="T236" s="10">
        <v>0</v>
      </c>
      <c r="U236" s="11">
        <f>IFERROR(S236/T236, 0)</f>
      </c>
      <c r="V236" s="10">
        <f>IFERROR(S236/E236, 0)</f>
      </c>
      <c r="W236" s="10">
        <f>IFERROR(T236/F236, 0)</f>
      </c>
      <c r="X236" s="11">
        <f>IFERROR(V236/W236, 0)</f>
      </c>
    </row>
    <row r="237" spans="1:24" x14ac:dyDescent="0.25">
      <c r="A237" s="14" t="s">
        <v>271</v>
      </c>
      <c r="B237" s="14"/>
      <c r="C237" s="14"/>
      <c r="D237" s="14"/>
      <c r="E237" s="15">
        <f>SUM(E225:E236)</f>
      </c>
      <c r="F237" s="15">
        <f>SUM(F225:F236)</f>
      </c>
      <c r="G237" s="16">
        <f>SUM(G225:G236)</f>
      </c>
      <c r="H237" s="16">
        <f>SUM(H225:H236)</f>
      </c>
      <c r="I237" s="17">
        <f>IFERROR(G237/H237, 0)</f>
      </c>
      <c r="J237" s="16">
        <f>SUM(J225:J236)</f>
      </c>
      <c r="K237" s="16">
        <f>SUM(K225:K236)</f>
      </c>
      <c r="L237" s="16">
        <f>SUM(L225:L236)</f>
      </c>
      <c r="M237" s="18">
        <f>IFERROR(L237/K237, 0)</f>
      </c>
      <c r="N237" s="19">
        <f>IFERROR(J237/K237, 0)</f>
      </c>
      <c r="O237" s="16">
        <f>SUM(O225:O236)</f>
      </c>
      <c r="P237" s="16">
        <f>SUM(P225:P236)</f>
      </c>
      <c r="Q237" s="16">
        <f>SUM(Q225:Q236)</f>
      </c>
      <c r="R237" s="17">
        <f>IFERROR(P237/Q237, 0)</f>
      </c>
      <c r="S237" s="16">
        <f>SUM(S225:S236)</f>
      </c>
      <c r="T237" s="16">
        <f>SUM(T225:T236)</f>
      </c>
      <c r="U237" s="17">
        <f>IFERROR(S237/T237, 0)</f>
      </c>
      <c r="V237" s="16">
        <f>IFERROR(S237/E237, 0)</f>
      </c>
      <c r="W237" s="16">
        <f>IFERROR(T237/F237, 0)</f>
      </c>
      <c r="X237" s="17">
        <f>IFERROR(V237/W237, 0)</f>
      </c>
    </row>
    <row r="238" spans="1:24" x14ac:dyDescent="0.25">
      <c r="A238" s="8" t="s">
        <v>257</v>
      </c>
      <c r="B238" s="8" t="s">
        <v>272</v>
      </c>
      <c r="C238" s="8" t="s">
        <v>24</v>
      </c>
      <c r="D238" s="8" t="s">
        <v>273</v>
      </c>
      <c r="E238" s="9">
        <v>0</v>
      </c>
      <c r="F238" s="9">
        <v>0</v>
      </c>
      <c r="G238" s="10">
        <v>0</v>
      </c>
      <c r="H238" s="10">
        <v>0</v>
      </c>
      <c r="I238" s="11">
        <f>IFERROR(G238/H238, 0)</f>
      </c>
      <c r="J238" s="10">
        <v>0</v>
      </c>
      <c r="K238" s="10">
        <v>0</v>
      </c>
      <c r="L238" s="10">
        <v>0</v>
      </c>
      <c r="M238" s="12">
        <f>IFERROR(L238/K238, 0)</f>
      </c>
      <c r="N238" s="13">
        <f>IFERROR(J238/K238, 0)</f>
      </c>
      <c r="O238" s="10">
        <v>0</v>
      </c>
      <c r="P238" s="10">
        <v>0</v>
      </c>
      <c r="Q238" s="10">
        <v>0</v>
      </c>
      <c r="R238" s="11">
        <f>IFERROR(P238/Q238, 0)</f>
      </c>
      <c r="S238" s="10">
        <v>0</v>
      </c>
      <c r="T238" s="10">
        <v>0</v>
      </c>
      <c r="U238" s="11">
        <f>IFERROR(S238/T238, 0)</f>
      </c>
      <c r="V238" s="10">
        <f>IFERROR(S238/E238, 0)</f>
      </c>
      <c r="W238" s="10">
        <f>IFERROR(T238/F238, 0)</f>
      </c>
      <c r="X238" s="11">
        <f>IFERROR(V238/W238, 0)</f>
      </c>
    </row>
    <row r="239" spans="1:24" x14ac:dyDescent="0.25">
      <c r="A239" s="8" t="s">
        <v>257</v>
      </c>
      <c r="B239" s="8" t="s">
        <v>272</v>
      </c>
      <c r="C239" s="8" t="s">
        <v>24</v>
      </c>
      <c r="D239" s="8" t="s">
        <v>274</v>
      </c>
      <c r="E239" s="9">
        <v>0</v>
      </c>
      <c r="F239" s="9">
        <v>0</v>
      </c>
      <c r="G239" s="10">
        <v>0</v>
      </c>
      <c r="H239" s="10">
        <v>0</v>
      </c>
      <c r="I239" s="11">
        <f>IFERROR(G239/H239, 0)</f>
      </c>
      <c r="J239" s="10">
        <v>0</v>
      </c>
      <c r="K239" s="10">
        <v>0</v>
      </c>
      <c r="L239" s="10">
        <v>0</v>
      </c>
      <c r="M239" s="12">
        <f>IFERROR(L239/K239, 0)</f>
      </c>
      <c r="N239" s="13">
        <f>IFERROR(J239/K239, 0)</f>
      </c>
      <c r="O239" s="10">
        <v>0</v>
      </c>
      <c r="P239" s="10">
        <v>0</v>
      </c>
      <c r="Q239" s="10">
        <v>0</v>
      </c>
      <c r="R239" s="11">
        <f>IFERROR(P239/Q239, 0)</f>
      </c>
      <c r="S239" s="10">
        <v>0</v>
      </c>
      <c r="T239" s="10">
        <v>0</v>
      </c>
      <c r="U239" s="11">
        <f>IFERROR(S239/T239, 0)</f>
      </c>
      <c r="V239" s="10">
        <f>IFERROR(S239/E239, 0)</f>
      </c>
      <c r="W239" s="10">
        <f>IFERROR(T239/F239, 0)</f>
      </c>
      <c r="X239" s="11">
        <f>IFERROR(V239/W239, 0)</f>
      </c>
    </row>
    <row r="240" spans="1:24" x14ac:dyDescent="0.25">
      <c r="A240" s="8" t="s">
        <v>257</v>
      </c>
      <c r="B240" s="8" t="s">
        <v>272</v>
      </c>
      <c r="C240" s="8" t="s">
        <v>24</v>
      </c>
      <c r="D240" s="8" t="s">
        <v>275</v>
      </c>
      <c r="E240" s="9">
        <v>0</v>
      </c>
      <c r="F240" s="9">
        <v>0</v>
      </c>
      <c r="G240" s="10">
        <v>0</v>
      </c>
      <c r="H240" s="10">
        <v>0</v>
      </c>
      <c r="I240" s="11">
        <f>IFERROR(G240/H240, 0)</f>
      </c>
      <c r="J240" s="10">
        <v>0</v>
      </c>
      <c r="K240" s="10">
        <v>0</v>
      </c>
      <c r="L240" s="10">
        <v>0</v>
      </c>
      <c r="M240" s="12">
        <f>IFERROR(L240/K240, 0)</f>
      </c>
      <c r="N240" s="13">
        <f>IFERROR(J240/K240, 0)</f>
      </c>
      <c r="O240" s="10">
        <v>0</v>
      </c>
      <c r="P240" s="10">
        <v>0</v>
      </c>
      <c r="Q240" s="10">
        <v>0</v>
      </c>
      <c r="R240" s="11">
        <f>IFERROR(P240/Q240, 0)</f>
      </c>
      <c r="S240" s="10">
        <v>0</v>
      </c>
      <c r="T240" s="10">
        <v>0</v>
      </c>
      <c r="U240" s="11">
        <f>IFERROR(S240/T240, 0)</f>
      </c>
      <c r="V240" s="10">
        <f>IFERROR(S240/E240, 0)</f>
      </c>
      <c r="W240" s="10">
        <f>IFERROR(T240/F240, 0)</f>
      </c>
      <c r="X240" s="11">
        <f>IFERROR(V240/W240, 0)</f>
      </c>
    </row>
    <row r="241" spans="1:24" x14ac:dyDescent="0.25">
      <c r="A241" s="8" t="s">
        <v>257</v>
      </c>
      <c r="B241" s="8" t="s">
        <v>272</v>
      </c>
      <c r="C241" s="8" t="s">
        <v>24</v>
      </c>
      <c r="D241" s="8" t="s">
        <v>276</v>
      </c>
      <c r="E241" s="9">
        <v>0</v>
      </c>
      <c r="F241" s="9">
        <v>549.92</v>
      </c>
      <c r="G241" s="10">
        <v>0</v>
      </c>
      <c r="H241" s="10">
        <v>16446.609259259258</v>
      </c>
      <c r="I241" s="11">
        <f>IFERROR(G241/H241, 0)</f>
      </c>
      <c r="J241" s="10">
        <v>0</v>
      </c>
      <c r="K241" s="10">
        <v>0</v>
      </c>
      <c r="L241" s="10">
        <v>0</v>
      </c>
      <c r="M241" s="12">
        <f>IFERROR(L241/K241, 0)</f>
      </c>
      <c r="N241" s="13">
        <f>IFERROR(J241/K241, 0)</f>
      </c>
      <c r="O241" s="10">
        <v>0</v>
      </c>
      <c r="P241" s="10">
        <v>0</v>
      </c>
      <c r="Q241" s="10">
        <v>180912.70185185186</v>
      </c>
      <c r="R241" s="11">
        <f>IFERROR(P241/Q241, 0)</f>
      </c>
      <c r="S241" s="10">
        <v>0</v>
      </c>
      <c r="T241" s="10">
        <v>2050632.4818518518</v>
      </c>
      <c r="U241" s="11">
        <f>IFERROR(S241/T241, 0)</f>
      </c>
      <c r="V241" s="10">
        <f>IFERROR(S241/E241, 0)</f>
      </c>
      <c r="W241" s="10">
        <f>IFERROR(T241/F241, 0)</f>
      </c>
      <c r="X241" s="11">
        <f>IFERROR(V241/W241, 0)</f>
      </c>
    </row>
    <row r="242" spans="1:24" x14ac:dyDescent="0.25">
      <c r="A242" s="8" t="s">
        <v>257</v>
      </c>
      <c r="B242" s="8" t="s">
        <v>272</v>
      </c>
      <c r="C242" s="8" t="s">
        <v>24</v>
      </c>
      <c r="D242" s="8" t="s">
        <v>277</v>
      </c>
      <c r="E242" s="9">
        <v>0</v>
      </c>
      <c r="F242" s="9">
        <v>10.35</v>
      </c>
      <c r="G242" s="10">
        <v>0</v>
      </c>
      <c r="H242" s="10">
        <v>309.41925925925926</v>
      </c>
      <c r="I242" s="11">
        <f>IFERROR(G242/H242, 0)</f>
      </c>
      <c r="J242" s="10">
        <v>0</v>
      </c>
      <c r="K242" s="10">
        <v>0</v>
      </c>
      <c r="L242" s="10">
        <v>0</v>
      </c>
      <c r="M242" s="12">
        <f>IFERROR(L242/K242, 0)</f>
      </c>
      <c r="N242" s="13">
        <f>IFERROR(J242/K242, 0)</f>
      </c>
      <c r="O242" s="10">
        <v>0</v>
      </c>
      <c r="P242" s="10">
        <v>0</v>
      </c>
      <c r="Q242" s="10">
        <v>3403.611851851852</v>
      </c>
      <c r="R242" s="11">
        <f>IFERROR(P242/Q242, 0)</f>
      </c>
      <c r="S242" s="10">
        <v>0</v>
      </c>
      <c r="T242" s="10">
        <v>38579.73185185185</v>
      </c>
      <c r="U242" s="11">
        <f>IFERROR(S242/T242, 0)</f>
      </c>
      <c r="V242" s="10">
        <f>IFERROR(S242/E242, 0)</f>
      </c>
      <c r="W242" s="10">
        <f>IFERROR(T242/F242, 0)</f>
      </c>
      <c r="X242" s="11">
        <f>IFERROR(V242/W242, 0)</f>
      </c>
    </row>
    <row r="243" spans="1:24" x14ac:dyDescent="0.25">
      <c r="A243" s="8" t="s">
        <v>257</v>
      </c>
      <c r="B243" s="8" t="s">
        <v>272</v>
      </c>
      <c r="C243" s="8" t="s">
        <v>24</v>
      </c>
      <c r="D243" s="8" t="s">
        <v>278</v>
      </c>
      <c r="E243" s="9">
        <v>188.94</v>
      </c>
      <c r="F243" s="9">
        <v>956.53</v>
      </c>
      <c r="G243" s="10">
        <v>0</v>
      </c>
      <c r="H243" s="10">
        <v>28607.392592592594</v>
      </c>
      <c r="I243" s="11">
        <f>IFERROR(G243/H243, 0)</f>
      </c>
      <c r="J243" s="10">
        <v>0</v>
      </c>
      <c r="K243" s="10">
        <v>0</v>
      </c>
      <c r="L243" s="10">
        <v>0</v>
      </c>
      <c r="M243" s="12">
        <f>IFERROR(L243/K243, 0)</f>
      </c>
      <c r="N243" s="13">
        <f>IFERROR(J243/K243, 0)</f>
      </c>
      <c r="O243" s="10">
        <v>0</v>
      </c>
      <c r="P243" s="10">
        <v>0</v>
      </c>
      <c r="Q243" s="10">
        <v>314681.3185185185</v>
      </c>
      <c r="R243" s="11">
        <f>IFERROR(P243/Q243, 0)</f>
      </c>
      <c r="S243" s="10">
        <v>722251</v>
      </c>
      <c r="T243" s="10">
        <v>3566890.1685185186</v>
      </c>
      <c r="U243" s="11">
        <f>IFERROR(S243/T243, 0)</f>
      </c>
      <c r="V243" s="10">
        <f>IFERROR(S243/E243, 0)</f>
      </c>
      <c r="W243" s="10">
        <f>IFERROR(T243/F243, 0)</f>
      </c>
      <c r="X243" s="11">
        <f>IFERROR(V243/W243, 0)</f>
      </c>
    </row>
    <row r="244" spans="1:24" x14ac:dyDescent="0.25">
      <c r="A244" s="8" t="s">
        <v>257</v>
      </c>
      <c r="B244" s="8" t="s">
        <v>272</v>
      </c>
      <c r="C244" s="8" t="s">
        <v>24</v>
      </c>
      <c r="D244" s="8" t="s">
        <v>279</v>
      </c>
      <c r="E244" s="9">
        <v>376.65</v>
      </c>
      <c r="F244" s="9">
        <v>437.32</v>
      </c>
      <c r="G244" s="10">
        <v>0</v>
      </c>
      <c r="H244" s="10">
        <v>13079.254074074073</v>
      </c>
      <c r="I244" s="11">
        <f>IFERROR(G244/H244, 0)</f>
      </c>
      <c r="J244" s="10">
        <v>0</v>
      </c>
      <c r="K244" s="10">
        <v>0</v>
      </c>
      <c r="L244" s="10">
        <v>0</v>
      </c>
      <c r="M244" s="12">
        <f>IFERROR(L244/K244, 0)</f>
      </c>
      <c r="N244" s="13">
        <f>IFERROR(J244/K244, 0)</f>
      </c>
      <c r="O244" s="10">
        <v>0</v>
      </c>
      <c r="P244" s="10">
        <v>4280</v>
      </c>
      <c r="Q244" s="10">
        <v>143871.7948148148</v>
      </c>
      <c r="R244" s="11">
        <f>IFERROR(P244/Q244, 0)</f>
      </c>
      <c r="S244" s="10">
        <v>638330</v>
      </c>
      <c r="T244" s="10">
        <v>1630776.4748148147</v>
      </c>
      <c r="U244" s="11">
        <f>IFERROR(S244/T244, 0)</f>
      </c>
      <c r="V244" s="10">
        <f>IFERROR(S244/E244, 0)</f>
      </c>
      <c r="W244" s="10">
        <f>IFERROR(T244/F244, 0)</f>
      </c>
      <c r="X244" s="11">
        <f>IFERROR(V244/W244, 0)</f>
      </c>
    </row>
    <row r="245" spans="1:24" x14ac:dyDescent="0.25">
      <c r="A245" s="8" t="s">
        <v>257</v>
      </c>
      <c r="B245" s="8" t="s">
        <v>272</v>
      </c>
      <c r="C245" s="8" t="s">
        <v>24</v>
      </c>
      <c r="D245" s="8" t="s">
        <v>280</v>
      </c>
      <c r="E245" s="9">
        <v>0</v>
      </c>
      <c r="F245" s="9">
        <v>0</v>
      </c>
      <c r="G245" s="10">
        <v>0</v>
      </c>
      <c r="H245" s="10">
        <v>0</v>
      </c>
      <c r="I245" s="11">
        <f>IFERROR(G245/H245, 0)</f>
      </c>
      <c r="J245" s="10">
        <v>0</v>
      </c>
      <c r="K245" s="10">
        <v>0</v>
      </c>
      <c r="L245" s="10">
        <v>0</v>
      </c>
      <c r="M245" s="12">
        <f>IFERROR(L245/K245, 0)</f>
      </c>
      <c r="N245" s="13">
        <f>IFERROR(J245/K245, 0)</f>
      </c>
      <c r="O245" s="10">
        <v>0</v>
      </c>
      <c r="P245" s="10">
        <v>0</v>
      </c>
      <c r="Q245" s="10">
        <v>0</v>
      </c>
      <c r="R245" s="11">
        <f>IFERROR(P245/Q245, 0)</f>
      </c>
      <c r="S245" s="10">
        <v>0</v>
      </c>
      <c r="T245" s="10">
        <v>0</v>
      </c>
      <c r="U245" s="11">
        <f>IFERROR(S245/T245, 0)</f>
      </c>
      <c r="V245" s="10">
        <f>IFERROR(S245/E245, 0)</f>
      </c>
      <c r="W245" s="10">
        <f>IFERROR(T245/F245, 0)</f>
      </c>
      <c r="X245" s="11">
        <f>IFERROR(V245/W245, 0)</f>
      </c>
    </row>
    <row r="246" spans="1:24" x14ac:dyDescent="0.25">
      <c r="A246" s="8" t="s">
        <v>257</v>
      </c>
      <c r="B246" s="8" t="s">
        <v>272</v>
      </c>
      <c r="C246" s="8" t="s">
        <v>24</v>
      </c>
      <c r="D246" s="8" t="s">
        <v>281</v>
      </c>
      <c r="E246" s="9">
        <v>0</v>
      </c>
      <c r="F246" s="9">
        <v>0</v>
      </c>
      <c r="G246" s="10">
        <v>0</v>
      </c>
      <c r="H246" s="10">
        <v>0</v>
      </c>
      <c r="I246" s="11">
        <f>IFERROR(G246/H246, 0)</f>
      </c>
      <c r="J246" s="10">
        <v>0</v>
      </c>
      <c r="K246" s="10">
        <v>0</v>
      </c>
      <c r="L246" s="10">
        <v>0</v>
      </c>
      <c r="M246" s="12">
        <f>IFERROR(L246/K246, 0)</f>
      </c>
      <c r="N246" s="13">
        <f>IFERROR(J246/K246, 0)</f>
      </c>
      <c r="O246" s="10">
        <v>0</v>
      </c>
      <c r="P246" s="10">
        <v>0</v>
      </c>
      <c r="Q246" s="10">
        <v>0</v>
      </c>
      <c r="R246" s="11">
        <f>IFERROR(P246/Q246, 0)</f>
      </c>
      <c r="S246" s="10">
        <v>0</v>
      </c>
      <c r="T246" s="10">
        <v>0</v>
      </c>
      <c r="U246" s="11">
        <f>IFERROR(S246/T246, 0)</f>
      </c>
      <c r="V246" s="10">
        <f>IFERROR(S246/E246, 0)</f>
      </c>
      <c r="W246" s="10">
        <f>IFERROR(T246/F246, 0)</f>
      </c>
      <c r="X246" s="11">
        <f>IFERROR(V246/W246, 0)</f>
      </c>
    </row>
    <row r="247" spans="1:24" x14ac:dyDescent="0.25">
      <c r="A247" s="8" t="s">
        <v>257</v>
      </c>
      <c r="B247" s="8" t="s">
        <v>272</v>
      </c>
      <c r="C247" s="8" t="s">
        <v>24</v>
      </c>
      <c r="D247" s="8" t="s">
        <v>282</v>
      </c>
      <c r="E247" s="9">
        <v>0</v>
      </c>
      <c r="F247" s="9">
        <v>0</v>
      </c>
      <c r="G247" s="10">
        <v>0</v>
      </c>
      <c r="H247" s="10">
        <v>0</v>
      </c>
      <c r="I247" s="11">
        <f>IFERROR(G247/H247, 0)</f>
      </c>
      <c r="J247" s="10">
        <v>0</v>
      </c>
      <c r="K247" s="10">
        <v>0</v>
      </c>
      <c r="L247" s="10">
        <v>0</v>
      </c>
      <c r="M247" s="12">
        <f>IFERROR(L247/K247, 0)</f>
      </c>
      <c r="N247" s="13">
        <f>IFERROR(J247/K247, 0)</f>
      </c>
      <c r="O247" s="10">
        <v>0</v>
      </c>
      <c r="P247" s="10">
        <v>0</v>
      </c>
      <c r="Q247" s="10">
        <v>0</v>
      </c>
      <c r="R247" s="11">
        <f>IFERROR(P247/Q247, 0)</f>
      </c>
      <c r="S247" s="10">
        <v>0</v>
      </c>
      <c r="T247" s="10">
        <v>0</v>
      </c>
      <c r="U247" s="11">
        <f>IFERROR(S247/T247, 0)</f>
      </c>
      <c r="V247" s="10">
        <f>IFERROR(S247/E247, 0)</f>
      </c>
      <c r="W247" s="10">
        <f>IFERROR(T247/F247, 0)</f>
      </c>
      <c r="X247" s="11">
        <f>IFERROR(V247/W247, 0)</f>
      </c>
    </row>
    <row r="248" spans="1:24" x14ac:dyDescent="0.25">
      <c r="A248" s="8" t="s">
        <v>257</v>
      </c>
      <c r="B248" s="8" t="s">
        <v>272</v>
      </c>
      <c r="C248" s="8" t="s">
        <v>24</v>
      </c>
      <c r="D248" s="8" t="s">
        <v>283</v>
      </c>
      <c r="E248" s="9">
        <v>0</v>
      </c>
      <c r="F248" s="9">
        <v>12.37</v>
      </c>
      <c r="G248" s="10">
        <v>0</v>
      </c>
      <c r="H248" s="10">
        <v>369.9240740740741</v>
      </c>
      <c r="I248" s="11">
        <f>IFERROR(G248/H248, 0)</f>
      </c>
      <c r="J248" s="10">
        <v>0</v>
      </c>
      <c r="K248" s="10">
        <v>0</v>
      </c>
      <c r="L248" s="10">
        <v>0</v>
      </c>
      <c r="M248" s="12">
        <f>IFERROR(L248/K248, 0)</f>
      </c>
      <c r="N248" s="13">
        <f>IFERROR(J248/K248, 0)</f>
      </c>
      <c r="O248" s="10">
        <v>0</v>
      </c>
      <c r="P248" s="10">
        <v>0</v>
      </c>
      <c r="Q248" s="10">
        <v>4069.1648148148147</v>
      </c>
      <c r="R248" s="11">
        <f>IFERROR(P248/Q248, 0)</f>
      </c>
      <c r="S248" s="10">
        <v>0</v>
      </c>
      <c r="T248" s="10">
        <v>46123.694814814815</v>
      </c>
      <c r="U248" s="11">
        <f>IFERROR(S248/T248, 0)</f>
      </c>
      <c r="V248" s="10">
        <f>IFERROR(S248/E248, 0)</f>
      </c>
      <c r="W248" s="10">
        <f>IFERROR(T248/F248, 0)</f>
      </c>
      <c r="X248" s="11">
        <f>IFERROR(V248/W248, 0)</f>
      </c>
    </row>
    <row r="249" spans="1:24" x14ac:dyDescent="0.25">
      <c r="A249" s="8" t="s">
        <v>257</v>
      </c>
      <c r="B249" s="8" t="s">
        <v>272</v>
      </c>
      <c r="C249" s="8" t="s">
        <v>24</v>
      </c>
      <c r="D249" s="8" t="s">
        <v>284</v>
      </c>
      <c r="E249" s="9">
        <v>0</v>
      </c>
      <c r="F249" s="9">
        <v>0</v>
      </c>
      <c r="G249" s="10">
        <v>0</v>
      </c>
      <c r="H249" s="10">
        <v>0</v>
      </c>
      <c r="I249" s="11">
        <f>IFERROR(G249/H249, 0)</f>
      </c>
      <c r="J249" s="10">
        <v>0</v>
      </c>
      <c r="K249" s="10">
        <v>0</v>
      </c>
      <c r="L249" s="10">
        <v>0</v>
      </c>
      <c r="M249" s="12">
        <f>IFERROR(L249/K249, 0)</f>
      </c>
      <c r="N249" s="13">
        <f>IFERROR(J249/K249, 0)</f>
      </c>
      <c r="O249" s="10">
        <v>0</v>
      </c>
      <c r="P249" s="10">
        <v>0</v>
      </c>
      <c r="Q249" s="10">
        <v>0</v>
      </c>
      <c r="R249" s="11">
        <f>IFERROR(P249/Q249, 0)</f>
      </c>
      <c r="S249" s="10">
        <v>0</v>
      </c>
      <c r="T249" s="10">
        <v>0</v>
      </c>
      <c r="U249" s="11">
        <f>IFERROR(S249/T249, 0)</f>
      </c>
      <c r="V249" s="10">
        <f>IFERROR(S249/E249, 0)</f>
      </c>
      <c r="W249" s="10">
        <f>IFERROR(T249/F249, 0)</f>
      </c>
      <c r="X249" s="11">
        <f>IFERROR(V249/W249, 0)</f>
      </c>
    </row>
    <row r="250" spans="1:24" x14ac:dyDescent="0.25">
      <c r="A250" s="8" t="s">
        <v>257</v>
      </c>
      <c r="B250" s="8" t="s">
        <v>272</v>
      </c>
      <c r="C250" s="8" t="s">
        <v>24</v>
      </c>
      <c r="D250" s="8" t="s">
        <v>285</v>
      </c>
      <c r="E250" s="9">
        <v>0</v>
      </c>
      <c r="F250" s="9">
        <v>0</v>
      </c>
      <c r="G250" s="10">
        <v>0</v>
      </c>
      <c r="H250" s="10">
        <v>0</v>
      </c>
      <c r="I250" s="11">
        <f>IFERROR(G250/H250, 0)</f>
      </c>
      <c r="J250" s="10">
        <v>0</v>
      </c>
      <c r="K250" s="10">
        <v>0</v>
      </c>
      <c r="L250" s="10">
        <v>0</v>
      </c>
      <c r="M250" s="12">
        <f>IFERROR(L250/K250, 0)</f>
      </c>
      <c r="N250" s="13">
        <f>IFERROR(J250/K250, 0)</f>
      </c>
      <c r="O250" s="10">
        <v>0</v>
      </c>
      <c r="P250" s="10">
        <v>0</v>
      </c>
      <c r="Q250" s="10">
        <v>0</v>
      </c>
      <c r="R250" s="11">
        <f>IFERROR(P250/Q250, 0)</f>
      </c>
      <c r="S250" s="10">
        <v>0</v>
      </c>
      <c r="T250" s="10">
        <v>0</v>
      </c>
      <c r="U250" s="11">
        <f>IFERROR(S250/T250, 0)</f>
      </c>
      <c r="V250" s="10">
        <f>IFERROR(S250/E250, 0)</f>
      </c>
      <c r="W250" s="10">
        <f>IFERROR(T250/F250, 0)</f>
      </c>
      <c r="X250" s="11">
        <f>IFERROR(V250/W250, 0)</f>
      </c>
    </row>
    <row r="251" spans="1:24" x14ac:dyDescent="0.25">
      <c r="A251" s="8" t="s">
        <v>257</v>
      </c>
      <c r="B251" s="8" t="s">
        <v>272</v>
      </c>
      <c r="C251" s="8" t="s">
        <v>24</v>
      </c>
      <c r="D251" s="8" t="s">
        <v>286</v>
      </c>
      <c r="E251" s="9">
        <v>0</v>
      </c>
      <c r="F251" s="9">
        <v>0</v>
      </c>
      <c r="G251" s="10">
        <v>0</v>
      </c>
      <c r="H251" s="10">
        <v>0</v>
      </c>
      <c r="I251" s="11">
        <f>IFERROR(G251/H251, 0)</f>
      </c>
      <c r="J251" s="10">
        <v>0</v>
      </c>
      <c r="K251" s="10">
        <v>0</v>
      </c>
      <c r="L251" s="10">
        <v>0</v>
      </c>
      <c r="M251" s="12">
        <f>IFERROR(L251/K251, 0)</f>
      </c>
      <c r="N251" s="13">
        <f>IFERROR(J251/K251, 0)</f>
      </c>
      <c r="O251" s="10">
        <v>0</v>
      </c>
      <c r="P251" s="10">
        <v>0</v>
      </c>
      <c r="Q251" s="10">
        <v>0</v>
      </c>
      <c r="R251" s="11">
        <f>IFERROR(P251/Q251, 0)</f>
      </c>
      <c r="S251" s="10">
        <v>0</v>
      </c>
      <c r="T251" s="10">
        <v>0</v>
      </c>
      <c r="U251" s="11">
        <f>IFERROR(S251/T251, 0)</f>
      </c>
      <c r="V251" s="10">
        <f>IFERROR(S251/E251, 0)</f>
      </c>
      <c r="W251" s="10">
        <f>IFERROR(T251/F251, 0)</f>
      </c>
      <c r="X251" s="11">
        <f>IFERROR(V251/W251, 0)</f>
      </c>
    </row>
    <row r="252" spans="1:24" x14ac:dyDescent="0.25">
      <c r="A252" s="8" t="s">
        <v>257</v>
      </c>
      <c r="B252" s="8" t="s">
        <v>272</v>
      </c>
      <c r="C252" s="8" t="s">
        <v>24</v>
      </c>
      <c r="D252" s="8" t="s">
        <v>287</v>
      </c>
      <c r="E252" s="9">
        <v>0</v>
      </c>
      <c r="F252" s="9">
        <v>10.63</v>
      </c>
      <c r="G252" s="10">
        <v>0</v>
      </c>
      <c r="H252" s="10">
        <v>317.8722222222222</v>
      </c>
      <c r="I252" s="11">
        <f>IFERROR(G252/H252, 0)</f>
      </c>
      <c r="J252" s="10">
        <v>0</v>
      </c>
      <c r="K252" s="10">
        <v>0</v>
      </c>
      <c r="L252" s="10">
        <v>0</v>
      </c>
      <c r="M252" s="12">
        <f>IFERROR(L252/K252, 0)</f>
      </c>
      <c r="N252" s="13">
        <f>IFERROR(J252/K252, 0)</f>
      </c>
      <c r="O252" s="10">
        <v>0</v>
      </c>
      <c r="P252" s="10">
        <v>0</v>
      </c>
      <c r="Q252" s="10">
        <v>3496.5944444444444</v>
      </c>
      <c r="R252" s="11">
        <f>IFERROR(P252/Q252, 0)</f>
      </c>
      <c r="S252" s="10">
        <v>0</v>
      </c>
      <c r="T252" s="10">
        <v>39633.66444444445</v>
      </c>
      <c r="U252" s="11">
        <f>IFERROR(S252/T252, 0)</f>
      </c>
      <c r="V252" s="10">
        <f>IFERROR(S252/E252, 0)</f>
      </c>
      <c r="W252" s="10">
        <f>IFERROR(T252/F252, 0)</f>
      </c>
      <c r="X252" s="11">
        <f>IFERROR(V252/W252, 0)</f>
      </c>
    </row>
    <row r="253" spans="1:24" x14ac:dyDescent="0.25">
      <c r="A253" s="8" t="s">
        <v>257</v>
      </c>
      <c r="B253" s="8" t="s">
        <v>272</v>
      </c>
      <c r="C253" s="8" t="s">
        <v>24</v>
      </c>
      <c r="D253" s="8" t="s">
        <v>288</v>
      </c>
      <c r="E253" s="9">
        <v>0</v>
      </c>
      <c r="F253" s="9">
        <v>8.39</v>
      </c>
      <c r="G253" s="10">
        <v>0</v>
      </c>
      <c r="H253" s="10">
        <v>250.91666666666666</v>
      </c>
      <c r="I253" s="11">
        <f>IFERROR(G253/H253, 0)</f>
      </c>
      <c r="J253" s="10">
        <v>0</v>
      </c>
      <c r="K253" s="10">
        <v>0</v>
      </c>
      <c r="L253" s="10">
        <v>0</v>
      </c>
      <c r="M253" s="12">
        <f>IFERROR(L253/K253, 0)</f>
      </c>
      <c r="N253" s="13">
        <f>IFERROR(J253/K253, 0)</f>
      </c>
      <c r="O253" s="10">
        <v>0</v>
      </c>
      <c r="P253" s="10">
        <v>0</v>
      </c>
      <c r="Q253" s="10">
        <v>2760.0833333333335</v>
      </c>
      <c r="R253" s="11">
        <f>IFERROR(P253/Q253, 0)</f>
      </c>
      <c r="S253" s="10">
        <v>0</v>
      </c>
      <c r="T253" s="10">
        <v>31285.353333333333</v>
      </c>
      <c r="U253" s="11">
        <f>IFERROR(S253/T253, 0)</f>
      </c>
      <c r="V253" s="10">
        <f>IFERROR(S253/E253, 0)</f>
      </c>
      <c r="W253" s="10">
        <f>IFERROR(T253/F253, 0)</f>
      </c>
      <c r="X253" s="11">
        <f>IFERROR(V253/W253, 0)</f>
      </c>
    </row>
    <row r="254" spans="1:24" x14ac:dyDescent="0.25">
      <c r="A254" s="14" t="s">
        <v>289</v>
      </c>
      <c r="B254" s="14"/>
      <c r="C254" s="14"/>
      <c r="D254" s="14"/>
      <c r="E254" s="15">
        <f>SUM(E238:E253)</f>
      </c>
      <c r="F254" s="15">
        <f>SUM(F238:F253)</f>
      </c>
      <c r="G254" s="16">
        <f>SUM(G238:G253)</f>
      </c>
      <c r="H254" s="16">
        <f>SUM(H238:H253)</f>
      </c>
      <c r="I254" s="17">
        <f>IFERROR(G254/H254, 0)</f>
      </c>
      <c r="J254" s="16">
        <f>SUM(J238:J253)</f>
      </c>
      <c r="K254" s="16">
        <f>SUM(K238:K253)</f>
      </c>
      <c r="L254" s="16">
        <f>SUM(L238:L253)</f>
      </c>
      <c r="M254" s="18">
        <f>IFERROR(L254/K254, 0)</f>
      </c>
      <c r="N254" s="19">
        <f>IFERROR(J254/K254, 0)</f>
      </c>
      <c r="O254" s="16">
        <f>SUM(O238:O253)</f>
      </c>
      <c r="P254" s="16">
        <f>SUM(P238:P253)</f>
      </c>
      <c r="Q254" s="16">
        <f>SUM(Q238:Q253)</f>
      </c>
      <c r="R254" s="17">
        <f>IFERROR(P254/Q254, 0)</f>
      </c>
      <c r="S254" s="16">
        <f>SUM(S238:S253)</f>
      </c>
      <c r="T254" s="16">
        <f>SUM(T238:T253)</f>
      </c>
      <c r="U254" s="17">
        <f>IFERROR(S254/T254, 0)</f>
      </c>
      <c r="V254" s="16">
        <f>IFERROR(S254/E254, 0)</f>
      </c>
      <c r="W254" s="16">
        <f>IFERROR(T254/F254, 0)</f>
      </c>
      <c r="X254" s="17">
        <f>IFERROR(V254/W254, 0)</f>
      </c>
    </row>
    <row r="255" spans="1:24" x14ac:dyDescent="0.25">
      <c r="A255" s="8" t="s">
        <v>257</v>
      </c>
      <c r="B255" s="8" t="s">
        <v>290</v>
      </c>
      <c r="C255" s="8" t="s">
        <v>24</v>
      </c>
      <c r="D255" s="8" t="s">
        <v>291</v>
      </c>
      <c r="E255" s="9">
        <v>1254.67</v>
      </c>
      <c r="F255" s="9">
        <v>966.95</v>
      </c>
      <c r="G255" s="10">
        <v>43238</v>
      </c>
      <c r="H255" s="10">
        <v>28919.036296296297</v>
      </c>
      <c r="I255" s="11">
        <f>IFERROR(G255/H255, 0)</f>
      </c>
      <c r="J255" s="10">
        <v>96.74</v>
      </c>
      <c r="K255" s="10">
        <v>35</v>
      </c>
      <c r="L255" s="10">
        <v>65425</v>
      </c>
      <c r="M255" s="12">
        <f>IFERROR(L255/K255, 0)</f>
      </c>
      <c r="N255" s="13">
        <f>IFERROR(J255/K255, 0)</f>
      </c>
      <c r="O255" s="10">
        <v>63813</v>
      </c>
      <c r="P255" s="10">
        <v>375110</v>
      </c>
      <c r="Q255" s="10">
        <v>318109.3992592593</v>
      </c>
      <c r="R255" s="11">
        <f>IFERROR(P255/Q255, 0)</f>
      </c>
      <c r="S255" s="10">
        <v>4672565</v>
      </c>
      <c r="T255" s="10">
        <v>3605747.2192592593</v>
      </c>
      <c r="U255" s="11">
        <f>IFERROR(S255/T255, 0)</f>
      </c>
      <c r="V255" s="10">
        <f>IFERROR(S255/E255, 0)</f>
      </c>
      <c r="W255" s="10">
        <f>IFERROR(T255/F255, 0)</f>
      </c>
      <c r="X255" s="11">
        <f>IFERROR(V255/W255, 0)</f>
      </c>
    </row>
    <row r="256" spans="1:24" x14ac:dyDescent="0.25">
      <c r="A256" s="8" t="s">
        <v>257</v>
      </c>
      <c r="B256" s="8" t="s">
        <v>290</v>
      </c>
      <c r="C256" s="8" t="s">
        <v>24</v>
      </c>
      <c r="D256" s="8" t="s">
        <v>292</v>
      </c>
      <c r="E256" s="9">
        <v>0</v>
      </c>
      <c r="F256" s="9">
        <v>3416.58</v>
      </c>
      <c r="G256" s="10">
        <v>0</v>
      </c>
      <c r="H256" s="10">
        <v>102180.92148148148</v>
      </c>
      <c r="I256" s="11">
        <f>IFERROR(G256/H256, 0)</f>
      </c>
      <c r="J256" s="10">
        <v>0</v>
      </c>
      <c r="K256" s="10">
        <v>0</v>
      </c>
      <c r="L256" s="10">
        <v>0</v>
      </c>
      <c r="M256" s="12">
        <f>IFERROR(L256/K256, 0)</f>
      </c>
      <c r="N256" s="13">
        <f>IFERROR(J256/K256, 0)</f>
      </c>
      <c r="O256" s="10">
        <v>0</v>
      </c>
      <c r="P256" s="10">
        <v>0</v>
      </c>
      <c r="Q256" s="10">
        <v>1123990.1362962963</v>
      </c>
      <c r="R256" s="11">
        <f>IFERROR(P256/Q256, 0)</f>
      </c>
      <c r="S256" s="10">
        <v>0</v>
      </c>
      <c r="T256" s="10">
        <v>12740347.536296297</v>
      </c>
      <c r="U256" s="11">
        <f>IFERROR(S256/T256, 0)</f>
      </c>
      <c r="V256" s="10">
        <f>IFERROR(S256/E256, 0)</f>
      </c>
      <c r="W256" s="10">
        <f>IFERROR(T256/F256, 0)</f>
      </c>
      <c r="X256" s="11">
        <f>IFERROR(V256/W256, 0)</f>
      </c>
    </row>
    <row r="257" spans="1:24" x14ac:dyDescent="0.25">
      <c r="A257" s="8" t="s">
        <v>257</v>
      </c>
      <c r="B257" s="8" t="s">
        <v>290</v>
      </c>
      <c r="C257" s="8" t="s">
        <v>24</v>
      </c>
      <c r="D257" s="8" t="s">
        <v>293</v>
      </c>
      <c r="E257" s="9">
        <v>112.26</v>
      </c>
      <c r="F257" s="9">
        <v>85.38</v>
      </c>
      <c r="G257" s="10">
        <v>0</v>
      </c>
      <c r="H257" s="10">
        <v>2553.432962962963</v>
      </c>
      <c r="I257" s="11">
        <f>IFERROR(G257/H257, 0)</f>
      </c>
      <c r="J257" s="10">
        <v>0</v>
      </c>
      <c r="K257" s="10">
        <v>0</v>
      </c>
      <c r="L257" s="10">
        <v>0</v>
      </c>
      <c r="M257" s="12">
        <f>IFERROR(L257/K257, 0)</f>
      </c>
      <c r="N257" s="13">
        <f>IFERROR(J257/K257, 0)</f>
      </c>
      <c r="O257" s="10">
        <v>0</v>
      </c>
      <c r="P257" s="10">
        <v>35352</v>
      </c>
      <c r="Q257" s="10">
        <v>28087.762592592593</v>
      </c>
      <c r="R257" s="11">
        <f>IFERROR(P257/Q257, 0)</f>
      </c>
      <c r="S257" s="10">
        <v>625583</v>
      </c>
      <c r="T257" s="10">
        <v>318372.7825925926</v>
      </c>
      <c r="U257" s="11">
        <f>IFERROR(S257/T257, 0)</f>
      </c>
      <c r="V257" s="10">
        <f>IFERROR(S257/E257, 0)</f>
      </c>
      <c r="W257" s="10">
        <f>IFERROR(T257/F257, 0)</f>
      </c>
      <c r="X257" s="11">
        <f>IFERROR(V257/W257, 0)</f>
      </c>
    </row>
    <row r="258" spans="1:24" x14ac:dyDescent="0.25">
      <c r="A258" s="8" t="s">
        <v>257</v>
      </c>
      <c r="B258" s="8" t="s">
        <v>290</v>
      </c>
      <c r="C258" s="8" t="s">
        <v>24</v>
      </c>
      <c r="D258" s="8" t="s">
        <v>294</v>
      </c>
      <c r="E258" s="9">
        <v>566.8</v>
      </c>
      <c r="F258" s="9">
        <v>442.49</v>
      </c>
      <c r="G258" s="10">
        <v>6770</v>
      </c>
      <c r="H258" s="10">
        <v>13233.852592592593</v>
      </c>
      <c r="I258" s="11">
        <f>IFERROR(G258/H258, 0)</f>
      </c>
      <c r="J258" s="10">
        <v>22</v>
      </c>
      <c r="K258" s="10">
        <v>11</v>
      </c>
      <c r="L258" s="10">
        <v>7280</v>
      </c>
      <c r="M258" s="12">
        <f>IFERROR(L258/K258, 0)</f>
      </c>
      <c r="N258" s="13">
        <f>IFERROR(J258/K258, 0)</f>
      </c>
      <c r="O258" s="10">
        <v>14320</v>
      </c>
      <c r="P258" s="10">
        <v>127340</v>
      </c>
      <c r="Q258" s="10">
        <v>145572.37851851853</v>
      </c>
      <c r="R258" s="11">
        <f>IFERROR(P258/Q258, 0)</f>
      </c>
      <c r="S258" s="10">
        <v>2389753</v>
      </c>
      <c r="T258" s="10">
        <v>1650052.4385185186</v>
      </c>
      <c r="U258" s="11">
        <f>IFERROR(S258/T258, 0)</f>
      </c>
      <c r="V258" s="10">
        <f>IFERROR(S258/E258, 0)</f>
      </c>
      <c r="W258" s="10">
        <f>IFERROR(T258/F258, 0)</f>
      </c>
      <c r="X258" s="11">
        <f>IFERROR(V258/W258, 0)</f>
      </c>
    </row>
    <row r="259" spans="1:24" x14ac:dyDescent="0.25">
      <c r="A259" s="8" t="s">
        <v>257</v>
      </c>
      <c r="B259" s="8" t="s">
        <v>290</v>
      </c>
      <c r="C259" s="8" t="s">
        <v>24</v>
      </c>
      <c r="D259" s="8" t="s">
        <v>295</v>
      </c>
      <c r="E259" s="9">
        <v>807.92</v>
      </c>
      <c r="F259" s="9">
        <v>623.21</v>
      </c>
      <c r="G259" s="10">
        <v>55720</v>
      </c>
      <c r="H259" s="10">
        <v>18638.571111111112</v>
      </c>
      <c r="I259" s="11">
        <f>IFERROR(G259/H259, 0)</f>
      </c>
      <c r="J259" s="10">
        <v>105.284</v>
      </c>
      <c r="K259" s="10">
        <v>26</v>
      </c>
      <c r="L259" s="10">
        <v>44035</v>
      </c>
      <c r="M259" s="12">
        <f>IFERROR(L259/K259, 0)</f>
      </c>
      <c r="N259" s="13">
        <f>IFERROR(J259/K259, 0)</f>
      </c>
      <c r="O259" s="10">
        <v>77928</v>
      </c>
      <c r="P259" s="10">
        <v>659410</v>
      </c>
      <c r="Q259" s="10">
        <v>205024.28222222222</v>
      </c>
      <c r="R259" s="11">
        <f>IFERROR(P259/Q259, 0)</f>
      </c>
      <c r="S259" s="10">
        <v>9172470</v>
      </c>
      <c r="T259" s="10">
        <v>2323935.512222222</v>
      </c>
      <c r="U259" s="11">
        <f>IFERROR(S259/T259, 0)</f>
      </c>
      <c r="V259" s="10">
        <f>IFERROR(S259/E259, 0)</f>
      </c>
      <c r="W259" s="10">
        <f>IFERROR(T259/F259, 0)</f>
      </c>
      <c r="X259" s="11">
        <f>IFERROR(V259/W259, 0)</f>
      </c>
    </row>
    <row r="260" spans="1:24" x14ac:dyDescent="0.25">
      <c r="A260" s="14" t="s">
        <v>296</v>
      </c>
      <c r="B260" s="14"/>
      <c r="C260" s="14"/>
      <c r="D260" s="14"/>
      <c r="E260" s="15">
        <f>SUM(E255:E259)</f>
      </c>
      <c r="F260" s="15">
        <f>SUM(F255:F259)</f>
      </c>
      <c r="G260" s="16">
        <f>SUM(G255:G259)</f>
      </c>
      <c r="H260" s="16">
        <f>SUM(H255:H259)</f>
      </c>
      <c r="I260" s="17">
        <f>IFERROR(G260/H260, 0)</f>
      </c>
      <c r="J260" s="16">
        <f>SUM(J255:J259)</f>
      </c>
      <c r="K260" s="16">
        <f>SUM(K255:K259)</f>
      </c>
      <c r="L260" s="16">
        <f>SUM(L255:L259)</f>
      </c>
      <c r="M260" s="18">
        <f>IFERROR(L260/K260, 0)</f>
      </c>
      <c r="N260" s="19">
        <f>IFERROR(J260/K260, 0)</f>
      </c>
      <c r="O260" s="16">
        <f>SUM(O255:O259)</f>
      </c>
      <c r="P260" s="16">
        <f>SUM(P255:P259)</f>
      </c>
      <c r="Q260" s="16">
        <f>SUM(Q255:Q259)</f>
      </c>
      <c r="R260" s="17">
        <f>IFERROR(P260/Q260, 0)</f>
      </c>
      <c r="S260" s="16">
        <f>SUM(S255:S259)</f>
      </c>
      <c r="T260" s="16">
        <f>SUM(T255:T259)</f>
      </c>
      <c r="U260" s="17">
        <f>IFERROR(S260/T260, 0)</f>
      </c>
      <c r="V260" s="16">
        <f>IFERROR(S260/E260, 0)</f>
      </c>
      <c r="W260" s="16">
        <f>IFERROR(T260/F260, 0)</f>
      </c>
      <c r="X260" s="17">
        <f>IFERROR(V260/W260, 0)</f>
      </c>
    </row>
    <row r="261" spans="1:24" x14ac:dyDescent="0.25">
      <c r="A261" s="8" t="s">
        <v>257</v>
      </c>
      <c r="B261" s="8" t="s">
        <v>297</v>
      </c>
      <c r="C261" s="8" t="s">
        <v>24</v>
      </c>
      <c r="D261" s="8" t="s">
        <v>298</v>
      </c>
      <c r="E261" s="9">
        <v>0</v>
      </c>
      <c r="F261" s="9">
        <v>0</v>
      </c>
      <c r="G261" s="10">
        <v>0</v>
      </c>
      <c r="H261" s="10">
        <v>0</v>
      </c>
      <c r="I261" s="11">
        <f>IFERROR(G261/H261, 0)</f>
      </c>
      <c r="J261" s="10">
        <v>0</v>
      </c>
      <c r="K261" s="10">
        <v>0</v>
      </c>
      <c r="L261" s="10">
        <v>0</v>
      </c>
      <c r="M261" s="12">
        <f>IFERROR(L261/K261, 0)</f>
      </c>
      <c r="N261" s="13">
        <f>IFERROR(J261/K261, 0)</f>
      </c>
      <c r="O261" s="10">
        <v>0</v>
      </c>
      <c r="P261" s="10">
        <v>0</v>
      </c>
      <c r="Q261" s="10">
        <v>0</v>
      </c>
      <c r="R261" s="11">
        <f>IFERROR(P261/Q261, 0)</f>
      </c>
      <c r="S261" s="10">
        <v>0</v>
      </c>
      <c r="T261" s="10">
        <v>0</v>
      </c>
      <c r="U261" s="11">
        <f>IFERROR(S261/T261, 0)</f>
      </c>
      <c r="V261" s="10">
        <f>IFERROR(S261/E261, 0)</f>
      </c>
      <c r="W261" s="10">
        <f>IFERROR(T261/F261, 0)</f>
      </c>
      <c r="X261" s="11">
        <f>IFERROR(V261/W261, 0)</f>
      </c>
    </row>
    <row r="262" spans="1:24" x14ac:dyDescent="0.25">
      <c r="A262" s="8" t="s">
        <v>257</v>
      </c>
      <c r="B262" s="8" t="s">
        <v>297</v>
      </c>
      <c r="C262" s="8" t="s">
        <v>24</v>
      </c>
      <c r="D262" s="8" t="s">
        <v>299</v>
      </c>
      <c r="E262" s="9">
        <v>86.49</v>
      </c>
      <c r="F262" s="9">
        <v>0</v>
      </c>
      <c r="G262" s="10">
        <v>0</v>
      </c>
      <c r="H262" s="10">
        <v>0</v>
      </c>
      <c r="I262" s="11">
        <f>IFERROR(G262/H262, 0)</f>
      </c>
      <c r="J262" s="10">
        <v>0</v>
      </c>
      <c r="K262" s="10">
        <v>0</v>
      </c>
      <c r="L262" s="10">
        <v>0</v>
      </c>
      <c r="M262" s="12">
        <f>IFERROR(L262/K262, 0)</f>
      </c>
      <c r="N262" s="13">
        <f>IFERROR(J262/K262, 0)</f>
      </c>
      <c r="O262" s="10">
        <v>0</v>
      </c>
      <c r="P262" s="10">
        <v>0</v>
      </c>
      <c r="Q262" s="10">
        <v>0</v>
      </c>
      <c r="R262" s="11">
        <f>IFERROR(P262/Q262, 0)</f>
      </c>
      <c r="S262" s="10">
        <v>0</v>
      </c>
      <c r="T262" s="10">
        <v>0</v>
      </c>
      <c r="U262" s="11">
        <f>IFERROR(S262/T262, 0)</f>
      </c>
      <c r="V262" s="10">
        <f>IFERROR(S262/E262, 0)</f>
      </c>
      <c r="W262" s="10">
        <f>IFERROR(T262/F262, 0)</f>
      </c>
      <c r="X262" s="11">
        <f>IFERROR(V262/W262, 0)</f>
      </c>
    </row>
    <row r="263" spans="1:24" x14ac:dyDescent="0.25">
      <c r="A263" s="8" t="s">
        <v>257</v>
      </c>
      <c r="B263" s="8" t="s">
        <v>297</v>
      </c>
      <c r="C263" s="8" t="s">
        <v>24</v>
      </c>
      <c r="D263" s="8" t="s">
        <v>300</v>
      </c>
      <c r="E263" s="9">
        <v>0</v>
      </c>
      <c r="F263" s="9">
        <v>0</v>
      </c>
      <c r="G263" s="10">
        <v>0</v>
      </c>
      <c r="H263" s="10">
        <v>0</v>
      </c>
      <c r="I263" s="11">
        <f>IFERROR(G263/H263, 0)</f>
      </c>
      <c r="J263" s="10">
        <v>0</v>
      </c>
      <c r="K263" s="10">
        <v>0</v>
      </c>
      <c r="L263" s="10">
        <v>0</v>
      </c>
      <c r="M263" s="12">
        <f>IFERROR(L263/K263, 0)</f>
      </c>
      <c r="N263" s="13">
        <f>IFERROR(J263/K263, 0)</f>
      </c>
      <c r="O263" s="10">
        <v>0</v>
      </c>
      <c r="P263" s="10">
        <v>0</v>
      </c>
      <c r="Q263" s="10">
        <v>0</v>
      </c>
      <c r="R263" s="11">
        <f>IFERROR(P263/Q263, 0)</f>
      </c>
      <c r="S263" s="10">
        <v>0</v>
      </c>
      <c r="T263" s="10">
        <v>0</v>
      </c>
      <c r="U263" s="11">
        <f>IFERROR(S263/T263, 0)</f>
      </c>
      <c r="V263" s="10">
        <f>IFERROR(S263/E263, 0)</f>
      </c>
      <c r="W263" s="10">
        <f>IFERROR(T263/F263, 0)</f>
      </c>
      <c r="X263" s="11">
        <f>IFERROR(V263/W263, 0)</f>
      </c>
    </row>
    <row r="264" spans="1:24" x14ac:dyDescent="0.25">
      <c r="A264" s="8" t="s">
        <v>257</v>
      </c>
      <c r="B264" s="8" t="s">
        <v>297</v>
      </c>
      <c r="C264" s="8" t="s">
        <v>24</v>
      </c>
      <c r="D264" s="8" t="s">
        <v>301</v>
      </c>
      <c r="E264" s="9">
        <v>0</v>
      </c>
      <c r="F264" s="9">
        <v>0</v>
      </c>
      <c r="G264" s="10">
        <v>0</v>
      </c>
      <c r="H264" s="10">
        <v>0</v>
      </c>
      <c r="I264" s="11">
        <f>IFERROR(G264/H264, 0)</f>
      </c>
      <c r="J264" s="10">
        <v>0</v>
      </c>
      <c r="K264" s="10">
        <v>0</v>
      </c>
      <c r="L264" s="10">
        <v>0</v>
      </c>
      <c r="M264" s="12">
        <f>IFERROR(L264/K264, 0)</f>
      </c>
      <c r="N264" s="13">
        <f>IFERROR(J264/K264, 0)</f>
      </c>
      <c r="O264" s="10">
        <v>0</v>
      </c>
      <c r="P264" s="10">
        <v>0</v>
      </c>
      <c r="Q264" s="10">
        <v>0</v>
      </c>
      <c r="R264" s="11">
        <f>IFERROR(P264/Q264, 0)</f>
      </c>
      <c r="S264" s="10">
        <v>0</v>
      </c>
      <c r="T264" s="10">
        <v>0</v>
      </c>
      <c r="U264" s="11">
        <f>IFERROR(S264/T264, 0)</f>
      </c>
      <c r="V264" s="10">
        <f>IFERROR(S264/E264, 0)</f>
      </c>
      <c r="W264" s="10">
        <f>IFERROR(T264/F264, 0)</f>
      </c>
      <c r="X264" s="11">
        <f>IFERROR(V264/W264, 0)</f>
      </c>
    </row>
    <row r="265" spans="1:24" x14ac:dyDescent="0.25">
      <c r="A265" s="8" t="s">
        <v>257</v>
      </c>
      <c r="B265" s="8" t="s">
        <v>297</v>
      </c>
      <c r="C265" s="8" t="s">
        <v>24</v>
      </c>
      <c r="D265" s="8" t="s">
        <v>302</v>
      </c>
      <c r="E265" s="9">
        <v>62.13</v>
      </c>
      <c r="F265" s="9">
        <v>0</v>
      </c>
      <c r="G265" s="10">
        <v>0</v>
      </c>
      <c r="H265" s="10">
        <v>0</v>
      </c>
      <c r="I265" s="11">
        <f>IFERROR(G265/H265, 0)</f>
      </c>
      <c r="J265" s="10">
        <v>0</v>
      </c>
      <c r="K265" s="10">
        <v>0</v>
      </c>
      <c r="L265" s="10">
        <v>0</v>
      </c>
      <c r="M265" s="12">
        <f>IFERROR(L265/K265, 0)</f>
      </c>
      <c r="N265" s="13">
        <f>IFERROR(J265/K265, 0)</f>
      </c>
      <c r="O265" s="10">
        <v>0</v>
      </c>
      <c r="P265" s="10">
        <v>0</v>
      </c>
      <c r="Q265" s="10">
        <v>0</v>
      </c>
      <c r="R265" s="11">
        <f>IFERROR(P265/Q265, 0)</f>
      </c>
      <c r="S265" s="10">
        <v>0</v>
      </c>
      <c r="T265" s="10">
        <v>0</v>
      </c>
      <c r="U265" s="11">
        <f>IFERROR(S265/T265, 0)</f>
      </c>
      <c r="V265" s="10">
        <f>IFERROR(S265/E265, 0)</f>
      </c>
      <c r="W265" s="10">
        <f>IFERROR(T265/F265, 0)</f>
      </c>
      <c r="X265" s="11">
        <f>IFERROR(V265/W265, 0)</f>
      </c>
    </row>
    <row r="266" spans="1:24" x14ac:dyDescent="0.25">
      <c r="A266" s="8" t="s">
        <v>257</v>
      </c>
      <c r="B266" s="8" t="s">
        <v>297</v>
      </c>
      <c r="C266" s="8" t="s">
        <v>24</v>
      </c>
      <c r="D266" s="8" t="s">
        <v>303</v>
      </c>
      <c r="E266" s="9">
        <v>3901.41</v>
      </c>
      <c r="F266" s="9">
        <v>3282.09</v>
      </c>
      <c r="G266" s="10">
        <v>36212</v>
      </c>
      <c r="H266" s="10">
        <v>98158.91407407407</v>
      </c>
      <c r="I266" s="11">
        <f>IFERROR(G266/H266, 0)</f>
      </c>
      <c r="J266" s="10">
        <v>118</v>
      </c>
      <c r="K266" s="10">
        <v>48</v>
      </c>
      <c r="L266" s="10">
        <v>58693</v>
      </c>
      <c r="M266" s="12">
        <f>IFERROR(L266/K266, 0)</f>
      </c>
      <c r="N266" s="13">
        <f>IFERROR(J266/K266, 0)</f>
      </c>
      <c r="O266" s="10">
        <v>35692</v>
      </c>
      <c r="P266" s="10">
        <v>401330</v>
      </c>
      <c r="Q266" s="10">
        <v>1079748.0548148148</v>
      </c>
      <c r="R266" s="11">
        <f>IFERROR(P266/Q266, 0)</f>
      </c>
      <c r="S266" s="10">
        <v>6373722</v>
      </c>
      <c r="T266" s="10">
        <v>12238866.714814816</v>
      </c>
      <c r="U266" s="11">
        <f>IFERROR(S266/T266, 0)</f>
      </c>
      <c r="V266" s="10">
        <f>IFERROR(S266/E266, 0)</f>
      </c>
      <c r="W266" s="10">
        <f>IFERROR(T266/F266, 0)</f>
      </c>
      <c r="X266" s="11">
        <f>IFERROR(V266/W266, 0)</f>
      </c>
    </row>
    <row r="267" spans="1:24" x14ac:dyDescent="0.25">
      <c r="A267" s="8" t="s">
        <v>257</v>
      </c>
      <c r="B267" s="8" t="s">
        <v>297</v>
      </c>
      <c r="C267" s="8" t="s">
        <v>24</v>
      </c>
      <c r="D267" s="8" t="s">
        <v>304</v>
      </c>
      <c r="E267" s="9">
        <v>0</v>
      </c>
      <c r="F267" s="9">
        <v>293.84</v>
      </c>
      <c r="G267" s="10">
        <v>0</v>
      </c>
      <c r="H267" s="10">
        <v>8787.867037037036</v>
      </c>
      <c r="I267" s="11">
        <f>IFERROR(G267/H267, 0)</f>
      </c>
      <c r="J267" s="10">
        <v>0</v>
      </c>
      <c r="K267" s="10">
        <v>0</v>
      </c>
      <c r="L267" s="10">
        <v>0</v>
      </c>
      <c r="M267" s="12">
        <f>IFERROR(L267/K267, 0)</f>
      </c>
      <c r="N267" s="13">
        <f>IFERROR(J267/K267, 0)</f>
      </c>
      <c r="O267" s="10">
        <v>0</v>
      </c>
      <c r="P267" s="10">
        <v>0</v>
      </c>
      <c r="Q267" s="10">
        <v>96666.5374074074</v>
      </c>
      <c r="R267" s="11">
        <f>IFERROR(P267/Q267, 0)</f>
      </c>
      <c r="S267" s="10">
        <v>0</v>
      </c>
      <c r="T267" s="10">
        <v>1095708.2674074075</v>
      </c>
      <c r="U267" s="11">
        <f>IFERROR(S267/T267, 0)</f>
      </c>
      <c r="V267" s="10">
        <f>IFERROR(S267/E267, 0)</f>
      </c>
      <c r="W267" s="10">
        <f>IFERROR(T267/F267, 0)</f>
      </c>
      <c r="X267" s="11">
        <f>IFERROR(V267/W267, 0)</f>
      </c>
    </row>
    <row r="268" spans="1:24" x14ac:dyDescent="0.25">
      <c r="A268" s="8" t="s">
        <v>257</v>
      </c>
      <c r="B268" s="8" t="s">
        <v>297</v>
      </c>
      <c r="C268" s="8" t="s">
        <v>24</v>
      </c>
      <c r="D268" s="8" t="s">
        <v>305</v>
      </c>
      <c r="E268" s="9">
        <v>0</v>
      </c>
      <c r="F268" s="9">
        <v>0</v>
      </c>
      <c r="G268" s="10">
        <v>0</v>
      </c>
      <c r="H268" s="10">
        <v>0</v>
      </c>
      <c r="I268" s="11">
        <f>IFERROR(G268/H268, 0)</f>
      </c>
      <c r="J268" s="10">
        <v>0</v>
      </c>
      <c r="K268" s="10">
        <v>0</v>
      </c>
      <c r="L268" s="10">
        <v>0</v>
      </c>
      <c r="M268" s="12">
        <f>IFERROR(L268/K268, 0)</f>
      </c>
      <c r="N268" s="13">
        <f>IFERROR(J268/K268, 0)</f>
      </c>
      <c r="O268" s="10">
        <v>0</v>
      </c>
      <c r="P268" s="10">
        <v>0</v>
      </c>
      <c r="Q268" s="10">
        <v>0</v>
      </c>
      <c r="R268" s="11">
        <f>IFERROR(P268/Q268, 0)</f>
      </c>
      <c r="S268" s="10">
        <v>0</v>
      </c>
      <c r="T268" s="10">
        <v>0</v>
      </c>
      <c r="U268" s="11">
        <f>IFERROR(S268/T268, 0)</f>
      </c>
      <c r="V268" s="10">
        <f>IFERROR(S268/E268, 0)</f>
      </c>
      <c r="W268" s="10">
        <f>IFERROR(T268/F268, 0)</f>
      </c>
      <c r="X268" s="11">
        <f>IFERROR(V268/W268, 0)</f>
      </c>
    </row>
    <row r="269" spans="1:24" x14ac:dyDescent="0.25">
      <c r="A269" s="8" t="s">
        <v>257</v>
      </c>
      <c r="B269" s="8" t="s">
        <v>297</v>
      </c>
      <c r="C269" s="8" t="s">
        <v>24</v>
      </c>
      <c r="D269" s="8" t="s">
        <v>306</v>
      </c>
      <c r="E269" s="9">
        <v>0</v>
      </c>
      <c r="F269" s="9">
        <v>453.35</v>
      </c>
      <c r="G269" s="10">
        <v>0</v>
      </c>
      <c r="H269" s="10">
        <v>13558.620740740742</v>
      </c>
      <c r="I269" s="11">
        <f>IFERROR(G269/H269, 0)</f>
      </c>
      <c r="J269" s="10">
        <v>0</v>
      </c>
      <c r="K269" s="10">
        <v>0</v>
      </c>
      <c r="L269" s="10">
        <v>0</v>
      </c>
      <c r="M269" s="12">
        <f>IFERROR(L269/K269, 0)</f>
      </c>
      <c r="N269" s="13">
        <f>IFERROR(J269/K269, 0)</f>
      </c>
      <c r="O269" s="10">
        <v>0</v>
      </c>
      <c r="P269" s="10">
        <v>0</v>
      </c>
      <c r="Q269" s="10">
        <v>149144.82814814814</v>
      </c>
      <c r="R269" s="11">
        <f>IFERROR(P269/Q269, 0)</f>
      </c>
      <c r="S269" s="10">
        <v>0</v>
      </c>
      <c r="T269" s="10">
        <v>1690545.898148148</v>
      </c>
      <c r="U269" s="11">
        <f>IFERROR(S269/T269, 0)</f>
      </c>
      <c r="V269" s="10">
        <f>IFERROR(S269/E269, 0)</f>
      </c>
      <c r="W269" s="10">
        <f>IFERROR(T269/F269, 0)</f>
      </c>
      <c r="X269" s="11">
        <f>IFERROR(V269/W269, 0)</f>
      </c>
    </row>
    <row r="270" spans="1:24" x14ac:dyDescent="0.25">
      <c r="A270" s="8" t="s">
        <v>257</v>
      </c>
      <c r="B270" s="8" t="s">
        <v>297</v>
      </c>
      <c r="C270" s="8" t="s">
        <v>24</v>
      </c>
      <c r="D270" s="8" t="s">
        <v>307</v>
      </c>
      <c r="E270" s="9">
        <v>4.89</v>
      </c>
      <c r="F270" s="9">
        <v>0</v>
      </c>
      <c r="G270" s="10">
        <v>0</v>
      </c>
      <c r="H270" s="10">
        <v>0</v>
      </c>
      <c r="I270" s="11">
        <f>IFERROR(G270/H270, 0)</f>
      </c>
      <c r="J270" s="10">
        <v>0</v>
      </c>
      <c r="K270" s="10">
        <v>0</v>
      </c>
      <c r="L270" s="10">
        <v>0</v>
      </c>
      <c r="M270" s="12">
        <f>IFERROR(L270/K270, 0)</f>
      </c>
      <c r="N270" s="13">
        <f>IFERROR(J270/K270, 0)</f>
      </c>
      <c r="O270" s="10">
        <v>0</v>
      </c>
      <c r="P270" s="10">
        <v>0</v>
      </c>
      <c r="Q270" s="10">
        <v>0</v>
      </c>
      <c r="R270" s="11">
        <f>IFERROR(P270/Q270, 0)</f>
      </c>
      <c r="S270" s="10">
        <v>0</v>
      </c>
      <c r="T270" s="10">
        <v>0</v>
      </c>
      <c r="U270" s="11">
        <f>IFERROR(S270/T270, 0)</f>
      </c>
      <c r="V270" s="10">
        <f>IFERROR(S270/E270, 0)</f>
      </c>
      <c r="W270" s="10">
        <f>IFERROR(T270/F270, 0)</f>
      </c>
      <c r="X270" s="11">
        <f>IFERROR(V270/W270, 0)</f>
      </c>
    </row>
    <row r="271" spans="1:24" x14ac:dyDescent="0.25">
      <c r="A271" s="8" t="s">
        <v>257</v>
      </c>
      <c r="B271" s="8" t="s">
        <v>297</v>
      </c>
      <c r="C271" s="8" t="s">
        <v>24</v>
      </c>
      <c r="D271" s="8" t="s">
        <v>308</v>
      </c>
      <c r="E271" s="9">
        <v>326</v>
      </c>
      <c r="F271" s="9">
        <v>0</v>
      </c>
      <c r="G271" s="10">
        <v>0</v>
      </c>
      <c r="H271" s="10">
        <v>0</v>
      </c>
      <c r="I271" s="11">
        <f>IFERROR(G271/H271, 0)</f>
      </c>
      <c r="J271" s="10">
        <v>0</v>
      </c>
      <c r="K271" s="10">
        <v>0</v>
      </c>
      <c r="L271" s="10">
        <v>0</v>
      </c>
      <c r="M271" s="12">
        <f>IFERROR(L271/K271, 0)</f>
      </c>
      <c r="N271" s="13">
        <f>IFERROR(J271/K271, 0)</f>
      </c>
      <c r="O271" s="10">
        <v>0</v>
      </c>
      <c r="P271" s="10">
        <v>0</v>
      </c>
      <c r="Q271" s="10">
        <v>0</v>
      </c>
      <c r="R271" s="11">
        <f>IFERROR(P271/Q271, 0)</f>
      </c>
      <c r="S271" s="10">
        <v>0</v>
      </c>
      <c r="T271" s="10">
        <v>0</v>
      </c>
      <c r="U271" s="11">
        <f>IFERROR(S271/T271, 0)</f>
      </c>
      <c r="V271" s="10">
        <f>IFERROR(S271/E271, 0)</f>
      </c>
      <c r="W271" s="10">
        <f>IFERROR(T271/F271, 0)</f>
      </c>
      <c r="X271" s="11">
        <f>IFERROR(V271/W271, 0)</f>
      </c>
    </row>
    <row r="272" spans="1:24" x14ac:dyDescent="0.25">
      <c r="A272" s="8" t="s">
        <v>257</v>
      </c>
      <c r="B272" s="8" t="s">
        <v>297</v>
      </c>
      <c r="C272" s="8" t="s">
        <v>24</v>
      </c>
      <c r="D272" s="8" t="s">
        <v>309</v>
      </c>
      <c r="E272" s="9">
        <v>34.29</v>
      </c>
      <c r="F272" s="9">
        <v>0</v>
      </c>
      <c r="G272" s="10">
        <v>0</v>
      </c>
      <c r="H272" s="10">
        <v>0</v>
      </c>
      <c r="I272" s="11">
        <f>IFERROR(G272/H272, 0)</f>
      </c>
      <c r="J272" s="10">
        <v>0</v>
      </c>
      <c r="K272" s="10">
        <v>0</v>
      </c>
      <c r="L272" s="10">
        <v>0</v>
      </c>
      <c r="M272" s="12">
        <f>IFERROR(L272/K272, 0)</f>
      </c>
      <c r="N272" s="13">
        <f>IFERROR(J272/K272, 0)</f>
      </c>
      <c r="O272" s="10">
        <v>0</v>
      </c>
      <c r="P272" s="10">
        <v>0</v>
      </c>
      <c r="Q272" s="10">
        <v>0</v>
      </c>
      <c r="R272" s="11">
        <f>IFERROR(P272/Q272, 0)</f>
      </c>
      <c r="S272" s="10">
        <v>30616</v>
      </c>
      <c r="T272" s="10">
        <v>0</v>
      </c>
      <c r="U272" s="11">
        <f>IFERROR(S272/T272, 0)</f>
      </c>
      <c r="V272" s="10">
        <f>IFERROR(S272/E272, 0)</f>
      </c>
      <c r="W272" s="10">
        <f>IFERROR(T272/F272, 0)</f>
      </c>
      <c r="X272" s="11">
        <f>IFERROR(V272/W272, 0)</f>
      </c>
    </row>
    <row r="273" spans="1:24" x14ac:dyDescent="0.25">
      <c r="A273" s="8" t="s">
        <v>257</v>
      </c>
      <c r="B273" s="8" t="s">
        <v>297</v>
      </c>
      <c r="C273" s="8" t="s">
        <v>24</v>
      </c>
      <c r="D273" s="8" t="s">
        <v>310</v>
      </c>
      <c r="E273" s="9">
        <v>0</v>
      </c>
      <c r="F273" s="9">
        <v>0</v>
      </c>
      <c r="G273" s="10">
        <v>0</v>
      </c>
      <c r="H273" s="10">
        <v>0</v>
      </c>
      <c r="I273" s="11">
        <f>IFERROR(G273/H273, 0)</f>
      </c>
      <c r="J273" s="10">
        <v>0</v>
      </c>
      <c r="K273" s="10">
        <v>0</v>
      </c>
      <c r="L273" s="10">
        <v>0</v>
      </c>
      <c r="M273" s="12">
        <f>IFERROR(L273/K273, 0)</f>
      </c>
      <c r="N273" s="13">
        <f>IFERROR(J273/K273, 0)</f>
      </c>
      <c r="O273" s="10">
        <v>0</v>
      </c>
      <c r="P273" s="10">
        <v>0</v>
      </c>
      <c r="Q273" s="10">
        <v>0</v>
      </c>
      <c r="R273" s="11">
        <f>IFERROR(P273/Q273, 0)</f>
      </c>
      <c r="S273" s="10">
        <v>0</v>
      </c>
      <c r="T273" s="10">
        <v>0</v>
      </c>
      <c r="U273" s="11">
        <f>IFERROR(S273/T273, 0)</f>
      </c>
      <c r="V273" s="10">
        <f>IFERROR(S273/E273, 0)</f>
      </c>
      <c r="W273" s="10">
        <f>IFERROR(T273/F273, 0)</f>
      </c>
      <c r="X273" s="11">
        <f>IFERROR(V273/W273, 0)</f>
      </c>
    </row>
    <row r="274" spans="1:24" x14ac:dyDescent="0.25">
      <c r="A274" s="8" t="s">
        <v>257</v>
      </c>
      <c r="B274" s="8" t="s">
        <v>297</v>
      </c>
      <c r="C274" s="8" t="s">
        <v>24</v>
      </c>
      <c r="D274" s="8" t="s">
        <v>311</v>
      </c>
      <c r="E274" s="9">
        <v>0</v>
      </c>
      <c r="F274" s="9">
        <v>0</v>
      </c>
      <c r="G274" s="10">
        <v>0</v>
      </c>
      <c r="H274" s="10">
        <v>0</v>
      </c>
      <c r="I274" s="11">
        <f>IFERROR(G274/H274, 0)</f>
      </c>
      <c r="J274" s="10">
        <v>0</v>
      </c>
      <c r="K274" s="10">
        <v>0</v>
      </c>
      <c r="L274" s="10">
        <v>0</v>
      </c>
      <c r="M274" s="12">
        <f>IFERROR(L274/K274, 0)</f>
      </c>
      <c r="N274" s="13">
        <f>IFERROR(J274/K274, 0)</f>
      </c>
      <c r="O274" s="10">
        <v>0</v>
      </c>
      <c r="P274" s="10">
        <v>0</v>
      </c>
      <c r="Q274" s="10">
        <v>0</v>
      </c>
      <c r="R274" s="11">
        <f>IFERROR(P274/Q274, 0)</f>
      </c>
      <c r="S274" s="10">
        <v>0</v>
      </c>
      <c r="T274" s="10">
        <v>0</v>
      </c>
      <c r="U274" s="11">
        <f>IFERROR(S274/T274, 0)</f>
      </c>
      <c r="V274" s="10">
        <f>IFERROR(S274/E274, 0)</f>
      </c>
      <c r="W274" s="10">
        <f>IFERROR(T274/F274, 0)</f>
      </c>
      <c r="X274" s="11">
        <f>IFERROR(V274/W274, 0)</f>
      </c>
    </row>
    <row r="275" spans="1:24" x14ac:dyDescent="0.25">
      <c r="A275" s="8" t="s">
        <v>257</v>
      </c>
      <c r="B275" s="8" t="s">
        <v>297</v>
      </c>
      <c r="C275" s="8" t="s">
        <v>24</v>
      </c>
      <c r="D275" s="8" t="s">
        <v>312</v>
      </c>
      <c r="E275" s="9">
        <v>0</v>
      </c>
      <c r="F275" s="9">
        <v>0</v>
      </c>
      <c r="G275" s="10">
        <v>0</v>
      </c>
      <c r="H275" s="10">
        <v>0</v>
      </c>
      <c r="I275" s="11">
        <f>IFERROR(G275/H275, 0)</f>
      </c>
      <c r="J275" s="10">
        <v>0</v>
      </c>
      <c r="K275" s="10">
        <v>0</v>
      </c>
      <c r="L275" s="10">
        <v>0</v>
      </c>
      <c r="M275" s="12">
        <f>IFERROR(L275/K275, 0)</f>
      </c>
      <c r="N275" s="13">
        <f>IFERROR(J275/K275, 0)</f>
      </c>
      <c r="O275" s="10">
        <v>0</v>
      </c>
      <c r="P275" s="10">
        <v>0</v>
      </c>
      <c r="Q275" s="10">
        <v>0</v>
      </c>
      <c r="R275" s="11">
        <f>IFERROR(P275/Q275, 0)</f>
      </c>
      <c r="S275" s="10">
        <v>0</v>
      </c>
      <c r="T275" s="10">
        <v>0</v>
      </c>
      <c r="U275" s="11">
        <f>IFERROR(S275/T275, 0)</f>
      </c>
      <c r="V275" s="10">
        <f>IFERROR(S275/E275, 0)</f>
      </c>
      <c r="W275" s="10">
        <f>IFERROR(T275/F275, 0)</f>
      </c>
      <c r="X275" s="11">
        <f>IFERROR(V275/W275, 0)</f>
      </c>
    </row>
    <row r="276" spans="1:24" x14ac:dyDescent="0.25">
      <c r="A276" s="8" t="s">
        <v>257</v>
      </c>
      <c r="B276" s="8" t="s">
        <v>297</v>
      </c>
      <c r="C276" s="8" t="s">
        <v>24</v>
      </c>
      <c r="D276" s="8" t="s">
        <v>313</v>
      </c>
      <c r="E276" s="9">
        <v>20.63</v>
      </c>
      <c r="F276" s="9">
        <v>0</v>
      </c>
      <c r="G276" s="10">
        <v>0</v>
      </c>
      <c r="H276" s="10">
        <v>0</v>
      </c>
      <c r="I276" s="11">
        <f>IFERROR(G276/H276, 0)</f>
      </c>
      <c r="J276" s="10">
        <v>0</v>
      </c>
      <c r="K276" s="10">
        <v>0</v>
      </c>
      <c r="L276" s="10">
        <v>0</v>
      </c>
      <c r="M276" s="12">
        <f>IFERROR(L276/K276, 0)</f>
      </c>
      <c r="N276" s="13">
        <f>IFERROR(J276/K276, 0)</f>
      </c>
      <c r="O276" s="10">
        <v>0</v>
      </c>
      <c r="P276" s="10">
        <v>0</v>
      </c>
      <c r="Q276" s="10">
        <v>0</v>
      </c>
      <c r="R276" s="11">
        <f>IFERROR(P276/Q276, 0)</f>
      </c>
      <c r="S276" s="10">
        <v>0</v>
      </c>
      <c r="T276" s="10">
        <v>0</v>
      </c>
      <c r="U276" s="11">
        <f>IFERROR(S276/T276, 0)</f>
      </c>
      <c r="V276" s="10">
        <f>IFERROR(S276/E276, 0)</f>
      </c>
      <c r="W276" s="10">
        <f>IFERROR(T276/F276, 0)</f>
      </c>
      <c r="X276" s="11">
        <f>IFERROR(V276/W276, 0)</f>
      </c>
    </row>
    <row r="277" spans="1:24" x14ac:dyDescent="0.25">
      <c r="A277" s="8" t="s">
        <v>257</v>
      </c>
      <c r="B277" s="8" t="s">
        <v>297</v>
      </c>
      <c r="C277" s="8" t="s">
        <v>24</v>
      </c>
      <c r="D277" s="8" t="s">
        <v>314</v>
      </c>
      <c r="E277" s="9">
        <v>0</v>
      </c>
      <c r="F277" s="9">
        <v>0</v>
      </c>
      <c r="G277" s="10">
        <v>0</v>
      </c>
      <c r="H277" s="10">
        <v>0</v>
      </c>
      <c r="I277" s="11">
        <f>IFERROR(G277/H277, 0)</f>
      </c>
      <c r="J277" s="10">
        <v>0</v>
      </c>
      <c r="K277" s="10">
        <v>0</v>
      </c>
      <c r="L277" s="10">
        <v>0</v>
      </c>
      <c r="M277" s="12">
        <f>IFERROR(L277/K277, 0)</f>
      </c>
      <c r="N277" s="13">
        <f>IFERROR(J277/K277, 0)</f>
      </c>
      <c r="O277" s="10">
        <v>0</v>
      </c>
      <c r="P277" s="10">
        <v>0</v>
      </c>
      <c r="Q277" s="10">
        <v>0</v>
      </c>
      <c r="R277" s="11">
        <f>IFERROR(P277/Q277, 0)</f>
      </c>
      <c r="S277" s="10">
        <v>0</v>
      </c>
      <c r="T277" s="10">
        <v>0</v>
      </c>
      <c r="U277" s="11">
        <f>IFERROR(S277/T277, 0)</f>
      </c>
      <c r="V277" s="10">
        <f>IFERROR(S277/E277, 0)</f>
      </c>
      <c r="W277" s="10">
        <f>IFERROR(T277/F277, 0)</f>
      </c>
      <c r="X277" s="11">
        <f>IFERROR(V277/W277, 0)</f>
      </c>
    </row>
    <row r="278" spans="1:24" x14ac:dyDescent="0.25">
      <c r="A278" s="8" t="s">
        <v>257</v>
      </c>
      <c r="B278" s="8" t="s">
        <v>297</v>
      </c>
      <c r="C278" s="8" t="s">
        <v>24</v>
      </c>
      <c r="D278" s="8" t="s">
        <v>315</v>
      </c>
      <c r="E278" s="9">
        <v>0</v>
      </c>
      <c r="F278" s="9">
        <v>0</v>
      </c>
      <c r="G278" s="10">
        <v>0</v>
      </c>
      <c r="H278" s="10">
        <v>0</v>
      </c>
      <c r="I278" s="11">
        <f>IFERROR(G278/H278, 0)</f>
      </c>
      <c r="J278" s="10">
        <v>0</v>
      </c>
      <c r="K278" s="10">
        <v>0</v>
      </c>
      <c r="L278" s="10">
        <v>0</v>
      </c>
      <c r="M278" s="12">
        <f>IFERROR(L278/K278, 0)</f>
      </c>
      <c r="N278" s="13">
        <f>IFERROR(J278/K278, 0)</f>
      </c>
      <c r="O278" s="10">
        <v>0</v>
      </c>
      <c r="P278" s="10">
        <v>0</v>
      </c>
      <c r="Q278" s="10">
        <v>0</v>
      </c>
      <c r="R278" s="11">
        <f>IFERROR(P278/Q278, 0)</f>
      </c>
      <c r="S278" s="10">
        <v>0</v>
      </c>
      <c r="T278" s="10">
        <v>0</v>
      </c>
      <c r="U278" s="11">
        <f>IFERROR(S278/T278, 0)</f>
      </c>
      <c r="V278" s="10">
        <f>IFERROR(S278/E278, 0)</f>
      </c>
      <c r="W278" s="10">
        <f>IFERROR(T278/F278, 0)</f>
      </c>
      <c r="X278" s="11">
        <f>IFERROR(V278/W278, 0)</f>
      </c>
    </row>
    <row r="279" spans="1:24" x14ac:dyDescent="0.25">
      <c r="A279" s="8" t="s">
        <v>257</v>
      </c>
      <c r="B279" s="8" t="s">
        <v>297</v>
      </c>
      <c r="C279" s="8" t="s">
        <v>24</v>
      </c>
      <c r="D279" s="8" t="s">
        <v>316</v>
      </c>
      <c r="E279" s="9">
        <v>141.81</v>
      </c>
      <c r="F279" s="9">
        <v>69.89</v>
      </c>
      <c r="G279" s="10">
        <v>0</v>
      </c>
      <c r="H279" s="10">
        <v>2090.0825925925924</v>
      </c>
      <c r="I279" s="11">
        <f>IFERROR(G279/H279, 0)</f>
      </c>
      <c r="J279" s="10">
        <v>0</v>
      </c>
      <c r="K279" s="10">
        <v>0</v>
      </c>
      <c r="L279" s="10">
        <v>0</v>
      </c>
      <c r="M279" s="12">
        <f>IFERROR(L279/K279, 0)</f>
      </c>
      <c r="N279" s="13">
        <f>IFERROR(J279/K279, 0)</f>
      </c>
      <c r="O279" s="10">
        <v>0</v>
      </c>
      <c r="P279" s="10">
        <v>0</v>
      </c>
      <c r="Q279" s="10">
        <v>22990.908518518518</v>
      </c>
      <c r="R279" s="11">
        <f>IFERROR(P279/Q279, 0)</f>
      </c>
      <c r="S279" s="10">
        <v>160785</v>
      </c>
      <c r="T279" s="10">
        <v>260600.28851851853</v>
      </c>
      <c r="U279" s="11">
        <f>IFERROR(S279/T279, 0)</f>
      </c>
      <c r="V279" s="10">
        <f>IFERROR(S279/E279, 0)</f>
      </c>
      <c r="W279" s="10">
        <f>IFERROR(T279/F279, 0)</f>
      </c>
      <c r="X279" s="11">
        <f>IFERROR(V279/W279, 0)</f>
      </c>
    </row>
    <row r="280" spans="1:24" x14ac:dyDescent="0.25">
      <c r="A280" s="8" t="s">
        <v>257</v>
      </c>
      <c r="B280" s="8" t="s">
        <v>297</v>
      </c>
      <c r="C280" s="8" t="s">
        <v>24</v>
      </c>
      <c r="D280" s="8" t="s">
        <v>317</v>
      </c>
      <c r="E280" s="9">
        <v>0</v>
      </c>
      <c r="F280" s="9">
        <v>0</v>
      </c>
      <c r="G280" s="10">
        <v>0</v>
      </c>
      <c r="H280" s="10">
        <v>0</v>
      </c>
      <c r="I280" s="11">
        <f>IFERROR(G280/H280, 0)</f>
      </c>
      <c r="J280" s="10">
        <v>0</v>
      </c>
      <c r="K280" s="10">
        <v>0</v>
      </c>
      <c r="L280" s="10">
        <v>0</v>
      </c>
      <c r="M280" s="12">
        <f>IFERROR(L280/K280, 0)</f>
      </c>
      <c r="N280" s="13">
        <f>IFERROR(J280/K280, 0)</f>
      </c>
      <c r="O280" s="10">
        <v>0</v>
      </c>
      <c r="P280" s="10">
        <v>0</v>
      </c>
      <c r="Q280" s="10">
        <v>0</v>
      </c>
      <c r="R280" s="11">
        <f>IFERROR(P280/Q280, 0)</f>
      </c>
      <c r="S280" s="10">
        <v>0</v>
      </c>
      <c r="T280" s="10">
        <v>0</v>
      </c>
      <c r="U280" s="11">
        <f>IFERROR(S280/T280, 0)</f>
      </c>
      <c r="V280" s="10">
        <f>IFERROR(S280/E280, 0)</f>
      </c>
      <c r="W280" s="10">
        <f>IFERROR(T280/F280, 0)</f>
      </c>
      <c r="X280" s="11">
        <f>IFERROR(V280/W280, 0)</f>
      </c>
    </row>
    <row r="281" spans="1:24" x14ac:dyDescent="0.25">
      <c r="A281" s="8" t="s">
        <v>257</v>
      </c>
      <c r="B281" s="8" t="s">
        <v>297</v>
      </c>
      <c r="C281" s="8" t="s">
        <v>24</v>
      </c>
      <c r="D281" s="8" t="s">
        <v>318</v>
      </c>
      <c r="E281" s="9">
        <v>148.7</v>
      </c>
      <c r="F281" s="9">
        <v>110.73</v>
      </c>
      <c r="G281" s="10">
        <v>11760</v>
      </c>
      <c r="H281" s="10">
        <v>3311.744074074074</v>
      </c>
      <c r="I281" s="11">
        <f>IFERROR(G281/H281, 0)</f>
      </c>
      <c r="J281" s="10">
        <v>66.48</v>
      </c>
      <c r="K281" s="10">
        <v>12</v>
      </c>
      <c r="L281" s="10">
        <v>11760</v>
      </c>
      <c r="M281" s="12">
        <f>IFERROR(L281/K281, 0)</f>
      </c>
      <c r="N281" s="13">
        <f>IFERROR(J281/K281, 0)</f>
      </c>
      <c r="O281" s="10">
        <v>0</v>
      </c>
      <c r="P281" s="10">
        <v>34690</v>
      </c>
      <c r="Q281" s="10">
        <v>36429.18481481481</v>
      </c>
      <c r="R281" s="11">
        <f>IFERROR(P281/Q281, 0)</f>
      </c>
      <c r="S281" s="10">
        <v>396000</v>
      </c>
      <c r="T281" s="10">
        <v>412922.2048148148</v>
      </c>
      <c r="U281" s="11">
        <f>IFERROR(S281/T281, 0)</f>
      </c>
      <c r="V281" s="10">
        <f>IFERROR(S281/E281, 0)</f>
      </c>
      <c r="W281" s="10">
        <f>IFERROR(T281/F281, 0)</f>
      </c>
      <c r="X281" s="11">
        <f>IFERROR(V281/W281, 0)</f>
      </c>
    </row>
    <row r="282" spans="1:24" x14ac:dyDescent="0.25">
      <c r="A282" s="8" t="s">
        <v>257</v>
      </c>
      <c r="B282" s="8" t="s">
        <v>297</v>
      </c>
      <c r="C282" s="8" t="s">
        <v>24</v>
      </c>
      <c r="D282" s="8" t="s">
        <v>319</v>
      </c>
      <c r="E282" s="9">
        <v>16.04</v>
      </c>
      <c r="F282" s="9">
        <v>11.93</v>
      </c>
      <c r="G282" s="10">
        <v>0</v>
      </c>
      <c r="H282" s="10">
        <v>356.8</v>
      </c>
      <c r="I282" s="11">
        <f>IFERROR(G282/H282, 0)</f>
      </c>
      <c r="J282" s="10">
        <v>0</v>
      </c>
      <c r="K282" s="10">
        <v>0</v>
      </c>
      <c r="L282" s="10">
        <v>0</v>
      </c>
      <c r="M282" s="12">
        <f>IFERROR(L282/K282, 0)</f>
      </c>
      <c r="N282" s="13">
        <f>IFERROR(J282/K282, 0)</f>
      </c>
      <c r="O282" s="10">
        <v>0</v>
      </c>
      <c r="P282" s="10">
        <v>0</v>
      </c>
      <c r="Q282" s="10">
        <v>3924.8</v>
      </c>
      <c r="R282" s="11">
        <f>IFERROR(P282/Q282, 0)</f>
      </c>
      <c r="S282" s="10">
        <v>0</v>
      </c>
      <c r="T282" s="10">
        <v>44487.32</v>
      </c>
      <c r="U282" s="11">
        <f>IFERROR(S282/T282, 0)</f>
      </c>
      <c r="V282" s="10">
        <f>IFERROR(S282/E282, 0)</f>
      </c>
      <c r="W282" s="10">
        <f>IFERROR(T282/F282, 0)</f>
      </c>
      <c r="X282" s="11">
        <f>IFERROR(V282/W282, 0)</f>
      </c>
    </row>
    <row r="283" spans="1:24" x14ac:dyDescent="0.25">
      <c r="A283" s="8" t="s">
        <v>257</v>
      </c>
      <c r="B283" s="8" t="s">
        <v>297</v>
      </c>
      <c r="C283" s="8" t="s">
        <v>24</v>
      </c>
      <c r="D283" s="8" t="s">
        <v>320</v>
      </c>
      <c r="E283" s="9">
        <v>59.56</v>
      </c>
      <c r="F283" s="9">
        <v>40.2</v>
      </c>
      <c r="G283" s="10">
        <v>0</v>
      </c>
      <c r="H283" s="10">
        <v>1202.308888888889</v>
      </c>
      <c r="I283" s="11">
        <f>IFERROR(G283/H283, 0)</f>
      </c>
      <c r="J283" s="10">
        <v>0</v>
      </c>
      <c r="K283" s="10">
        <v>0</v>
      </c>
      <c r="L283" s="10">
        <v>0</v>
      </c>
      <c r="M283" s="12">
        <f>IFERROR(L283/K283, 0)</f>
      </c>
      <c r="N283" s="13">
        <f>IFERROR(J283/K283, 0)</f>
      </c>
      <c r="O283" s="10">
        <v>0</v>
      </c>
      <c r="P283" s="10">
        <v>0</v>
      </c>
      <c r="Q283" s="10">
        <v>13225.397777777778</v>
      </c>
      <c r="R283" s="11">
        <f>IFERROR(P283/Q283, 0)</f>
      </c>
      <c r="S283" s="10">
        <v>0</v>
      </c>
      <c r="T283" s="10">
        <v>149908.95777777777</v>
      </c>
      <c r="U283" s="11">
        <f>IFERROR(S283/T283, 0)</f>
      </c>
      <c r="V283" s="10">
        <f>IFERROR(S283/E283, 0)</f>
      </c>
      <c r="W283" s="10">
        <f>IFERROR(T283/F283, 0)</f>
      </c>
      <c r="X283" s="11">
        <f>IFERROR(V283/W283, 0)</f>
      </c>
    </row>
    <row r="284" spans="1:24" x14ac:dyDescent="0.25">
      <c r="A284" s="8" t="s">
        <v>257</v>
      </c>
      <c r="B284" s="8" t="s">
        <v>297</v>
      </c>
      <c r="C284" s="8" t="s">
        <v>24</v>
      </c>
      <c r="D284" s="8" t="s">
        <v>321</v>
      </c>
      <c r="E284" s="9">
        <v>0</v>
      </c>
      <c r="F284" s="9">
        <v>5.5</v>
      </c>
      <c r="G284" s="10">
        <v>0</v>
      </c>
      <c r="H284" s="10">
        <v>164.6085185185185</v>
      </c>
      <c r="I284" s="11">
        <f>IFERROR(G284/H284, 0)</f>
      </c>
      <c r="J284" s="10">
        <v>0</v>
      </c>
      <c r="K284" s="10">
        <v>0</v>
      </c>
      <c r="L284" s="10">
        <v>0</v>
      </c>
      <c r="M284" s="12">
        <f>IFERROR(L284/K284, 0)</f>
      </c>
      <c r="N284" s="13">
        <f>IFERROR(J284/K284, 0)</f>
      </c>
      <c r="O284" s="10">
        <v>0</v>
      </c>
      <c r="P284" s="10">
        <v>0</v>
      </c>
      <c r="Q284" s="10">
        <v>1810.6937037037037</v>
      </c>
      <c r="R284" s="11">
        <f>IFERROR(P284/Q284, 0)</f>
      </c>
      <c r="S284" s="10">
        <v>0</v>
      </c>
      <c r="T284" s="10">
        <v>20524.073703703703</v>
      </c>
      <c r="U284" s="11">
        <f>IFERROR(S284/T284, 0)</f>
      </c>
      <c r="V284" s="10">
        <f>IFERROR(S284/E284, 0)</f>
      </c>
      <c r="W284" s="10">
        <f>IFERROR(T284/F284, 0)</f>
      </c>
      <c r="X284" s="11">
        <f>IFERROR(V284/W284, 0)</f>
      </c>
    </row>
    <row r="285" spans="1:24" x14ac:dyDescent="0.25">
      <c r="A285" s="8" t="s">
        <v>257</v>
      </c>
      <c r="B285" s="8" t="s">
        <v>297</v>
      </c>
      <c r="C285" s="8" t="s">
        <v>24</v>
      </c>
      <c r="D285" s="8" t="s">
        <v>322</v>
      </c>
      <c r="E285" s="9">
        <v>3.18</v>
      </c>
      <c r="F285" s="9">
        <v>3.5</v>
      </c>
      <c r="G285" s="10">
        <v>0</v>
      </c>
      <c r="H285" s="10">
        <v>104.77111111111111</v>
      </c>
      <c r="I285" s="11">
        <f>IFERROR(G285/H285, 0)</f>
      </c>
      <c r="J285" s="10">
        <v>0</v>
      </c>
      <c r="K285" s="10">
        <v>0</v>
      </c>
      <c r="L285" s="10">
        <v>0</v>
      </c>
      <c r="M285" s="12">
        <f>IFERROR(L285/K285, 0)</f>
      </c>
      <c r="N285" s="13">
        <f>IFERROR(J285/K285, 0)</f>
      </c>
      <c r="O285" s="10">
        <v>0</v>
      </c>
      <c r="P285" s="10">
        <v>0</v>
      </c>
      <c r="Q285" s="10">
        <v>1152.4822222222222</v>
      </c>
      <c r="R285" s="11">
        <f>IFERROR(P285/Q285, 0)</f>
      </c>
      <c r="S285" s="10">
        <v>4692</v>
      </c>
      <c r="T285" s="10">
        <v>13063.292222222222</v>
      </c>
      <c r="U285" s="11">
        <f>IFERROR(S285/T285, 0)</f>
      </c>
      <c r="V285" s="10">
        <f>IFERROR(S285/E285, 0)</f>
      </c>
      <c r="W285" s="10">
        <f>IFERROR(T285/F285, 0)</f>
      </c>
      <c r="X285" s="11">
        <f>IFERROR(V285/W285, 0)</f>
      </c>
    </row>
    <row r="286" spans="1:24" x14ac:dyDescent="0.25">
      <c r="A286" s="8" t="s">
        <v>257</v>
      </c>
      <c r="B286" s="8" t="s">
        <v>297</v>
      </c>
      <c r="C286" s="8" t="s">
        <v>24</v>
      </c>
      <c r="D286" s="8" t="s">
        <v>323</v>
      </c>
      <c r="E286" s="9">
        <v>194.45</v>
      </c>
      <c r="F286" s="9">
        <v>152.3</v>
      </c>
      <c r="G286" s="10">
        <v>0</v>
      </c>
      <c r="H286" s="10">
        <v>4554.982962962963</v>
      </c>
      <c r="I286" s="11">
        <f>IFERROR(G286/H286, 0)</f>
      </c>
      <c r="J286" s="10">
        <v>0</v>
      </c>
      <c r="K286" s="10">
        <v>0</v>
      </c>
      <c r="L286" s="10">
        <v>0</v>
      </c>
      <c r="M286" s="12">
        <f>IFERROR(L286/K286, 0)</f>
      </c>
      <c r="N286" s="13">
        <f>IFERROR(J286/K286, 0)</f>
      </c>
      <c r="O286" s="10">
        <v>0</v>
      </c>
      <c r="P286" s="10">
        <v>0</v>
      </c>
      <c r="Q286" s="10">
        <v>50104.81259259259</v>
      </c>
      <c r="R286" s="11">
        <f>IFERROR(P286/Q286, 0)</f>
      </c>
      <c r="S286" s="10">
        <v>141664</v>
      </c>
      <c r="T286" s="10">
        <v>567934.4625925926</v>
      </c>
      <c r="U286" s="11">
        <f>IFERROR(S286/T286, 0)</f>
      </c>
      <c r="V286" s="10">
        <f>IFERROR(S286/E286, 0)</f>
      </c>
      <c r="W286" s="10">
        <f>IFERROR(T286/F286, 0)</f>
      </c>
      <c r="X286" s="11">
        <f>IFERROR(V286/W286, 0)</f>
      </c>
    </row>
    <row r="287" spans="1:24" x14ac:dyDescent="0.25">
      <c r="A287" s="8" t="s">
        <v>257</v>
      </c>
      <c r="B287" s="8" t="s">
        <v>297</v>
      </c>
      <c r="C287" s="8" t="s">
        <v>24</v>
      </c>
      <c r="D287" s="8" t="s">
        <v>324</v>
      </c>
      <c r="E287" s="9">
        <v>9.19</v>
      </c>
      <c r="F287" s="9">
        <v>8.02</v>
      </c>
      <c r="G287" s="10">
        <v>0</v>
      </c>
      <c r="H287" s="10">
        <v>239.79444444444445</v>
      </c>
      <c r="I287" s="11">
        <f>IFERROR(G287/H287, 0)</f>
      </c>
      <c r="J287" s="10">
        <v>0</v>
      </c>
      <c r="K287" s="10">
        <v>0</v>
      </c>
      <c r="L287" s="10">
        <v>0</v>
      </c>
      <c r="M287" s="12">
        <f>IFERROR(L287/K287, 0)</f>
      </c>
      <c r="N287" s="13">
        <f>IFERROR(J287/K287, 0)</f>
      </c>
      <c r="O287" s="10">
        <v>0</v>
      </c>
      <c r="P287" s="10">
        <v>0</v>
      </c>
      <c r="Q287" s="10">
        <v>2637.738888888889</v>
      </c>
      <c r="R287" s="11">
        <f>IFERROR(P287/Q287, 0)</f>
      </c>
      <c r="S287" s="10">
        <v>6739</v>
      </c>
      <c r="T287" s="10">
        <v>29898.59888888889</v>
      </c>
      <c r="U287" s="11">
        <f>IFERROR(S287/T287, 0)</f>
      </c>
      <c r="V287" s="10">
        <f>IFERROR(S287/E287, 0)</f>
      </c>
      <c r="W287" s="10">
        <f>IFERROR(T287/F287, 0)</f>
      </c>
      <c r="X287" s="11">
        <f>IFERROR(V287/W287, 0)</f>
      </c>
    </row>
    <row r="288" spans="1:24" x14ac:dyDescent="0.25">
      <c r="A288" s="8" t="s">
        <v>257</v>
      </c>
      <c r="B288" s="8" t="s">
        <v>297</v>
      </c>
      <c r="C288" s="8" t="s">
        <v>24</v>
      </c>
      <c r="D288" s="8" t="s">
        <v>325</v>
      </c>
      <c r="E288" s="9">
        <v>12.03</v>
      </c>
      <c r="F288" s="9">
        <v>9.25</v>
      </c>
      <c r="G288" s="10">
        <v>0</v>
      </c>
      <c r="H288" s="10">
        <v>276.72</v>
      </c>
      <c r="I288" s="11">
        <f>IFERROR(G288/H288, 0)</f>
      </c>
      <c r="J288" s="10">
        <v>0</v>
      </c>
      <c r="K288" s="10">
        <v>0</v>
      </c>
      <c r="L288" s="10">
        <v>0</v>
      </c>
      <c r="M288" s="12">
        <f>IFERROR(L288/K288, 0)</f>
      </c>
      <c r="N288" s="13">
        <f>IFERROR(J288/K288, 0)</f>
      </c>
      <c r="O288" s="10">
        <v>0</v>
      </c>
      <c r="P288" s="10">
        <v>0</v>
      </c>
      <c r="Q288" s="10">
        <v>3043.92</v>
      </c>
      <c r="R288" s="11">
        <f>IFERROR(P288/Q288, 0)</f>
      </c>
      <c r="S288" s="10">
        <v>768</v>
      </c>
      <c r="T288" s="10">
        <v>34502.63</v>
      </c>
      <c r="U288" s="11">
        <f>IFERROR(S288/T288, 0)</f>
      </c>
      <c r="V288" s="10">
        <f>IFERROR(S288/E288, 0)</f>
      </c>
      <c r="W288" s="10">
        <f>IFERROR(T288/F288, 0)</f>
      </c>
      <c r="X288" s="11">
        <f>IFERROR(V288/W288, 0)</f>
      </c>
    </row>
    <row r="289" spans="1:24" x14ac:dyDescent="0.25">
      <c r="A289" s="8" t="s">
        <v>257</v>
      </c>
      <c r="B289" s="8" t="s">
        <v>297</v>
      </c>
      <c r="C289" s="8" t="s">
        <v>24</v>
      </c>
      <c r="D289" s="8" t="s">
        <v>326</v>
      </c>
      <c r="E289" s="9">
        <v>1180.94</v>
      </c>
      <c r="F289" s="9">
        <v>965</v>
      </c>
      <c r="G289" s="10">
        <v>0</v>
      </c>
      <c r="H289" s="10">
        <v>28860.756296296295</v>
      </c>
      <c r="I289" s="11">
        <f>IFERROR(G289/H289, 0)</f>
      </c>
      <c r="J289" s="10">
        <v>0</v>
      </c>
      <c r="K289" s="10">
        <v>0</v>
      </c>
      <c r="L289" s="10">
        <v>0</v>
      </c>
      <c r="M289" s="12">
        <f>IFERROR(L289/K289, 0)</f>
      </c>
      <c r="N289" s="13">
        <f>IFERROR(J289/K289, 0)</f>
      </c>
      <c r="O289" s="10">
        <v>0</v>
      </c>
      <c r="P289" s="10">
        <v>0</v>
      </c>
      <c r="Q289" s="10">
        <v>317468.31925925927</v>
      </c>
      <c r="R289" s="11">
        <f>IFERROR(P289/Q289, 0)</f>
      </c>
      <c r="S289" s="10">
        <v>1215513</v>
      </c>
      <c r="T289" s="10">
        <v>3598480.5892592594</v>
      </c>
      <c r="U289" s="11">
        <f>IFERROR(S289/T289, 0)</f>
      </c>
      <c r="V289" s="10">
        <f>IFERROR(S289/E289, 0)</f>
      </c>
      <c r="W289" s="10">
        <f>IFERROR(T289/F289, 0)</f>
      </c>
      <c r="X289" s="11">
        <f>IFERROR(V289/W289, 0)</f>
      </c>
    </row>
    <row r="290" spans="1:24" x14ac:dyDescent="0.25">
      <c r="A290" s="8" t="s">
        <v>257</v>
      </c>
      <c r="B290" s="8" t="s">
        <v>297</v>
      </c>
      <c r="C290" s="8" t="s">
        <v>24</v>
      </c>
      <c r="D290" s="8" t="s">
        <v>327</v>
      </c>
      <c r="E290" s="9">
        <v>43</v>
      </c>
      <c r="F290" s="9">
        <v>0</v>
      </c>
      <c r="G290" s="10">
        <v>0</v>
      </c>
      <c r="H290" s="10">
        <v>0</v>
      </c>
      <c r="I290" s="11">
        <f>IFERROR(G290/H290, 0)</f>
      </c>
      <c r="J290" s="10">
        <v>0</v>
      </c>
      <c r="K290" s="10">
        <v>0</v>
      </c>
      <c r="L290" s="10">
        <v>0</v>
      </c>
      <c r="M290" s="12">
        <f>IFERROR(L290/K290, 0)</f>
      </c>
      <c r="N290" s="13">
        <f>IFERROR(J290/K290, 0)</f>
      </c>
      <c r="O290" s="10">
        <v>0</v>
      </c>
      <c r="P290" s="10">
        <v>0</v>
      </c>
      <c r="Q290" s="10">
        <v>0</v>
      </c>
      <c r="R290" s="11">
        <f>IFERROR(P290/Q290, 0)</f>
      </c>
      <c r="S290" s="10">
        <v>0</v>
      </c>
      <c r="T290" s="10">
        <v>0</v>
      </c>
      <c r="U290" s="11">
        <f>IFERROR(S290/T290, 0)</f>
      </c>
      <c r="V290" s="10">
        <f>IFERROR(S290/E290, 0)</f>
      </c>
      <c r="W290" s="10">
        <f>IFERROR(T290/F290, 0)</f>
      </c>
      <c r="X290" s="11">
        <f>IFERROR(V290/W290, 0)</f>
      </c>
    </row>
    <row r="291" spans="1:24" x14ac:dyDescent="0.25">
      <c r="A291" s="8" t="s">
        <v>257</v>
      </c>
      <c r="B291" s="8" t="s">
        <v>297</v>
      </c>
      <c r="C291" s="8" t="s">
        <v>24</v>
      </c>
      <c r="D291" s="8" t="s">
        <v>328</v>
      </c>
      <c r="E291" s="9">
        <v>22.37</v>
      </c>
      <c r="F291" s="9">
        <v>328.85</v>
      </c>
      <c r="G291" s="10">
        <v>0</v>
      </c>
      <c r="H291" s="10">
        <v>9835.132962962964</v>
      </c>
      <c r="I291" s="11">
        <f>IFERROR(G291/H291, 0)</f>
      </c>
      <c r="J291" s="10">
        <v>0</v>
      </c>
      <c r="K291" s="10">
        <v>0</v>
      </c>
      <c r="L291" s="10">
        <v>0</v>
      </c>
      <c r="M291" s="12">
        <f>IFERROR(L291/K291, 0)</f>
      </c>
      <c r="N291" s="13">
        <f>IFERROR(J291/K291, 0)</f>
      </c>
      <c r="O291" s="10">
        <v>0</v>
      </c>
      <c r="P291" s="10">
        <v>0</v>
      </c>
      <c r="Q291" s="10">
        <v>108186.4625925926</v>
      </c>
      <c r="R291" s="11">
        <f>IFERROR(P291/Q291, 0)</f>
      </c>
      <c r="S291" s="10">
        <v>13709</v>
      </c>
      <c r="T291" s="10">
        <v>1226285.7825925925</v>
      </c>
      <c r="U291" s="11">
        <f>IFERROR(S291/T291, 0)</f>
      </c>
      <c r="V291" s="10">
        <f>IFERROR(S291/E291, 0)</f>
      </c>
      <c r="W291" s="10">
        <f>IFERROR(T291/F291, 0)</f>
      </c>
      <c r="X291" s="11">
        <f>IFERROR(V291/W291, 0)</f>
      </c>
    </row>
    <row r="292" spans="1:24" x14ac:dyDescent="0.25">
      <c r="A292" s="8" t="s">
        <v>257</v>
      </c>
      <c r="B292" s="8" t="s">
        <v>297</v>
      </c>
      <c r="C292" s="8" t="s">
        <v>24</v>
      </c>
      <c r="D292" s="8" t="s">
        <v>329</v>
      </c>
      <c r="E292" s="9">
        <v>326.59</v>
      </c>
      <c r="F292" s="9">
        <v>296.2</v>
      </c>
      <c r="G292" s="10">
        <v>0</v>
      </c>
      <c r="H292" s="10">
        <v>8858.604444444445</v>
      </c>
      <c r="I292" s="11">
        <f>IFERROR(G292/H292, 0)</f>
      </c>
      <c r="J292" s="10">
        <v>0</v>
      </c>
      <c r="K292" s="10">
        <v>0</v>
      </c>
      <c r="L292" s="10">
        <v>0</v>
      </c>
      <c r="M292" s="12">
        <f>IFERROR(L292/K292, 0)</f>
      </c>
      <c r="N292" s="13">
        <f>IFERROR(J292/K292, 0)</f>
      </c>
      <c r="O292" s="10">
        <v>0</v>
      </c>
      <c r="P292" s="10">
        <v>0</v>
      </c>
      <c r="Q292" s="10">
        <v>97444.64888888889</v>
      </c>
      <c r="R292" s="11">
        <f>IFERROR(P292/Q292, 0)</f>
      </c>
      <c r="S292" s="10">
        <v>0</v>
      </c>
      <c r="T292" s="10">
        <v>1104528.078888889</v>
      </c>
      <c r="U292" s="11">
        <f>IFERROR(S292/T292, 0)</f>
      </c>
      <c r="V292" s="10">
        <f>IFERROR(S292/E292, 0)</f>
      </c>
      <c r="W292" s="10">
        <f>IFERROR(T292/F292, 0)</f>
      </c>
      <c r="X292" s="11">
        <f>IFERROR(V292/W292, 0)</f>
      </c>
    </row>
    <row r="293" spans="1:24" x14ac:dyDescent="0.25">
      <c r="A293" s="8" t="s">
        <v>257</v>
      </c>
      <c r="B293" s="8" t="s">
        <v>297</v>
      </c>
      <c r="C293" s="8" t="s">
        <v>24</v>
      </c>
      <c r="D293" s="8" t="s">
        <v>330</v>
      </c>
      <c r="E293" s="9">
        <v>160</v>
      </c>
      <c r="F293" s="9">
        <v>274.47</v>
      </c>
      <c r="G293" s="10">
        <v>0</v>
      </c>
      <c r="H293" s="10">
        <v>8208.623333333333</v>
      </c>
      <c r="I293" s="11">
        <f>IFERROR(G293/H293, 0)</f>
      </c>
      <c r="J293" s="10">
        <v>0</v>
      </c>
      <c r="K293" s="10">
        <v>0</v>
      </c>
      <c r="L293" s="10">
        <v>0</v>
      </c>
      <c r="M293" s="12">
        <f>IFERROR(L293/K293, 0)</f>
      </c>
      <c r="N293" s="13">
        <f>IFERROR(J293/K293, 0)</f>
      </c>
      <c r="O293" s="10">
        <v>0</v>
      </c>
      <c r="P293" s="10">
        <v>0</v>
      </c>
      <c r="Q293" s="10">
        <v>90294.85666666667</v>
      </c>
      <c r="R293" s="11">
        <f>IFERROR(P293/Q293, 0)</f>
      </c>
      <c r="S293" s="10">
        <v>0</v>
      </c>
      <c r="T293" s="10">
        <v>1023485.7166666667</v>
      </c>
      <c r="U293" s="11">
        <f>IFERROR(S293/T293, 0)</f>
      </c>
      <c r="V293" s="10">
        <f>IFERROR(S293/E293, 0)</f>
      </c>
      <c r="W293" s="10">
        <f>IFERROR(T293/F293, 0)</f>
      </c>
      <c r="X293" s="11">
        <f>IFERROR(V293/W293, 0)</f>
      </c>
    </row>
    <row r="294" spans="1:24" x14ac:dyDescent="0.25">
      <c r="A294" s="8" t="s">
        <v>257</v>
      </c>
      <c r="B294" s="8" t="s">
        <v>297</v>
      </c>
      <c r="C294" s="8" t="s">
        <v>24</v>
      </c>
      <c r="D294" s="8" t="s">
        <v>331</v>
      </c>
      <c r="E294" s="9">
        <v>0</v>
      </c>
      <c r="F294" s="9">
        <v>2.71</v>
      </c>
      <c r="G294" s="10">
        <v>0</v>
      </c>
      <c r="H294" s="10">
        <v>81.19185185185185</v>
      </c>
      <c r="I294" s="11">
        <f>IFERROR(G294/H294, 0)</f>
      </c>
      <c r="J294" s="10">
        <v>0</v>
      </c>
      <c r="K294" s="10">
        <v>0</v>
      </c>
      <c r="L294" s="10">
        <v>0</v>
      </c>
      <c r="M294" s="12">
        <f>IFERROR(L294/K294, 0)</f>
      </c>
      <c r="N294" s="13">
        <f>IFERROR(J294/K294, 0)</f>
      </c>
      <c r="O294" s="10">
        <v>0</v>
      </c>
      <c r="P294" s="10">
        <v>0</v>
      </c>
      <c r="Q294" s="10">
        <v>893.1103703703703</v>
      </c>
      <c r="R294" s="11">
        <f>IFERROR(P294/Q294, 0)</f>
      </c>
      <c r="S294" s="10">
        <v>0</v>
      </c>
      <c r="T294" s="10">
        <v>10123.36037037037</v>
      </c>
      <c r="U294" s="11">
        <f>IFERROR(S294/T294, 0)</f>
      </c>
      <c r="V294" s="10">
        <f>IFERROR(S294/E294, 0)</f>
      </c>
      <c r="W294" s="10">
        <f>IFERROR(T294/F294, 0)</f>
      </c>
      <c r="X294" s="11">
        <f>IFERROR(V294/W294, 0)</f>
      </c>
    </row>
    <row r="295" spans="1:24" x14ac:dyDescent="0.25">
      <c r="A295" s="8" t="s">
        <v>257</v>
      </c>
      <c r="B295" s="8" t="s">
        <v>297</v>
      </c>
      <c r="C295" s="8" t="s">
        <v>24</v>
      </c>
      <c r="D295" s="8" t="s">
        <v>332</v>
      </c>
      <c r="E295" s="9">
        <v>0</v>
      </c>
      <c r="F295" s="9">
        <v>0</v>
      </c>
      <c r="G295" s="10">
        <v>0</v>
      </c>
      <c r="H295" s="10">
        <v>0</v>
      </c>
      <c r="I295" s="11">
        <f>IFERROR(G295/H295, 0)</f>
      </c>
      <c r="J295" s="10">
        <v>0</v>
      </c>
      <c r="K295" s="10">
        <v>0</v>
      </c>
      <c r="L295" s="10">
        <v>0</v>
      </c>
      <c r="M295" s="12">
        <f>IFERROR(L295/K295, 0)</f>
      </c>
      <c r="N295" s="13">
        <f>IFERROR(J295/K295, 0)</f>
      </c>
      <c r="O295" s="10">
        <v>0</v>
      </c>
      <c r="P295" s="10">
        <v>0</v>
      </c>
      <c r="Q295" s="10">
        <v>0</v>
      </c>
      <c r="R295" s="11">
        <f>IFERROR(P295/Q295, 0)</f>
      </c>
      <c r="S295" s="10">
        <v>0</v>
      </c>
      <c r="T295" s="10">
        <v>0</v>
      </c>
      <c r="U295" s="11">
        <f>IFERROR(S295/T295, 0)</f>
      </c>
      <c r="V295" s="10">
        <f>IFERROR(S295/E295, 0)</f>
      </c>
      <c r="W295" s="10">
        <f>IFERROR(T295/F295, 0)</f>
      </c>
      <c r="X295" s="11">
        <f>IFERROR(V295/W295, 0)</f>
      </c>
    </row>
    <row r="296" spans="1:24" x14ac:dyDescent="0.25">
      <c r="A296" s="8" t="s">
        <v>257</v>
      </c>
      <c r="B296" s="8" t="s">
        <v>297</v>
      </c>
      <c r="C296" s="8" t="s">
        <v>24</v>
      </c>
      <c r="D296" s="8" t="s">
        <v>333</v>
      </c>
      <c r="E296" s="9">
        <v>454.32</v>
      </c>
      <c r="F296" s="9">
        <v>392.88</v>
      </c>
      <c r="G296" s="10">
        <v>0</v>
      </c>
      <c r="H296" s="10">
        <v>11750.151851851851</v>
      </c>
      <c r="I296" s="11">
        <f>IFERROR(G296/H296, 0)</f>
      </c>
      <c r="J296" s="10">
        <v>40</v>
      </c>
      <c r="K296" s="10">
        <v>18</v>
      </c>
      <c r="L296" s="10">
        <v>5858</v>
      </c>
      <c r="M296" s="12">
        <f>IFERROR(L296/K296, 0)</f>
      </c>
      <c r="N296" s="13">
        <f>IFERROR(J296/K296, 0)</f>
      </c>
      <c r="O296" s="10">
        <v>13253</v>
      </c>
      <c r="P296" s="10">
        <v>89553</v>
      </c>
      <c r="Q296" s="10">
        <v>129251.67037037037</v>
      </c>
      <c r="R296" s="11">
        <f>IFERROR(P296/Q296, 0)</f>
      </c>
      <c r="S296" s="10">
        <v>2014104</v>
      </c>
      <c r="T296" s="10">
        <v>1465058.4303703704</v>
      </c>
      <c r="U296" s="11">
        <f>IFERROR(S296/T296, 0)</f>
      </c>
      <c r="V296" s="10">
        <f>IFERROR(S296/E296, 0)</f>
      </c>
      <c r="W296" s="10">
        <f>IFERROR(T296/F296, 0)</f>
      </c>
      <c r="X296" s="11">
        <f>IFERROR(V296/W296, 0)</f>
      </c>
    </row>
    <row r="297" spans="1:24" x14ac:dyDescent="0.25">
      <c r="A297" s="8" t="s">
        <v>257</v>
      </c>
      <c r="B297" s="8" t="s">
        <v>297</v>
      </c>
      <c r="C297" s="8" t="s">
        <v>24</v>
      </c>
      <c r="D297" s="8" t="s">
        <v>334</v>
      </c>
      <c r="E297" s="9">
        <v>0</v>
      </c>
      <c r="F297" s="9">
        <v>550.22</v>
      </c>
      <c r="G297" s="10">
        <v>0</v>
      </c>
      <c r="H297" s="10">
        <v>16455.507037037038</v>
      </c>
      <c r="I297" s="11">
        <f>IFERROR(G297/H297, 0)</f>
      </c>
      <c r="J297" s="10">
        <v>0</v>
      </c>
      <c r="K297" s="10">
        <v>0</v>
      </c>
      <c r="L297" s="10">
        <v>0</v>
      </c>
      <c r="M297" s="12">
        <f>IFERROR(L297/K297, 0)</f>
      </c>
      <c r="N297" s="13">
        <f>IFERROR(J297/K297, 0)</f>
      </c>
      <c r="O297" s="10">
        <v>0</v>
      </c>
      <c r="P297" s="10">
        <v>0</v>
      </c>
      <c r="Q297" s="10">
        <v>181010.5774074074</v>
      </c>
      <c r="R297" s="11">
        <f>IFERROR(P297/Q297, 0)</f>
      </c>
      <c r="S297" s="10">
        <v>0</v>
      </c>
      <c r="T297" s="10">
        <v>2051741.8974074074</v>
      </c>
      <c r="U297" s="11">
        <f>IFERROR(S297/T297, 0)</f>
      </c>
      <c r="V297" s="10">
        <f>IFERROR(S297/E297, 0)</f>
      </c>
      <c r="W297" s="10">
        <f>IFERROR(T297/F297, 0)</f>
      </c>
      <c r="X297" s="11">
        <f>IFERROR(V297/W297, 0)</f>
      </c>
    </row>
    <row r="298" spans="1:24" x14ac:dyDescent="0.25">
      <c r="A298" s="8" t="s">
        <v>257</v>
      </c>
      <c r="B298" s="8" t="s">
        <v>297</v>
      </c>
      <c r="C298" s="8" t="s">
        <v>24</v>
      </c>
      <c r="D298" s="8" t="s">
        <v>335</v>
      </c>
      <c r="E298" s="9">
        <v>0</v>
      </c>
      <c r="F298" s="9">
        <v>0</v>
      </c>
      <c r="G298" s="10">
        <v>0</v>
      </c>
      <c r="H298" s="10">
        <v>0</v>
      </c>
      <c r="I298" s="11">
        <f>IFERROR(G298/H298, 0)</f>
      </c>
      <c r="J298" s="10">
        <v>0</v>
      </c>
      <c r="K298" s="10">
        <v>0</v>
      </c>
      <c r="L298" s="10">
        <v>0</v>
      </c>
      <c r="M298" s="12">
        <f>IFERROR(L298/K298, 0)</f>
      </c>
      <c r="N298" s="13">
        <f>IFERROR(J298/K298, 0)</f>
      </c>
      <c r="O298" s="10">
        <v>0</v>
      </c>
      <c r="P298" s="10">
        <v>0</v>
      </c>
      <c r="Q298" s="10">
        <v>0</v>
      </c>
      <c r="R298" s="11">
        <f>IFERROR(P298/Q298, 0)</f>
      </c>
      <c r="S298" s="10">
        <v>0</v>
      </c>
      <c r="T298" s="10">
        <v>0</v>
      </c>
      <c r="U298" s="11">
        <f>IFERROR(S298/T298, 0)</f>
      </c>
      <c r="V298" s="10">
        <f>IFERROR(S298/E298, 0)</f>
      </c>
      <c r="W298" s="10">
        <f>IFERROR(T298/F298, 0)</f>
      </c>
      <c r="X298" s="11">
        <f>IFERROR(V298/W298, 0)</f>
      </c>
    </row>
    <row r="299" spans="1:24" x14ac:dyDescent="0.25">
      <c r="A299" s="8" t="s">
        <v>257</v>
      </c>
      <c r="B299" s="8" t="s">
        <v>297</v>
      </c>
      <c r="C299" s="8" t="s">
        <v>24</v>
      </c>
      <c r="D299" s="8" t="s">
        <v>336</v>
      </c>
      <c r="E299" s="9">
        <v>0</v>
      </c>
      <c r="F299" s="9">
        <v>0</v>
      </c>
      <c r="G299" s="10">
        <v>0</v>
      </c>
      <c r="H299" s="10">
        <v>0</v>
      </c>
      <c r="I299" s="11">
        <f>IFERROR(G299/H299, 0)</f>
      </c>
      <c r="J299" s="10">
        <v>0</v>
      </c>
      <c r="K299" s="10">
        <v>0</v>
      </c>
      <c r="L299" s="10">
        <v>0</v>
      </c>
      <c r="M299" s="12">
        <f>IFERROR(L299/K299, 0)</f>
      </c>
      <c r="N299" s="13">
        <f>IFERROR(J299/K299, 0)</f>
      </c>
      <c r="O299" s="10">
        <v>0</v>
      </c>
      <c r="P299" s="10">
        <v>0</v>
      </c>
      <c r="Q299" s="10">
        <v>0</v>
      </c>
      <c r="R299" s="11">
        <f>IFERROR(P299/Q299, 0)</f>
      </c>
      <c r="S299" s="10">
        <v>0</v>
      </c>
      <c r="T299" s="10">
        <v>0</v>
      </c>
      <c r="U299" s="11">
        <f>IFERROR(S299/T299, 0)</f>
      </c>
      <c r="V299" s="10">
        <f>IFERROR(S299/E299, 0)</f>
      </c>
      <c r="W299" s="10">
        <f>IFERROR(T299/F299, 0)</f>
      </c>
      <c r="X299" s="11">
        <f>IFERROR(V299/W299, 0)</f>
      </c>
    </row>
    <row r="300" spans="1:24" x14ac:dyDescent="0.25">
      <c r="A300" s="8" t="s">
        <v>257</v>
      </c>
      <c r="B300" s="8" t="s">
        <v>297</v>
      </c>
      <c r="C300" s="8" t="s">
        <v>24</v>
      </c>
      <c r="D300" s="8" t="s">
        <v>337</v>
      </c>
      <c r="E300" s="9">
        <v>0</v>
      </c>
      <c r="F300" s="9">
        <v>0</v>
      </c>
      <c r="G300" s="10">
        <v>0</v>
      </c>
      <c r="H300" s="10">
        <v>0</v>
      </c>
      <c r="I300" s="11">
        <f>IFERROR(G300/H300, 0)</f>
      </c>
      <c r="J300" s="10">
        <v>0</v>
      </c>
      <c r="K300" s="10">
        <v>0</v>
      </c>
      <c r="L300" s="10">
        <v>0</v>
      </c>
      <c r="M300" s="12">
        <f>IFERROR(L300/K300, 0)</f>
      </c>
      <c r="N300" s="13">
        <f>IFERROR(J300/K300, 0)</f>
      </c>
      <c r="O300" s="10">
        <v>0</v>
      </c>
      <c r="P300" s="10">
        <v>0</v>
      </c>
      <c r="Q300" s="10">
        <v>0</v>
      </c>
      <c r="R300" s="11">
        <f>IFERROR(P300/Q300, 0)</f>
      </c>
      <c r="S300" s="10">
        <v>0</v>
      </c>
      <c r="T300" s="10">
        <v>0</v>
      </c>
      <c r="U300" s="11">
        <f>IFERROR(S300/T300, 0)</f>
      </c>
      <c r="V300" s="10">
        <f>IFERROR(S300/E300, 0)</f>
      </c>
      <c r="W300" s="10">
        <f>IFERROR(T300/F300, 0)</f>
      </c>
      <c r="X300" s="11">
        <f>IFERROR(V300/W300, 0)</f>
      </c>
    </row>
    <row r="301" spans="1:24" x14ac:dyDescent="0.25">
      <c r="A301" s="8" t="s">
        <v>257</v>
      </c>
      <c r="B301" s="8" t="s">
        <v>297</v>
      </c>
      <c r="C301" s="8" t="s">
        <v>24</v>
      </c>
      <c r="D301" s="8" t="s">
        <v>338</v>
      </c>
      <c r="E301" s="9">
        <v>0</v>
      </c>
      <c r="F301" s="9">
        <v>0</v>
      </c>
      <c r="G301" s="10">
        <v>0</v>
      </c>
      <c r="H301" s="10">
        <v>0</v>
      </c>
      <c r="I301" s="11">
        <f>IFERROR(G301/H301, 0)</f>
      </c>
      <c r="J301" s="10">
        <v>0</v>
      </c>
      <c r="K301" s="10">
        <v>0</v>
      </c>
      <c r="L301" s="10">
        <v>0</v>
      </c>
      <c r="M301" s="12">
        <f>IFERROR(L301/K301, 0)</f>
      </c>
      <c r="N301" s="13">
        <f>IFERROR(J301/K301, 0)</f>
      </c>
      <c r="O301" s="10">
        <v>0</v>
      </c>
      <c r="P301" s="10">
        <v>0</v>
      </c>
      <c r="Q301" s="10">
        <v>0</v>
      </c>
      <c r="R301" s="11">
        <f>IFERROR(P301/Q301, 0)</f>
      </c>
      <c r="S301" s="10">
        <v>0</v>
      </c>
      <c r="T301" s="10">
        <v>0</v>
      </c>
      <c r="U301" s="11">
        <f>IFERROR(S301/T301, 0)</f>
      </c>
      <c r="V301" s="10">
        <f>IFERROR(S301/E301, 0)</f>
      </c>
      <c r="W301" s="10">
        <f>IFERROR(T301/F301, 0)</f>
      </c>
      <c r="X301" s="11">
        <f>IFERROR(V301/W301, 0)</f>
      </c>
    </row>
    <row r="302" spans="1:24" x14ac:dyDescent="0.25">
      <c r="A302" s="8" t="s">
        <v>257</v>
      </c>
      <c r="B302" s="8" t="s">
        <v>297</v>
      </c>
      <c r="C302" s="8" t="s">
        <v>24</v>
      </c>
      <c r="D302" s="8" t="s">
        <v>339</v>
      </c>
      <c r="E302" s="9">
        <v>375.84</v>
      </c>
      <c r="F302" s="9">
        <v>496.85</v>
      </c>
      <c r="G302" s="10">
        <v>0</v>
      </c>
      <c r="H302" s="10">
        <v>14859.472222222223</v>
      </c>
      <c r="I302" s="11">
        <f>IFERROR(G302/H302, 0)</f>
      </c>
      <c r="J302" s="10">
        <v>0</v>
      </c>
      <c r="K302" s="10">
        <v>0</v>
      </c>
      <c r="L302" s="10">
        <v>0</v>
      </c>
      <c r="M302" s="12">
        <f>IFERROR(L302/K302, 0)</f>
      </c>
      <c r="N302" s="13">
        <f>IFERROR(J302/K302, 0)</f>
      </c>
      <c r="O302" s="10">
        <v>0</v>
      </c>
      <c r="P302" s="10">
        <v>0</v>
      </c>
      <c r="Q302" s="10">
        <v>163454.19444444444</v>
      </c>
      <c r="R302" s="11">
        <f>IFERROR(P302/Q302, 0)</f>
      </c>
      <c r="S302" s="10">
        <v>0</v>
      </c>
      <c r="T302" s="10">
        <v>1852741.5644444444</v>
      </c>
      <c r="U302" s="11">
        <f>IFERROR(S302/T302, 0)</f>
      </c>
      <c r="V302" s="10">
        <f>IFERROR(S302/E302, 0)</f>
      </c>
      <c r="W302" s="10">
        <f>IFERROR(T302/F302, 0)</f>
      </c>
      <c r="X302" s="11">
        <f>IFERROR(V302/W302, 0)</f>
      </c>
    </row>
    <row r="303" spans="1:24" x14ac:dyDescent="0.25">
      <c r="A303" s="8" t="s">
        <v>257</v>
      </c>
      <c r="B303" s="8" t="s">
        <v>297</v>
      </c>
      <c r="C303" s="8" t="s">
        <v>24</v>
      </c>
      <c r="D303" s="8" t="s">
        <v>340</v>
      </c>
      <c r="E303" s="9">
        <v>22</v>
      </c>
      <c r="F303" s="9">
        <v>27.88</v>
      </c>
      <c r="G303" s="10">
        <v>0</v>
      </c>
      <c r="H303" s="10">
        <v>833.9418518518519</v>
      </c>
      <c r="I303" s="11">
        <f>IFERROR(G303/H303, 0)</f>
      </c>
      <c r="J303" s="10">
        <v>0</v>
      </c>
      <c r="K303" s="10">
        <v>0</v>
      </c>
      <c r="L303" s="10">
        <v>0</v>
      </c>
      <c r="M303" s="12">
        <f>IFERROR(L303/K303, 0)</f>
      </c>
      <c r="N303" s="13">
        <f>IFERROR(J303/K303, 0)</f>
      </c>
      <c r="O303" s="10">
        <v>0</v>
      </c>
      <c r="P303" s="10">
        <v>0</v>
      </c>
      <c r="Q303" s="10">
        <v>9173.36037037037</v>
      </c>
      <c r="R303" s="11">
        <f>IFERROR(P303/Q303, 0)</f>
      </c>
      <c r="S303" s="10">
        <v>17181</v>
      </c>
      <c r="T303" s="10">
        <v>103979.40037037036</v>
      </c>
      <c r="U303" s="11">
        <f>IFERROR(S303/T303, 0)</f>
      </c>
      <c r="V303" s="10">
        <f>IFERROR(S303/E303, 0)</f>
      </c>
      <c r="W303" s="10">
        <f>IFERROR(T303/F303, 0)</f>
      </c>
      <c r="X303" s="11">
        <f>IFERROR(V303/W303, 0)</f>
      </c>
    </row>
    <row r="304" spans="1:24" x14ac:dyDescent="0.25">
      <c r="A304" s="8" t="s">
        <v>257</v>
      </c>
      <c r="B304" s="8" t="s">
        <v>297</v>
      </c>
      <c r="C304" s="8" t="s">
        <v>24</v>
      </c>
      <c r="D304" s="8" t="s">
        <v>341</v>
      </c>
      <c r="E304" s="9">
        <v>75.55</v>
      </c>
      <c r="F304" s="9">
        <v>62.04</v>
      </c>
      <c r="G304" s="10">
        <v>0</v>
      </c>
      <c r="H304" s="10">
        <v>1855.404074074074</v>
      </c>
      <c r="I304" s="11">
        <f>IFERROR(G304/H304, 0)</f>
      </c>
      <c r="J304" s="10">
        <v>0</v>
      </c>
      <c r="K304" s="10">
        <v>0</v>
      </c>
      <c r="L304" s="10">
        <v>0</v>
      </c>
      <c r="M304" s="12">
        <f>IFERROR(L304/K304, 0)</f>
      </c>
      <c r="N304" s="13">
        <f>IFERROR(J304/K304, 0)</f>
      </c>
      <c r="O304" s="10">
        <v>0</v>
      </c>
      <c r="P304" s="10">
        <v>0</v>
      </c>
      <c r="Q304" s="10">
        <v>20409.444814814815</v>
      </c>
      <c r="R304" s="11">
        <f>IFERROR(P304/Q304, 0)</f>
      </c>
      <c r="S304" s="10">
        <v>26572</v>
      </c>
      <c r="T304" s="10">
        <v>231339.61481481482</v>
      </c>
      <c r="U304" s="11">
        <f>IFERROR(S304/T304, 0)</f>
      </c>
      <c r="V304" s="10">
        <f>IFERROR(S304/E304, 0)</f>
      </c>
      <c r="W304" s="10">
        <f>IFERROR(T304/F304, 0)</f>
      </c>
      <c r="X304" s="11">
        <f>IFERROR(V304/W304, 0)</f>
      </c>
    </row>
    <row r="305" spans="1:24" x14ac:dyDescent="0.25">
      <c r="A305" s="8" t="s">
        <v>257</v>
      </c>
      <c r="B305" s="8" t="s">
        <v>297</v>
      </c>
      <c r="C305" s="8" t="s">
        <v>24</v>
      </c>
      <c r="D305" s="8" t="s">
        <v>342</v>
      </c>
      <c r="E305" s="9">
        <v>604.25</v>
      </c>
      <c r="F305" s="9">
        <v>451.69</v>
      </c>
      <c r="G305" s="10">
        <v>0</v>
      </c>
      <c r="H305" s="10">
        <v>13509.015555555556</v>
      </c>
      <c r="I305" s="11">
        <f>IFERROR(G305/H305, 0)</f>
      </c>
      <c r="J305" s="10">
        <v>0</v>
      </c>
      <c r="K305" s="10">
        <v>0</v>
      </c>
      <c r="L305" s="10">
        <v>0</v>
      </c>
      <c r="M305" s="12">
        <f>IFERROR(L305/K305, 0)</f>
      </c>
      <c r="N305" s="13">
        <f>IFERROR(J305/K305, 0)</f>
      </c>
      <c r="O305" s="10">
        <v>0</v>
      </c>
      <c r="P305" s="10">
        <v>0</v>
      </c>
      <c r="Q305" s="10">
        <v>148599.17111111112</v>
      </c>
      <c r="R305" s="11">
        <f>IFERROR(P305/Q305, 0)</f>
      </c>
      <c r="S305" s="10">
        <v>0</v>
      </c>
      <c r="T305" s="10">
        <v>1684360.951111111</v>
      </c>
      <c r="U305" s="11">
        <f>IFERROR(S305/T305, 0)</f>
      </c>
      <c r="V305" s="10">
        <f>IFERROR(S305/E305, 0)</f>
      </c>
      <c r="W305" s="10">
        <f>IFERROR(T305/F305, 0)</f>
      </c>
      <c r="X305" s="11">
        <f>IFERROR(V305/W305, 0)</f>
      </c>
    </row>
    <row r="306" spans="1:24" x14ac:dyDescent="0.25">
      <c r="A306" s="8" t="s">
        <v>257</v>
      </c>
      <c r="B306" s="8" t="s">
        <v>297</v>
      </c>
      <c r="C306" s="8" t="s">
        <v>24</v>
      </c>
      <c r="D306" s="8" t="s">
        <v>343</v>
      </c>
      <c r="E306" s="9">
        <v>5.65</v>
      </c>
      <c r="F306" s="9">
        <v>4.14</v>
      </c>
      <c r="G306" s="10">
        <v>0</v>
      </c>
      <c r="H306" s="10">
        <v>123.67888888888889</v>
      </c>
      <c r="I306" s="11">
        <f>IFERROR(G306/H306, 0)</f>
      </c>
      <c r="J306" s="10">
        <v>0</v>
      </c>
      <c r="K306" s="10">
        <v>0</v>
      </c>
      <c r="L306" s="10">
        <v>0</v>
      </c>
      <c r="M306" s="12">
        <f>IFERROR(L306/K306, 0)</f>
      </c>
      <c r="N306" s="13">
        <f>IFERROR(J306/K306, 0)</f>
      </c>
      <c r="O306" s="10">
        <v>0</v>
      </c>
      <c r="P306" s="10">
        <v>0</v>
      </c>
      <c r="Q306" s="10">
        <v>1360.4677777777779</v>
      </c>
      <c r="R306" s="11">
        <f>IFERROR(P306/Q306, 0)</f>
      </c>
      <c r="S306" s="10">
        <v>0</v>
      </c>
      <c r="T306" s="10">
        <v>15420.797777777778</v>
      </c>
      <c r="U306" s="11">
        <f>IFERROR(S306/T306, 0)</f>
      </c>
      <c r="V306" s="10">
        <f>IFERROR(S306/E306, 0)</f>
      </c>
      <c r="W306" s="10">
        <f>IFERROR(T306/F306, 0)</f>
      </c>
      <c r="X306" s="11">
        <f>IFERROR(V306/W306, 0)</f>
      </c>
    </row>
    <row r="307" spans="1:24" x14ac:dyDescent="0.25">
      <c r="A307" s="8" t="s">
        <v>257</v>
      </c>
      <c r="B307" s="8" t="s">
        <v>297</v>
      </c>
      <c r="C307" s="8" t="s">
        <v>24</v>
      </c>
      <c r="D307" s="8" t="s">
        <v>344</v>
      </c>
      <c r="E307" s="9">
        <v>0</v>
      </c>
      <c r="F307" s="9">
        <v>0</v>
      </c>
      <c r="G307" s="10">
        <v>0</v>
      </c>
      <c r="H307" s="10">
        <v>0</v>
      </c>
      <c r="I307" s="11">
        <f>IFERROR(G307/H307, 0)</f>
      </c>
      <c r="J307" s="10">
        <v>0</v>
      </c>
      <c r="K307" s="10">
        <v>0</v>
      </c>
      <c r="L307" s="10">
        <v>0</v>
      </c>
      <c r="M307" s="12">
        <f>IFERROR(L307/K307, 0)</f>
      </c>
      <c r="N307" s="13">
        <f>IFERROR(J307/K307, 0)</f>
      </c>
      <c r="O307" s="10">
        <v>0</v>
      </c>
      <c r="P307" s="10">
        <v>0</v>
      </c>
      <c r="Q307" s="10">
        <v>0</v>
      </c>
      <c r="R307" s="11">
        <f>IFERROR(P307/Q307, 0)</f>
      </c>
      <c r="S307" s="10">
        <v>0</v>
      </c>
      <c r="T307" s="10">
        <v>0</v>
      </c>
      <c r="U307" s="11">
        <f>IFERROR(S307/T307, 0)</f>
      </c>
      <c r="V307" s="10">
        <f>IFERROR(S307/E307, 0)</f>
      </c>
      <c r="W307" s="10">
        <f>IFERROR(T307/F307, 0)</f>
      </c>
      <c r="X307" s="11">
        <f>IFERROR(V307/W307, 0)</f>
      </c>
    </row>
    <row r="308" spans="1:24" x14ac:dyDescent="0.25">
      <c r="A308" s="8" t="s">
        <v>257</v>
      </c>
      <c r="B308" s="8" t="s">
        <v>297</v>
      </c>
      <c r="C308" s="8" t="s">
        <v>24</v>
      </c>
      <c r="D308" s="8" t="s">
        <v>345</v>
      </c>
      <c r="E308" s="9">
        <v>404</v>
      </c>
      <c r="F308" s="9">
        <v>300.8</v>
      </c>
      <c r="G308" s="10">
        <v>0</v>
      </c>
      <c r="H308" s="10">
        <v>8996.297037037037</v>
      </c>
      <c r="I308" s="11">
        <f>IFERROR(G308/H308, 0)</f>
      </c>
      <c r="J308" s="10">
        <v>0</v>
      </c>
      <c r="K308" s="10">
        <v>0</v>
      </c>
      <c r="L308" s="10">
        <v>0</v>
      </c>
      <c r="M308" s="12">
        <f>IFERROR(L308/K308, 0)</f>
      </c>
      <c r="N308" s="13">
        <f>IFERROR(J308/K308, 0)</f>
      </c>
      <c r="O308" s="10">
        <v>0</v>
      </c>
      <c r="P308" s="10">
        <v>0</v>
      </c>
      <c r="Q308" s="10">
        <v>98959.2674074074</v>
      </c>
      <c r="R308" s="11">
        <f>IFERROR(P308/Q308, 0)</f>
      </c>
      <c r="S308" s="10">
        <v>0</v>
      </c>
      <c r="T308" s="10">
        <v>1121696.1874074074</v>
      </c>
      <c r="U308" s="11">
        <f>IFERROR(S308/T308, 0)</f>
      </c>
      <c r="V308" s="10">
        <f>IFERROR(S308/E308, 0)</f>
      </c>
      <c r="W308" s="10">
        <f>IFERROR(T308/F308, 0)</f>
      </c>
      <c r="X308" s="11">
        <f>IFERROR(V308/W308, 0)</f>
      </c>
    </row>
    <row r="309" spans="1:24" x14ac:dyDescent="0.25">
      <c r="A309" s="8" t="s">
        <v>257</v>
      </c>
      <c r="B309" s="8" t="s">
        <v>297</v>
      </c>
      <c r="C309" s="8" t="s">
        <v>24</v>
      </c>
      <c r="D309" s="8" t="s">
        <v>346</v>
      </c>
      <c r="E309" s="9">
        <v>7.94</v>
      </c>
      <c r="F309" s="9">
        <v>0</v>
      </c>
      <c r="G309" s="10">
        <v>0</v>
      </c>
      <c r="H309" s="10">
        <v>0</v>
      </c>
      <c r="I309" s="11">
        <f>IFERROR(G309/H309, 0)</f>
      </c>
      <c r="J309" s="10">
        <v>0</v>
      </c>
      <c r="K309" s="10">
        <v>0</v>
      </c>
      <c r="L309" s="10">
        <v>0</v>
      </c>
      <c r="M309" s="12">
        <f>IFERROR(L309/K309, 0)</f>
      </c>
      <c r="N309" s="13">
        <f>IFERROR(J309/K309, 0)</f>
      </c>
      <c r="O309" s="10">
        <v>0</v>
      </c>
      <c r="P309" s="10">
        <v>0</v>
      </c>
      <c r="Q309" s="10">
        <v>0</v>
      </c>
      <c r="R309" s="11">
        <f>IFERROR(P309/Q309, 0)</f>
      </c>
      <c r="S309" s="10">
        <v>0</v>
      </c>
      <c r="T309" s="10">
        <v>0</v>
      </c>
      <c r="U309" s="11">
        <f>IFERROR(S309/T309, 0)</f>
      </c>
      <c r="V309" s="10">
        <f>IFERROR(S309/E309, 0)</f>
      </c>
      <c r="W309" s="10">
        <f>IFERROR(T309/F309, 0)</f>
      </c>
      <c r="X309" s="11">
        <f>IFERROR(V309/W309, 0)</f>
      </c>
    </row>
    <row r="310" spans="1:24" x14ac:dyDescent="0.25">
      <c r="A310" s="8" t="s">
        <v>257</v>
      </c>
      <c r="B310" s="8" t="s">
        <v>297</v>
      </c>
      <c r="C310" s="8" t="s">
        <v>24</v>
      </c>
      <c r="D310" s="8" t="s">
        <v>347</v>
      </c>
      <c r="E310" s="9">
        <v>0</v>
      </c>
      <c r="F310" s="9">
        <v>13.28</v>
      </c>
      <c r="G310" s="10">
        <v>0</v>
      </c>
      <c r="H310" s="10">
        <v>397.0622222222222</v>
      </c>
      <c r="I310" s="11">
        <f>IFERROR(G310/H310, 0)</f>
      </c>
      <c r="J310" s="10">
        <v>0</v>
      </c>
      <c r="K310" s="10">
        <v>0</v>
      </c>
      <c r="L310" s="10">
        <v>0</v>
      </c>
      <c r="M310" s="12">
        <f>IFERROR(L310/K310, 0)</f>
      </c>
      <c r="N310" s="13">
        <f>IFERROR(J310/K310, 0)</f>
      </c>
      <c r="O310" s="10">
        <v>0</v>
      </c>
      <c r="P310" s="10">
        <v>0</v>
      </c>
      <c r="Q310" s="10">
        <v>4367.684444444444</v>
      </c>
      <c r="R310" s="11">
        <f>IFERROR(P310/Q310, 0)</f>
      </c>
      <c r="S310" s="10">
        <v>0</v>
      </c>
      <c r="T310" s="10">
        <v>49507.404444444444</v>
      </c>
      <c r="U310" s="11">
        <f>IFERROR(S310/T310, 0)</f>
      </c>
      <c r="V310" s="10">
        <f>IFERROR(S310/E310, 0)</f>
      </c>
      <c r="W310" s="10">
        <f>IFERROR(T310/F310, 0)</f>
      </c>
      <c r="X310" s="11">
        <f>IFERROR(V310/W310, 0)</f>
      </c>
    </row>
    <row r="311" spans="1:24" x14ac:dyDescent="0.25">
      <c r="A311" s="8" t="s">
        <v>257</v>
      </c>
      <c r="B311" s="8" t="s">
        <v>297</v>
      </c>
      <c r="C311" s="8" t="s">
        <v>24</v>
      </c>
      <c r="D311" s="8" t="s">
        <v>348</v>
      </c>
      <c r="E311" s="9">
        <v>0</v>
      </c>
      <c r="F311" s="9">
        <v>2.71</v>
      </c>
      <c r="G311" s="10">
        <v>0</v>
      </c>
      <c r="H311" s="10">
        <v>80.96962962962962</v>
      </c>
      <c r="I311" s="11">
        <f>IFERROR(G311/H311, 0)</f>
      </c>
      <c r="J311" s="10">
        <v>0</v>
      </c>
      <c r="K311" s="10">
        <v>0</v>
      </c>
      <c r="L311" s="10">
        <v>0</v>
      </c>
      <c r="M311" s="12">
        <f>IFERROR(L311/K311, 0)</f>
      </c>
      <c r="N311" s="13">
        <f>IFERROR(J311/K311, 0)</f>
      </c>
      <c r="O311" s="10">
        <v>0</v>
      </c>
      <c r="P311" s="10">
        <v>0</v>
      </c>
      <c r="Q311" s="10">
        <v>890.6659259259259</v>
      </c>
      <c r="R311" s="11">
        <f>IFERROR(P311/Q311, 0)</f>
      </c>
      <c r="S311" s="10">
        <v>0</v>
      </c>
      <c r="T311" s="10">
        <v>10095.635925925926</v>
      </c>
      <c r="U311" s="11">
        <f>IFERROR(S311/T311, 0)</f>
      </c>
      <c r="V311" s="10">
        <f>IFERROR(S311/E311, 0)</f>
      </c>
      <c r="W311" s="10">
        <f>IFERROR(T311/F311, 0)</f>
      </c>
      <c r="X311" s="11">
        <f>IFERROR(V311/W311, 0)</f>
      </c>
    </row>
    <row r="312" spans="1:24" x14ac:dyDescent="0.25">
      <c r="A312" s="8" t="s">
        <v>257</v>
      </c>
      <c r="B312" s="8" t="s">
        <v>297</v>
      </c>
      <c r="C312" s="8" t="s">
        <v>24</v>
      </c>
      <c r="D312" s="8" t="s">
        <v>349</v>
      </c>
      <c r="E312" s="9">
        <v>0</v>
      </c>
      <c r="F312" s="9">
        <v>0</v>
      </c>
      <c r="G312" s="10">
        <v>0</v>
      </c>
      <c r="H312" s="10">
        <v>0</v>
      </c>
      <c r="I312" s="11">
        <f>IFERROR(G312/H312, 0)</f>
      </c>
      <c r="J312" s="10">
        <v>0</v>
      </c>
      <c r="K312" s="10">
        <v>0</v>
      </c>
      <c r="L312" s="10">
        <v>0</v>
      </c>
      <c r="M312" s="12">
        <f>IFERROR(L312/K312, 0)</f>
      </c>
      <c r="N312" s="13">
        <f>IFERROR(J312/K312, 0)</f>
      </c>
      <c r="O312" s="10">
        <v>0</v>
      </c>
      <c r="P312" s="10">
        <v>0</v>
      </c>
      <c r="Q312" s="10">
        <v>0</v>
      </c>
      <c r="R312" s="11">
        <f>IFERROR(P312/Q312, 0)</f>
      </c>
      <c r="S312" s="10">
        <v>0</v>
      </c>
      <c r="T312" s="10">
        <v>0</v>
      </c>
      <c r="U312" s="11">
        <f>IFERROR(S312/T312, 0)</f>
      </c>
      <c r="V312" s="10">
        <f>IFERROR(S312/E312, 0)</f>
      </c>
      <c r="W312" s="10">
        <f>IFERROR(T312/F312, 0)</f>
      </c>
      <c r="X312" s="11">
        <f>IFERROR(V312/W312, 0)</f>
      </c>
    </row>
    <row r="313" spans="1:24" x14ac:dyDescent="0.25">
      <c r="A313" s="8" t="s">
        <v>257</v>
      </c>
      <c r="B313" s="8" t="s">
        <v>297</v>
      </c>
      <c r="C313" s="8" t="s">
        <v>24</v>
      </c>
      <c r="D313" s="8" t="s">
        <v>350</v>
      </c>
      <c r="E313" s="9">
        <v>9.65</v>
      </c>
      <c r="F313" s="9">
        <v>0</v>
      </c>
      <c r="G313" s="10">
        <v>0</v>
      </c>
      <c r="H313" s="10">
        <v>0</v>
      </c>
      <c r="I313" s="11">
        <f>IFERROR(G313/H313, 0)</f>
      </c>
      <c r="J313" s="10">
        <v>0</v>
      </c>
      <c r="K313" s="10">
        <v>0</v>
      </c>
      <c r="L313" s="10">
        <v>0</v>
      </c>
      <c r="M313" s="12">
        <f>IFERROR(L313/K313, 0)</f>
      </c>
      <c r="N313" s="13">
        <f>IFERROR(J313/K313, 0)</f>
      </c>
      <c r="O313" s="10">
        <v>0</v>
      </c>
      <c r="P313" s="10">
        <v>0</v>
      </c>
      <c r="Q313" s="10">
        <v>0</v>
      </c>
      <c r="R313" s="11">
        <f>IFERROR(P313/Q313, 0)</f>
      </c>
      <c r="S313" s="10">
        <v>0</v>
      </c>
      <c r="T313" s="10">
        <v>0</v>
      </c>
      <c r="U313" s="11">
        <f>IFERROR(S313/T313, 0)</f>
      </c>
      <c r="V313" s="10">
        <f>IFERROR(S313/E313, 0)</f>
      </c>
      <c r="W313" s="10">
        <f>IFERROR(T313/F313, 0)</f>
      </c>
      <c r="X313" s="11">
        <f>IFERROR(V313/W313, 0)</f>
      </c>
    </row>
    <row r="314" spans="1:24" x14ac:dyDescent="0.25">
      <c r="A314" s="8" t="s">
        <v>257</v>
      </c>
      <c r="B314" s="8" t="s">
        <v>297</v>
      </c>
      <c r="C314" s="8" t="s">
        <v>24</v>
      </c>
      <c r="D314" s="8" t="s">
        <v>351</v>
      </c>
      <c r="E314" s="9">
        <v>0</v>
      </c>
      <c r="F314" s="9">
        <v>0</v>
      </c>
      <c r="G314" s="10">
        <v>0</v>
      </c>
      <c r="H314" s="10">
        <v>0</v>
      </c>
      <c r="I314" s="11">
        <f>IFERROR(G314/H314, 0)</f>
      </c>
      <c r="J314" s="10">
        <v>0</v>
      </c>
      <c r="K314" s="10">
        <v>0</v>
      </c>
      <c r="L314" s="10">
        <v>0</v>
      </c>
      <c r="M314" s="12">
        <f>IFERROR(L314/K314, 0)</f>
      </c>
      <c r="N314" s="13">
        <f>IFERROR(J314/K314, 0)</f>
      </c>
      <c r="O314" s="10">
        <v>0</v>
      </c>
      <c r="P314" s="10">
        <v>0</v>
      </c>
      <c r="Q314" s="10">
        <v>0</v>
      </c>
      <c r="R314" s="11">
        <f>IFERROR(P314/Q314, 0)</f>
      </c>
      <c r="S314" s="10">
        <v>0</v>
      </c>
      <c r="T314" s="10">
        <v>0</v>
      </c>
      <c r="U314" s="11">
        <f>IFERROR(S314/T314, 0)</f>
      </c>
      <c r="V314" s="10">
        <f>IFERROR(S314/E314, 0)</f>
      </c>
      <c r="W314" s="10">
        <f>IFERROR(T314/F314, 0)</f>
      </c>
      <c r="X314" s="11">
        <f>IFERROR(V314/W314, 0)</f>
      </c>
    </row>
    <row r="315" spans="1:24" x14ac:dyDescent="0.25">
      <c r="A315" s="14" t="s">
        <v>352</v>
      </c>
      <c r="B315" s="14"/>
      <c r="C315" s="14"/>
      <c r="D315" s="14"/>
      <c r="E315" s="15">
        <f>SUM(E261:E314)</f>
      </c>
      <c r="F315" s="15">
        <f>SUM(F261:F314)</f>
      </c>
      <c r="G315" s="16">
        <f>SUM(G261:G314)</f>
      </c>
      <c r="H315" s="16">
        <f>SUM(H261:H314)</f>
      </c>
      <c r="I315" s="17">
        <f>IFERROR(G315/H315, 0)</f>
      </c>
      <c r="J315" s="16">
        <f>SUM(J261:J314)</f>
      </c>
      <c r="K315" s="16">
        <f>SUM(K261:K314)</f>
      </c>
      <c r="L315" s="16">
        <f>SUM(L261:L314)</f>
      </c>
      <c r="M315" s="18">
        <f>IFERROR(L315/K315, 0)</f>
      </c>
      <c r="N315" s="19">
        <f>IFERROR(J315/K315, 0)</f>
      </c>
      <c r="O315" s="16">
        <f>SUM(O261:O314)</f>
      </c>
      <c r="P315" s="16">
        <f>SUM(P261:P314)</f>
      </c>
      <c r="Q315" s="16">
        <f>SUM(Q261:Q314)</f>
      </c>
      <c r="R315" s="17">
        <f>IFERROR(P315/Q315, 0)</f>
      </c>
      <c r="S315" s="16">
        <f>SUM(S261:S314)</f>
      </c>
      <c r="T315" s="16">
        <f>SUM(T261:T314)</f>
      </c>
      <c r="U315" s="17">
        <f>IFERROR(S315/T315, 0)</f>
      </c>
      <c r="V315" s="16">
        <f>IFERROR(S315/E315, 0)</f>
      </c>
      <c r="W315" s="16">
        <f>IFERROR(T315/F315, 0)</f>
      </c>
      <c r="X315" s="17">
        <f>IFERROR(V315/W315, 0)</f>
      </c>
    </row>
    <row r="316" spans="1:24" x14ac:dyDescent="0.25">
      <c r="A316" s="20" t="s">
        <v>353</v>
      </c>
      <c r="B316" s="20"/>
      <c r="C316" s="20"/>
      <c r="D316" s="20"/>
      <c r="E316" s="21">
        <f>SUM(E237,E254,E260,E315)</f>
      </c>
      <c r="F316" s="21">
        <f>SUM(F237,F254,F260,F315)</f>
      </c>
      <c r="G316" s="22">
        <f>SUM(G237,G254,G260,G315)</f>
      </c>
      <c r="H316" s="22">
        <f>SUM(H237,H254,H260,H315)</f>
      </c>
      <c r="I316" s="23">
        <f>IFERROR(G316/H316, 0)</f>
      </c>
      <c r="J316" s="22">
        <f>SUM(J237,J254,J260,J315)</f>
      </c>
      <c r="K316" s="22">
        <f>SUM(K237,K254,K260,K315)</f>
      </c>
      <c r="L316" s="22">
        <f>SUM(L237,L254,L260,L315)</f>
      </c>
      <c r="M316" s="24">
        <f>IFERROR(L316/K316, 0)</f>
      </c>
      <c r="N316" s="25">
        <f>IFERROR(J316/K316, 0)</f>
      </c>
      <c r="O316" s="22">
        <f>SUM(O237,O254,O260,O315)</f>
      </c>
      <c r="P316" s="22">
        <f>SUM(P237,P254,P260,P315)</f>
      </c>
      <c r="Q316" s="22">
        <f>SUM(Q237,Q254,Q260,Q315)</f>
      </c>
      <c r="R316" s="23">
        <f>IFERROR(P316/Q316, 0)</f>
      </c>
      <c r="S316" s="22">
        <f>SUM(S237,S254,S260,S315)</f>
      </c>
      <c r="T316" s="22">
        <f>SUM(T237,T254,T260,T315)</f>
      </c>
      <c r="U316" s="23">
        <f>IFERROR(S316/T316, 0)</f>
      </c>
      <c r="V316" s="22">
        <f>IFERROR(S316/E316, 0)</f>
      </c>
      <c r="W316" s="22">
        <f>IFERROR(T316/F316, 0)</f>
      </c>
      <c r="X316" s="23">
        <f>IFERROR(V316/W316, 0)</f>
      </c>
    </row>
    <row r="317" spans="1:24" x14ac:dyDescent="0.25">
      <c r="A317" s="8" t="s">
        <v>354</v>
      </c>
      <c r="B317" s="8" t="s">
        <v>355</v>
      </c>
      <c r="C317" s="8" t="s">
        <v>60</v>
      </c>
      <c r="D317" s="8" t="s">
        <v>356</v>
      </c>
      <c r="E317" s="9">
        <v>32</v>
      </c>
      <c r="F317" s="9">
        <v>64</v>
      </c>
      <c r="G317" s="10">
        <v>0</v>
      </c>
      <c r="H317" s="10">
        <v>1163</v>
      </c>
      <c r="I317" s="11">
        <f>IFERROR(G317/H317, 0)</f>
      </c>
      <c r="J317" s="10">
        <v>7</v>
      </c>
      <c r="K317" s="10">
        <v>2</v>
      </c>
      <c r="L317" s="10">
        <v>1940</v>
      </c>
      <c r="M317" s="12">
        <f>IFERROR(L317/K317, 0)</f>
      </c>
      <c r="N317" s="13">
        <f>IFERROR(J317/K317, 0)</f>
      </c>
      <c r="O317" s="10">
        <v>1940</v>
      </c>
      <c r="P317" s="10">
        <v>9580</v>
      </c>
      <c r="Q317" s="10">
        <v>12793</v>
      </c>
      <c r="R317" s="11">
        <f>IFERROR(P317/Q317, 0)</f>
      </c>
      <c r="S317" s="10">
        <v>155537</v>
      </c>
      <c r="T317" s="10">
        <v>180265</v>
      </c>
      <c r="U317" s="11">
        <f>IFERROR(S317/T317, 0)</f>
      </c>
      <c r="V317" s="10">
        <f>IFERROR(S317/E317, 0)</f>
      </c>
      <c r="W317" s="10">
        <f>IFERROR(T317/F317, 0)</f>
      </c>
      <c r="X317" s="11">
        <f>IFERROR(V317/W317, 0)</f>
      </c>
    </row>
    <row r="318" spans="1:24" x14ac:dyDescent="0.25">
      <c r="A318" s="8" t="s">
        <v>354</v>
      </c>
      <c r="B318" s="8" t="s">
        <v>355</v>
      </c>
      <c r="C318" s="8" t="s">
        <v>60</v>
      </c>
      <c r="D318" s="8" t="s">
        <v>357</v>
      </c>
      <c r="E318" s="9">
        <v>208.45</v>
      </c>
      <c r="F318" s="9">
        <v>208.45</v>
      </c>
      <c r="G318" s="10">
        <v>6620</v>
      </c>
      <c r="H318" s="10">
        <v>8095.481481481482</v>
      </c>
      <c r="I318" s="11">
        <f>IFERROR(G318/H318, 0)</f>
      </c>
      <c r="J318" s="10">
        <v>23</v>
      </c>
      <c r="K318" s="10">
        <v>6</v>
      </c>
      <c r="L318" s="10">
        <v>7300</v>
      </c>
      <c r="M318" s="12">
        <f>IFERROR(L318/K318, 0)</f>
      </c>
      <c r="N318" s="13">
        <f>IFERROR(J318/K318, 0)</f>
      </c>
      <c r="O318" s="10">
        <v>5860</v>
      </c>
      <c r="P318" s="10">
        <v>76540</v>
      </c>
      <c r="Q318" s="10">
        <v>89050.29629629629</v>
      </c>
      <c r="R318" s="11">
        <f>IFERROR(P318/Q318, 0)</f>
      </c>
      <c r="S318" s="10">
        <v>761908</v>
      </c>
      <c r="T318" s="10">
        <v>1127198.2962962964</v>
      </c>
      <c r="U318" s="11">
        <f>IFERROR(S318/T318, 0)</f>
      </c>
      <c r="V318" s="10">
        <f>IFERROR(S318/E318, 0)</f>
      </c>
      <c r="W318" s="10">
        <f>IFERROR(T318/F318, 0)</f>
      </c>
      <c r="X318" s="11">
        <f>IFERROR(V318/W318, 0)</f>
      </c>
    </row>
    <row r="319" spans="1:24" x14ac:dyDescent="0.25">
      <c r="A319" s="8" t="s">
        <v>354</v>
      </c>
      <c r="B319" s="8" t="s">
        <v>355</v>
      </c>
      <c r="C319" s="8" t="s">
        <v>60</v>
      </c>
      <c r="D319" s="8" t="s">
        <v>358</v>
      </c>
      <c r="E319" s="9">
        <v>867</v>
      </c>
      <c r="F319" s="9">
        <v>867</v>
      </c>
      <c r="G319" s="10">
        <v>6990</v>
      </c>
      <c r="H319" s="10">
        <v>26097</v>
      </c>
      <c r="I319" s="11">
        <f>IFERROR(G319/H319, 0)</f>
      </c>
      <c r="J319" s="10">
        <v>19</v>
      </c>
      <c r="K319" s="10">
        <v>6</v>
      </c>
      <c r="L319" s="10">
        <v>4710</v>
      </c>
      <c r="M319" s="12">
        <f>IFERROR(L319/K319, 0)</f>
      </c>
      <c r="N319" s="13">
        <f>IFERROR(J319/K319, 0)</f>
      </c>
      <c r="O319" s="10">
        <v>2110</v>
      </c>
      <c r="P319" s="10">
        <v>53860</v>
      </c>
      <c r="Q319" s="10">
        <v>287067</v>
      </c>
      <c r="R319" s="11">
        <f>IFERROR(P319/Q319, 0)</f>
      </c>
      <c r="S319" s="10">
        <v>618450</v>
      </c>
      <c r="T319" s="10">
        <v>4045035</v>
      </c>
      <c r="U319" s="11">
        <f>IFERROR(S319/T319, 0)</f>
      </c>
      <c r="V319" s="10">
        <f>IFERROR(S319/E319, 0)</f>
      </c>
      <c r="W319" s="10">
        <f>IFERROR(T319/F319, 0)</f>
      </c>
      <c r="X319" s="11">
        <f>IFERROR(V319/W319, 0)</f>
      </c>
    </row>
    <row r="320" spans="1:24" x14ac:dyDescent="0.25">
      <c r="A320" s="8" t="s">
        <v>354</v>
      </c>
      <c r="B320" s="8" t="s">
        <v>355</v>
      </c>
      <c r="C320" s="8" t="s">
        <v>60</v>
      </c>
      <c r="D320" s="8" t="s">
        <v>359</v>
      </c>
      <c r="E320" s="9">
        <v>5381</v>
      </c>
      <c r="F320" s="9">
        <v>5381</v>
      </c>
      <c r="G320" s="10">
        <v>123310</v>
      </c>
      <c r="H320" s="10">
        <v>242954.85185185185</v>
      </c>
      <c r="I320" s="11">
        <f>IFERROR(G320/H320, 0)</f>
      </c>
      <c r="J320" s="10">
        <v>281</v>
      </c>
      <c r="K320" s="10">
        <v>111</v>
      </c>
      <c r="L320" s="10">
        <v>124560</v>
      </c>
      <c r="M320" s="12">
        <f>IFERROR(L320/K320, 0)</f>
      </c>
      <c r="N320" s="13">
        <f>IFERROR(J320/K320, 0)</f>
      </c>
      <c r="O320" s="10">
        <v>179340</v>
      </c>
      <c r="P320" s="10">
        <v>2133640</v>
      </c>
      <c r="Q320" s="10">
        <v>2672503.3703703703</v>
      </c>
      <c r="R320" s="11">
        <f>IFERROR(P320/Q320, 0)</f>
      </c>
      <c r="S320" s="10">
        <v>28555703</v>
      </c>
      <c r="T320" s="10">
        <v>37658001.37037037</v>
      </c>
      <c r="U320" s="11">
        <f>IFERROR(S320/T320, 0)</f>
      </c>
      <c r="V320" s="10">
        <f>IFERROR(S320/E320, 0)</f>
      </c>
      <c r="W320" s="10">
        <f>IFERROR(T320/F320, 0)</f>
      </c>
      <c r="X320" s="11">
        <f>IFERROR(V320/W320, 0)</f>
      </c>
    </row>
    <row r="321" spans="1:24" x14ac:dyDescent="0.25">
      <c r="A321" s="8" t="s">
        <v>354</v>
      </c>
      <c r="B321" s="8" t="s">
        <v>355</v>
      </c>
      <c r="C321" s="8" t="s">
        <v>60</v>
      </c>
      <c r="D321" s="8" t="s">
        <v>360</v>
      </c>
      <c r="E321" s="9">
        <v>4621</v>
      </c>
      <c r="F321" s="9">
        <v>4621</v>
      </c>
      <c r="G321" s="10">
        <v>142870</v>
      </c>
      <c r="H321" s="10">
        <v>224095.33333333334</v>
      </c>
      <c r="I321" s="11">
        <f>IFERROR(G321/H321, 0)</f>
      </c>
      <c r="J321" s="10">
        <v>333</v>
      </c>
      <c r="K321" s="10">
        <v>134</v>
      </c>
      <c r="L321" s="10">
        <v>185780</v>
      </c>
      <c r="M321" s="12">
        <f>IFERROR(L321/K321, 0)</f>
      </c>
      <c r="N321" s="13">
        <f>IFERROR(J321/K321, 0)</f>
      </c>
      <c r="O321" s="10">
        <v>238900</v>
      </c>
      <c r="P321" s="10">
        <v>2080830</v>
      </c>
      <c r="Q321" s="10">
        <v>2465048.6666666665</v>
      </c>
      <c r="R321" s="11">
        <f>IFERROR(P321/Q321, 0)</f>
      </c>
      <c r="S321" s="10">
        <v>27272837</v>
      </c>
      <c r="T321" s="10">
        <v>34734774.666666664</v>
      </c>
      <c r="U321" s="11">
        <f>IFERROR(S321/T321, 0)</f>
      </c>
      <c r="V321" s="10">
        <f>IFERROR(S321/E321, 0)</f>
      </c>
      <c r="W321" s="10">
        <f>IFERROR(T321/F321, 0)</f>
      </c>
      <c r="X321" s="11">
        <f>IFERROR(V321/W321, 0)</f>
      </c>
    </row>
    <row r="322" spans="1:24" x14ac:dyDescent="0.25">
      <c r="A322" s="8" t="s">
        <v>354</v>
      </c>
      <c r="B322" s="8" t="s">
        <v>355</v>
      </c>
      <c r="C322" s="8" t="s">
        <v>60</v>
      </c>
      <c r="D322" s="8" t="s">
        <v>361</v>
      </c>
      <c r="E322" s="9">
        <v>2594</v>
      </c>
      <c r="F322" s="9">
        <v>2899</v>
      </c>
      <c r="G322" s="10">
        <v>51910</v>
      </c>
      <c r="H322" s="10">
        <v>100886.14814814815</v>
      </c>
      <c r="I322" s="11">
        <f>IFERROR(G322/H322, 0)</f>
      </c>
      <c r="J322" s="10">
        <v>171</v>
      </c>
      <c r="K322" s="10">
        <v>52</v>
      </c>
      <c r="L322" s="10">
        <v>79690</v>
      </c>
      <c r="M322" s="12">
        <f>IFERROR(L322/K322, 0)</f>
      </c>
      <c r="N322" s="13">
        <f>IFERROR(J322/K322, 0)</f>
      </c>
      <c r="O322" s="10">
        <v>48740</v>
      </c>
      <c r="P322" s="10">
        <v>670500</v>
      </c>
      <c r="Q322" s="10">
        <v>1109747.6296296297</v>
      </c>
      <c r="R322" s="11">
        <f>IFERROR(P322/Q322, 0)</f>
      </c>
      <c r="S322" s="10">
        <v>10173144</v>
      </c>
      <c r="T322" s="10">
        <v>15637355.629629629</v>
      </c>
      <c r="U322" s="11">
        <f>IFERROR(S322/T322, 0)</f>
      </c>
      <c r="V322" s="10">
        <f>IFERROR(S322/E322, 0)</f>
      </c>
      <c r="W322" s="10">
        <f>IFERROR(T322/F322, 0)</f>
      </c>
      <c r="X322" s="11">
        <f>IFERROR(V322/W322, 0)</f>
      </c>
    </row>
    <row r="323" spans="1:24" x14ac:dyDescent="0.25">
      <c r="A323" s="8" t="s">
        <v>354</v>
      </c>
      <c r="B323" s="8" t="s">
        <v>355</v>
      </c>
      <c r="C323" s="8" t="s">
        <v>60</v>
      </c>
      <c r="D323" s="8" t="s">
        <v>362</v>
      </c>
      <c r="E323" s="9">
        <v>411</v>
      </c>
      <c r="F323" s="9">
        <v>411</v>
      </c>
      <c r="G323" s="10">
        <v>0</v>
      </c>
      <c r="H323" s="10">
        <v>14046.814814814816</v>
      </c>
      <c r="I323" s="11">
        <f>IFERROR(G323/H323, 0)</f>
      </c>
      <c r="J323" s="10">
        <v>29</v>
      </c>
      <c r="K323" s="10">
        <v>4</v>
      </c>
      <c r="L323" s="10">
        <v>7990</v>
      </c>
      <c r="M323" s="12">
        <f>IFERROR(L323/K323, 0)</f>
      </c>
      <c r="N323" s="13">
        <f>IFERROR(J323/K323, 0)</f>
      </c>
      <c r="O323" s="10">
        <v>11740</v>
      </c>
      <c r="P323" s="10">
        <v>64630</v>
      </c>
      <c r="Q323" s="10">
        <v>154514.96296296298</v>
      </c>
      <c r="R323" s="11">
        <f>IFERROR(P323/Q323, 0)</f>
      </c>
      <c r="S323" s="10">
        <v>943643</v>
      </c>
      <c r="T323" s="10">
        <v>2177258.962962963</v>
      </c>
      <c r="U323" s="11">
        <f>IFERROR(S323/T323, 0)</f>
      </c>
      <c r="V323" s="10">
        <f>IFERROR(S323/E323, 0)</f>
      </c>
      <c r="W323" s="10">
        <f>IFERROR(T323/F323, 0)</f>
      </c>
      <c r="X323" s="11">
        <f>IFERROR(V323/W323, 0)</f>
      </c>
    </row>
    <row r="324" spans="1:24" x14ac:dyDescent="0.25">
      <c r="A324" s="8" t="s">
        <v>354</v>
      </c>
      <c r="B324" s="8" t="s">
        <v>355</v>
      </c>
      <c r="C324" s="8" t="s">
        <v>62</v>
      </c>
      <c r="D324" s="8" t="s">
        <v>363</v>
      </c>
      <c r="E324" s="9">
        <v>3314</v>
      </c>
      <c r="F324" s="9">
        <v>3314</v>
      </c>
      <c r="G324" s="10">
        <v>4910</v>
      </c>
      <c r="H324" s="10">
        <v>66746.62962962964</v>
      </c>
      <c r="I324" s="11">
        <f>IFERROR(G324/H324, 0)</f>
      </c>
      <c r="J324" s="10">
        <v>10</v>
      </c>
      <c r="K324" s="10">
        <v>10</v>
      </c>
      <c r="L324" s="10">
        <v>4910</v>
      </c>
      <c r="M324" s="12">
        <f>IFERROR(L324/K324, 0)</f>
      </c>
      <c r="N324" s="13">
        <f>IFERROR(J324/K324, 0)</f>
      </c>
      <c r="O324" s="10">
        <v>0</v>
      </c>
      <c r="P324" s="10">
        <v>51580</v>
      </c>
      <c r="Q324" s="10">
        <v>734212.925925926</v>
      </c>
      <c r="R324" s="11">
        <f>IFERROR(P324/Q324, 0)</f>
      </c>
      <c r="S324" s="10">
        <v>304690</v>
      </c>
      <c r="T324" s="10">
        <v>10345726.925925925</v>
      </c>
      <c r="U324" s="11">
        <f>IFERROR(S324/T324, 0)</f>
      </c>
      <c r="V324" s="10">
        <f>IFERROR(S324/E324, 0)</f>
      </c>
      <c r="W324" s="10">
        <f>IFERROR(T324/F324, 0)</f>
      </c>
      <c r="X324" s="11">
        <f>IFERROR(V324/W324, 0)</f>
      </c>
    </row>
    <row r="325" spans="1:24" x14ac:dyDescent="0.25">
      <c r="A325" s="8" t="s">
        <v>354</v>
      </c>
      <c r="B325" s="8" t="s">
        <v>355</v>
      </c>
      <c r="C325" s="8" t="s">
        <v>62</v>
      </c>
      <c r="D325" s="8" t="s">
        <v>364</v>
      </c>
      <c r="E325" s="9">
        <v>971</v>
      </c>
      <c r="F325" s="9">
        <v>971</v>
      </c>
      <c r="G325" s="10">
        <v>0</v>
      </c>
      <c r="H325" s="10">
        <v>16310.296296296296</v>
      </c>
      <c r="I325" s="11">
        <f>IFERROR(G325/H325, 0)</f>
      </c>
      <c r="J325" s="10">
        <v>0</v>
      </c>
      <c r="K325" s="10">
        <v>0</v>
      </c>
      <c r="L325" s="10">
        <v>0</v>
      </c>
      <c r="M325" s="12">
        <f>IFERROR(L325/K325, 0)</f>
      </c>
      <c r="N325" s="13">
        <f>IFERROR(J325/K325, 0)</f>
      </c>
      <c r="O325" s="10">
        <v>0</v>
      </c>
      <c r="P325" s="10">
        <v>0</v>
      </c>
      <c r="Q325" s="10">
        <v>179413.25925925927</v>
      </c>
      <c r="R325" s="11">
        <f>IFERROR(P325/Q325, 0)</f>
      </c>
      <c r="S325" s="10">
        <v>0</v>
      </c>
      <c r="T325" s="10">
        <v>2528097.2592592593</v>
      </c>
      <c r="U325" s="11">
        <f>IFERROR(S325/T325, 0)</f>
      </c>
      <c r="V325" s="10">
        <f>IFERROR(S325/E325, 0)</f>
      </c>
      <c r="W325" s="10">
        <f>IFERROR(T325/F325, 0)</f>
      </c>
      <c r="X325" s="11">
        <f>IFERROR(V325/W325, 0)</f>
      </c>
    </row>
    <row r="326" spans="1:24" x14ac:dyDescent="0.25">
      <c r="A326" s="8" t="s">
        <v>354</v>
      </c>
      <c r="B326" s="8" t="s">
        <v>355</v>
      </c>
      <c r="C326" s="8" t="s">
        <v>62</v>
      </c>
      <c r="D326" s="8" t="s">
        <v>365</v>
      </c>
      <c r="E326" s="9">
        <v>1067.43</v>
      </c>
      <c r="F326" s="9">
        <v>1067.43</v>
      </c>
      <c r="G326" s="10">
        <v>6810</v>
      </c>
      <c r="H326" s="10">
        <v>38817.07407407407</v>
      </c>
      <c r="I326" s="11">
        <f>IFERROR(G326/H326, 0)</f>
      </c>
      <c r="J326" s="10">
        <v>30</v>
      </c>
      <c r="K326" s="10">
        <v>8</v>
      </c>
      <c r="L326" s="10">
        <v>11750</v>
      </c>
      <c r="M326" s="12">
        <f>IFERROR(L326/K326, 0)</f>
      </c>
      <c r="N326" s="13">
        <f>IFERROR(J326/K326, 0)</f>
      </c>
      <c r="O326" s="10">
        <v>6690</v>
      </c>
      <c r="P326" s="10">
        <v>93720</v>
      </c>
      <c r="Q326" s="10">
        <v>426987.81481481483</v>
      </c>
      <c r="R326" s="11">
        <f>IFERROR(P326/Q326, 0)</f>
      </c>
      <c r="S326" s="10">
        <v>929070</v>
      </c>
      <c r="T326" s="10">
        <v>5717339.814814814</v>
      </c>
      <c r="U326" s="11">
        <f>IFERROR(S326/T326, 0)</f>
      </c>
      <c r="V326" s="10">
        <f>IFERROR(S326/E326, 0)</f>
      </c>
      <c r="W326" s="10">
        <f>IFERROR(T326/F326, 0)</f>
      </c>
      <c r="X326" s="11">
        <f>IFERROR(V326/W326, 0)</f>
      </c>
    </row>
    <row r="327" spans="1:24" x14ac:dyDescent="0.25">
      <c r="A327" s="8" t="s">
        <v>354</v>
      </c>
      <c r="B327" s="8" t="s">
        <v>355</v>
      </c>
      <c r="C327" s="8" t="s">
        <v>62</v>
      </c>
      <c r="D327" s="8" t="s">
        <v>366</v>
      </c>
      <c r="E327" s="9">
        <v>5361</v>
      </c>
      <c r="F327" s="9">
        <v>5361</v>
      </c>
      <c r="G327" s="10">
        <v>218090</v>
      </c>
      <c r="H327" s="10">
        <v>250836.11111111112</v>
      </c>
      <c r="I327" s="11">
        <f>IFERROR(G327/H327, 0)</f>
      </c>
      <c r="J327" s="10">
        <v>500</v>
      </c>
      <c r="K327" s="10">
        <v>155</v>
      </c>
      <c r="L327" s="10">
        <v>240530</v>
      </c>
      <c r="M327" s="12">
        <f>IFERROR(L327/K327, 0)</f>
      </c>
      <c r="N327" s="13">
        <f>IFERROR(J327/K327, 0)</f>
      </c>
      <c r="O327" s="10">
        <v>187720</v>
      </c>
      <c r="P327" s="10">
        <v>2200800</v>
      </c>
      <c r="Q327" s="10">
        <v>2759197.222222222</v>
      </c>
      <c r="R327" s="11">
        <f>IFERROR(P327/Q327, 0)</f>
      </c>
      <c r="S327" s="10">
        <v>29691036</v>
      </c>
      <c r="T327" s="10">
        <v>38879599.222222224</v>
      </c>
      <c r="U327" s="11">
        <f>IFERROR(S327/T327, 0)</f>
      </c>
      <c r="V327" s="10">
        <f>IFERROR(S327/E327, 0)</f>
      </c>
      <c r="W327" s="10">
        <f>IFERROR(T327/F327, 0)</f>
      </c>
      <c r="X327" s="11">
        <f>IFERROR(V327/W327, 0)</f>
      </c>
    </row>
    <row r="328" spans="1:24" x14ac:dyDescent="0.25">
      <c r="A328" s="8" t="s">
        <v>354</v>
      </c>
      <c r="B328" s="8" t="s">
        <v>355</v>
      </c>
      <c r="C328" s="8" t="s">
        <v>62</v>
      </c>
      <c r="D328" s="8" t="s">
        <v>367</v>
      </c>
      <c r="E328" s="9">
        <v>66</v>
      </c>
      <c r="F328" s="9">
        <v>66</v>
      </c>
      <c r="G328" s="10">
        <v>0</v>
      </c>
      <c r="H328" s="10">
        <v>1837.851851851852</v>
      </c>
      <c r="I328" s="11">
        <f>IFERROR(G328/H328, 0)</f>
      </c>
      <c r="J328" s="10">
        <v>0</v>
      </c>
      <c r="K328" s="10">
        <v>0</v>
      </c>
      <c r="L328" s="10">
        <v>0</v>
      </c>
      <c r="M328" s="12">
        <f>IFERROR(L328/K328, 0)</f>
      </c>
      <c r="N328" s="13">
        <f>IFERROR(J328/K328, 0)</f>
      </c>
      <c r="O328" s="10">
        <v>0</v>
      </c>
      <c r="P328" s="10">
        <v>0</v>
      </c>
      <c r="Q328" s="10">
        <v>20216.37037037037</v>
      </c>
      <c r="R328" s="11">
        <f>IFERROR(P328/Q328, 0)</f>
      </c>
      <c r="S328" s="10">
        <v>0</v>
      </c>
      <c r="T328" s="10">
        <v>284868.3703703704</v>
      </c>
      <c r="U328" s="11">
        <f>IFERROR(S328/T328, 0)</f>
      </c>
      <c r="V328" s="10">
        <f>IFERROR(S328/E328, 0)</f>
      </c>
      <c r="W328" s="10">
        <f>IFERROR(T328/F328, 0)</f>
      </c>
      <c r="X328" s="11">
        <f>IFERROR(V328/W328, 0)</f>
      </c>
    </row>
    <row r="329" spans="1:24" x14ac:dyDescent="0.25">
      <c r="A329" s="8" t="s">
        <v>354</v>
      </c>
      <c r="B329" s="8" t="s">
        <v>355</v>
      </c>
      <c r="C329" s="8" t="s">
        <v>62</v>
      </c>
      <c r="D329" s="8" t="s">
        <v>368</v>
      </c>
      <c r="E329" s="9">
        <v>158</v>
      </c>
      <c r="F329" s="9">
        <v>158</v>
      </c>
      <c r="G329" s="10">
        <v>0</v>
      </c>
      <c r="H329" s="10">
        <v>5205.222222222223</v>
      </c>
      <c r="I329" s="11">
        <f>IFERROR(G329/H329, 0)</f>
      </c>
      <c r="J329" s="10">
        <v>0</v>
      </c>
      <c r="K329" s="10">
        <v>0</v>
      </c>
      <c r="L329" s="10">
        <v>0</v>
      </c>
      <c r="M329" s="12">
        <f>IFERROR(L329/K329, 0)</f>
      </c>
      <c r="N329" s="13">
        <f>IFERROR(J329/K329, 0)</f>
      </c>
      <c r="O329" s="10">
        <v>0</v>
      </c>
      <c r="P329" s="10">
        <v>0</v>
      </c>
      <c r="Q329" s="10">
        <v>57257.444444444445</v>
      </c>
      <c r="R329" s="11">
        <f>IFERROR(P329/Q329, 0)</f>
      </c>
      <c r="S329" s="10">
        <v>0</v>
      </c>
      <c r="T329" s="10">
        <v>806807.4444444445</v>
      </c>
      <c r="U329" s="11">
        <f>IFERROR(S329/T329, 0)</f>
      </c>
      <c r="V329" s="10">
        <f>IFERROR(S329/E329, 0)</f>
      </c>
      <c r="W329" s="10">
        <f>IFERROR(T329/F329, 0)</f>
      </c>
      <c r="X329" s="11">
        <f>IFERROR(V329/W329, 0)</f>
      </c>
    </row>
    <row r="330" spans="1:24" x14ac:dyDescent="0.25">
      <c r="A330" s="8" t="s">
        <v>354</v>
      </c>
      <c r="B330" s="8" t="s">
        <v>355</v>
      </c>
      <c r="C330" s="8" t="s">
        <v>62</v>
      </c>
      <c r="D330" s="8" t="s">
        <v>369</v>
      </c>
      <c r="E330" s="9">
        <v>3817</v>
      </c>
      <c r="F330" s="9">
        <v>4070</v>
      </c>
      <c r="G330" s="10">
        <v>98100</v>
      </c>
      <c r="H330" s="10">
        <v>165956.4814814815</v>
      </c>
      <c r="I330" s="11">
        <f>IFERROR(G330/H330, 0)</f>
      </c>
      <c r="J330" s="10">
        <v>198</v>
      </c>
      <c r="K330" s="10">
        <v>82</v>
      </c>
      <c r="L330" s="10">
        <v>142430</v>
      </c>
      <c r="M330" s="12">
        <f>IFERROR(L330/K330, 0)</f>
      </c>
      <c r="N330" s="13">
        <f>IFERROR(J330/K330, 0)</f>
      </c>
      <c r="O330" s="10">
        <v>156520</v>
      </c>
      <c r="P330" s="10">
        <v>1192840</v>
      </c>
      <c r="Q330" s="10">
        <v>1825521.2962962962</v>
      </c>
      <c r="R330" s="11">
        <f>IFERROR(P330/Q330, 0)</f>
      </c>
      <c r="S330" s="10">
        <v>17442131</v>
      </c>
      <c r="T330" s="10">
        <v>25723255.296296295</v>
      </c>
      <c r="U330" s="11">
        <f>IFERROR(S330/T330, 0)</f>
      </c>
      <c r="V330" s="10">
        <f>IFERROR(S330/E330, 0)</f>
      </c>
      <c r="W330" s="10">
        <f>IFERROR(T330/F330, 0)</f>
      </c>
      <c r="X330" s="11">
        <f>IFERROR(V330/W330, 0)</f>
      </c>
    </row>
    <row r="331" spans="1:24" x14ac:dyDescent="0.25">
      <c r="A331" s="8" t="s">
        <v>354</v>
      </c>
      <c r="B331" s="8" t="s">
        <v>355</v>
      </c>
      <c r="C331" s="8" t="s">
        <v>62</v>
      </c>
      <c r="D331" s="8" t="s">
        <v>370</v>
      </c>
      <c r="E331" s="9">
        <v>1370</v>
      </c>
      <c r="F331" s="9">
        <v>1370</v>
      </c>
      <c r="G331" s="10">
        <v>62450</v>
      </c>
      <c r="H331" s="10">
        <v>61856.148148148146</v>
      </c>
      <c r="I331" s="11">
        <f>IFERROR(G331/H331, 0)</f>
      </c>
      <c r="J331" s="10">
        <v>141</v>
      </c>
      <c r="K331" s="10">
        <v>37</v>
      </c>
      <c r="L331" s="10">
        <v>41800</v>
      </c>
      <c r="M331" s="12">
        <f>IFERROR(L331/K331, 0)</f>
      </c>
      <c r="N331" s="13">
        <f>IFERROR(J331/K331, 0)</f>
      </c>
      <c r="O331" s="10">
        <v>80000</v>
      </c>
      <c r="P331" s="10">
        <v>494320</v>
      </c>
      <c r="Q331" s="10">
        <v>680417.6296296297</v>
      </c>
      <c r="R331" s="11">
        <f>IFERROR(P331/Q331, 0)</f>
      </c>
      <c r="S331" s="10">
        <v>6031863</v>
      </c>
      <c r="T331" s="10">
        <v>9587705.629629629</v>
      </c>
      <c r="U331" s="11">
        <f>IFERROR(S331/T331, 0)</f>
      </c>
      <c r="V331" s="10">
        <f>IFERROR(S331/E331, 0)</f>
      </c>
      <c r="W331" s="10">
        <f>IFERROR(T331/F331, 0)</f>
      </c>
      <c r="X331" s="11">
        <f>IFERROR(V331/W331, 0)</f>
      </c>
    </row>
    <row r="332" spans="1:24" x14ac:dyDescent="0.25">
      <c r="A332" s="8" t="s">
        <v>354</v>
      </c>
      <c r="B332" s="8" t="s">
        <v>355</v>
      </c>
      <c r="C332" s="8" t="s">
        <v>62</v>
      </c>
      <c r="D332" s="8" t="s">
        <v>371</v>
      </c>
      <c r="E332" s="9">
        <v>1273</v>
      </c>
      <c r="F332" s="9">
        <v>1273</v>
      </c>
      <c r="G332" s="10">
        <v>40820</v>
      </c>
      <c r="H332" s="10">
        <v>50502.851851851854</v>
      </c>
      <c r="I332" s="11">
        <f>IFERROR(G332/H332, 0)</f>
      </c>
      <c r="J332" s="10">
        <v>90</v>
      </c>
      <c r="K332" s="10">
        <v>21</v>
      </c>
      <c r="L332" s="10">
        <v>46270</v>
      </c>
      <c r="M332" s="12">
        <f>IFERROR(L332/K332, 0)</f>
      </c>
      <c r="N332" s="13">
        <f>IFERROR(J332/K332, 0)</f>
      </c>
      <c r="O332" s="10">
        <v>20550</v>
      </c>
      <c r="P332" s="10">
        <v>350530</v>
      </c>
      <c r="Q332" s="10">
        <v>555531.3703703703</v>
      </c>
      <c r="R332" s="11">
        <f>IFERROR(P332/Q332, 0)</f>
      </c>
      <c r="S332" s="10">
        <v>3995821</v>
      </c>
      <c r="T332" s="10">
        <v>7827939.37037037</v>
      </c>
      <c r="U332" s="11">
        <f>IFERROR(S332/T332, 0)</f>
      </c>
      <c r="V332" s="10">
        <f>IFERROR(S332/E332, 0)</f>
      </c>
      <c r="W332" s="10">
        <f>IFERROR(T332/F332, 0)</f>
      </c>
      <c r="X332" s="11">
        <f>IFERROR(V332/W332, 0)</f>
      </c>
    </row>
    <row r="333" spans="1:24" x14ac:dyDescent="0.25">
      <c r="A333" s="8" t="s">
        <v>354</v>
      </c>
      <c r="B333" s="8" t="s">
        <v>355</v>
      </c>
      <c r="C333" s="8" t="s">
        <v>64</v>
      </c>
      <c r="D333" s="8" t="s">
        <v>372</v>
      </c>
      <c r="E333" s="9">
        <v>4461</v>
      </c>
      <c r="F333" s="9">
        <v>4461</v>
      </c>
      <c r="G333" s="10">
        <v>78740</v>
      </c>
      <c r="H333" s="10">
        <v>201364.4814814815</v>
      </c>
      <c r="I333" s="11">
        <f>IFERROR(G333/H333, 0)</f>
      </c>
      <c r="J333" s="10">
        <v>105</v>
      </c>
      <c r="K333" s="10">
        <v>46</v>
      </c>
      <c r="L333" s="10">
        <v>86390</v>
      </c>
      <c r="M333" s="12">
        <f>IFERROR(L333/K333, 0)</f>
      </c>
      <c r="N333" s="13">
        <f>IFERROR(J333/K333, 0)</f>
      </c>
      <c r="O333" s="10">
        <v>17750</v>
      </c>
      <c r="P333" s="10">
        <v>679580</v>
      </c>
      <c r="Q333" s="10">
        <v>2215009.296296296</v>
      </c>
      <c r="R333" s="11">
        <f>IFERROR(P333/Q333, 0)</f>
      </c>
      <c r="S333" s="10">
        <v>7948839</v>
      </c>
      <c r="T333" s="10">
        <v>31211495.296296295</v>
      </c>
      <c r="U333" s="11">
        <f>IFERROR(S333/T333, 0)</f>
      </c>
      <c r="V333" s="10">
        <f>IFERROR(S333/E333, 0)</f>
      </c>
      <c r="W333" s="10">
        <f>IFERROR(T333/F333, 0)</f>
      </c>
      <c r="X333" s="11">
        <f>IFERROR(V333/W333, 0)</f>
      </c>
    </row>
    <row r="334" spans="1:24" x14ac:dyDescent="0.25">
      <c r="A334" s="8" t="s">
        <v>354</v>
      </c>
      <c r="B334" s="8" t="s">
        <v>355</v>
      </c>
      <c r="C334" s="8" t="s">
        <v>64</v>
      </c>
      <c r="D334" s="8" t="s">
        <v>373</v>
      </c>
      <c r="E334" s="9">
        <v>1300</v>
      </c>
      <c r="F334" s="9">
        <v>5179</v>
      </c>
      <c r="G334" s="10">
        <v>3050</v>
      </c>
      <c r="H334" s="10">
        <v>243317.74074074073</v>
      </c>
      <c r="I334" s="11">
        <f>IFERROR(G334/H334, 0)</f>
      </c>
      <c r="J334" s="10">
        <v>15</v>
      </c>
      <c r="K334" s="10">
        <v>5</v>
      </c>
      <c r="L334" s="10">
        <v>2860</v>
      </c>
      <c r="M334" s="12">
        <f>IFERROR(L334/K334, 0)</f>
      </c>
      <c r="N334" s="13">
        <f>IFERROR(J334/K334, 0)</f>
      </c>
      <c r="O334" s="10">
        <v>7250</v>
      </c>
      <c r="P334" s="10">
        <v>30360</v>
      </c>
      <c r="Q334" s="10">
        <v>2676495.1481481483</v>
      </c>
      <c r="R334" s="11">
        <f>IFERROR(P334/Q334, 0)</f>
      </c>
      <c r="S334" s="10">
        <v>973499</v>
      </c>
      <c r="T334" s="10">
        <v>37714247.14814815</v>
      </c>
      <c r="U334" s="11">
        <f>IFERROR(S334/T334, 0)</f>
      </c>
      <c r="V334" s="10">
        <f>IFERROR(S334/E334, 0)</f>
      </c>
      <c r="W334" s="10">
        <f>IFERROR(T334/F334, 0)</f>
      </c>
      <c r="X334" s="11">
        <f>IFERROR(V334/W334, 0)</f>
      </c>
    </row>
    <row r="335" spans="1:24" x14ac:dyDescent="0.25">
      <c r="A335" s="8" t="s">
        <v>354</v>
      </c>
      <c r="B335" s="8" t="s">
        <v>355</v>
      </c>
      <c r="C335" s="8" t="s">
        <v>64</v>
      </c>
      <c r="D335" s="8" t="s">
        <v>374</v>
      </c>
      <c r="E335" s="9">
        <v>3879</v>
      </c>
      <c r="F335" s="9">
        <v>0</v>
      </c>
      <c r="G335" s="10">
        <v>93830</v>
      </c>
      <c r="H335" s="10">
        <v>0</v>
      </c>
      <c r="I335" s="11">
        <f>IFERROR(G335/H335, 0)</f>
      </c>
      <c r="J335" s="10">
        <v>139</v>
      </c>
      <c r="K335" s="10">
        <v>54</v>
      </c>
      <c r="L335" s="10">
        <v>88770</v>
      </c>
      <c r="M335" s="12">
        <f>IFERROR(L335/K335, 0)</f>
      </c>
      <c r="N335" s="13">
        <f>IFERROR(J335/K335, 0)</f>
      </c>
      <c r="O335" s="10">
        <v>25860</v>
      </c>
      <c r="P335" s="10">
        <v>864840</v>
      </c>
      <c r="Q335" s="10">
        <v>0</v>
      </c>
      <c r="R335" s="11">
        <f>IFERROR(P335/Q335, 0)</f>
      </c>
      <c r="S335" s="10">
        <v>11257355</v>
      </c>
      <c r="T335" s="10">
        <v>0</v>
      </c>
      <c r="U335" s="11">
        <f>IFERROR(S335/T335, 0)</f>
      </c>
      <c r="V335" s="10">
        <f>IFERROR(S335/E335, 0)</f>
      </c>
      <c r="W335" s="10">
        <f>IFERROR(T335/F335, 0)</f>
      </c>
      <c r="X335" s="11">
        <f>IFERROR(V335/W335, 0)</f>
      </c>
    </row>
    <row r="336" spans="1:24" x14ac:dyDescent="0.25">
      <c r="A336" s="8" t="s">
        <v>354</v>
      </c>
      <c r="B336" s="8" t="s">
        <v>355</v>
      </c>
      <c r="C336" s="8" t="s">
        <v>64</v>
      </c>
      <c r="D336" s="8" t="s">
        <v>375</v>
      </c>
      <c r="E336" s="9">
        <v>4487</v>
      </c>
      <c r="F336" s="9">
        <v>4487</v>
      </c>
      <c r="G336" s="10">
        <v>113280</v>
      </c>
      <c r="H336" s="10">
        <v>202590.2962962963</v>
      </c>
      <c r="I336" s="11">
        <f>IFERROR(G336/H336, 0)</f>
      </c>
      <c r="J336" s="10">
        <v>165</v>
      </c>
      <c r="K336" s="10">
        <v>67</v>
      </c>
      <c r="L336" s="10">
        <v>117000</v>
      </c>
      <c r="M336" s="12">
        <f>IFERROR(L336/K336, 0)</f>
      </c>
      <c r="N336" s="13">
        <f>IFERROR(J336/K336, 0)</f>
      </c>
      <c r="O336" s="10">
        <v>36310</v>
      </c>
      <c r="P336" s="10">
        <v>839580</v>
      </c>
      <c r="Q336" s="10">
        <v>2228493.2592592593</v>
      </c>
      <c r="R336" s="11">
        <f>IFERROR(P336/Q336, 0)</f>
      </c>
      <c r="S336" s="10">
        <v>12818011</v>
      </c>
      <c r="T336" s="10">
        <v>31401497.259259257</v>
      </c>
      <c r="U336" s="11">
        <f>IFERROR(S336/T336, 0)</f>
      </c>
      <c r="V336" s="10">
        <f>IFERROR(S336/E336, 0)</f>
      </c>
      <c r="W336" s="10">
        <f>IFERROR(T336/F336, 0)</f>
      </c>
      <c r="X336" s="11">
        <f>IFERROR(V336/W336, 0)</f>
      </c>
    </row>
    <row r="337" spans="1:24" x14ac:dyDescent="0.25">
      <c r="A337" s="8" t="s">
        <v>354</v>
      </c>
      <c r="B337" s="8" t="s">
        <v>355</v>
      </c>
      <c r="C337" s="8" t="s">
        <v>64</v>
      </c>
      <c r="D337" s="8" t="s">
        <v>376</v>
      </c>
      <c r="E337" s="9">
        <v>545</v>
      </c>
      <c r="F337" s="9">
        <v>545</v>
      </c>
      <c r="G337" s="10">
        <v>0</v>
      </c>
      <c r="H337" s="10">
        <v>23695.666666666668</v>
      </c>
      <c r="I337" s="11">
        <f>IFERROR(G337/H337, 0)</f>
      </c>
      <c r="J337" s="10">
        <v>38</v>
      </c>
      <c r="K337" s="10">
        <v>13</v>
      </c>
      <c r="L337" s="10">
        <v>5000</v>
      </c>
      <c r="M337" s="12">
        <f>IFERROR(L337/K337, 0)</f>
      </c>
      <c r="N337" s="13">
        <f>IFERROR(J337/K337, 0)</f>
      </c>
      <c r="O337" s="10">
        <v>22042</v>
      </c>
      <c r="P337" s="10">
        <v>30318</v>
      </c>
      <c r="Q337" s="10">
        <v>260652.33333333334</v>
      </c>
      <c r="R337" s="11">
        <f>IFERROR(P337/Q337, 0)</f>
      </c>
      <c r="S337" s="10">
        <v>268978</v>
      </c>
      <c r="T337" s="10">
        <v>3672826.3333333335</v>
      </c>
      <c r="U337" s="11">
        <f>IFERROR(S337/T337, 0)</f>
      </c>
      <c r="V337" s="10">
        <f>IFERROR(S337/E337, 0)</f>
      </c>
      <c r="W337" s="10">
        <f>IFERROR(T337/F337, 0)</f>
      </c>
      <c r="X337" s="11">
        <f>IFERROR(V337/W337, 0)</f>
      </c>
    </row>
    <row r="338" spans="1:24" x14ac:dyDescent="0.25">
      <c r="A338" s="8" t="s">
        <v>354</v>
      </c>
      <c r="B338" s="8" t="s">
        <v>355</v>
      </c>
      <c r="C338" s="8" t="s">
        <v>64</v>
      </c>
      <c r="D338" s="8" t="s">
        <v>377</v>
      </c>
      <c r="E338" s="9">
        <v>801.06</v>
      </c>
      <c r="F338" s="9">
        <v>801.06</v>
      </c>
      <c r="G338" s="10">
        <v>0</v>
      </c>
      <c r="H338" s="10">
        <v>34560.59259259259</v>
      </c>
      <c r="I338" s="11">
        <f>IFERROR(G338/H338, 0)</f>
      </c>
      <c r="J338" s="10">
        <v>72</v>
      </c>
      <c r="K338" s="10">
        <v>14</v>
      </c>
      <c r="L338" s="10">
        <v>14040</v>
      </c>
      <c r="M338" s="12">
        <f>IFERROR(L338/K338, 0)</f>
      </c>
      <c r="N338" s="13">
        <f>IFERROR(J338/K338, 0)</f>
      </c>
      <c r="O338" s="10">
        <v>38590</v>
      </c>
      <c r="P338" s="10">
        <v>121090</v>
      </c>
      <c r="Q338" s="10">
        <v>380166.51851851854</v>
      </c>
      <c r="R338" s="11">
        <f>IFERROR(P338/Q338, 0)</f>
      </c>
      <c r="S338" s="10">
        <v>2160049</v>
      </c>
      <c r="T338" s="10">
        <v>5356894.518518519</v>
      </c>
      <c r="U338" s="11">
        <f>IFERROR(S338/T338, 0)</f>
      </c>
      <c r="V338" s="10">
        <f>IFERROR(S338/E338, 0)</f>
      </c>
      <c r="W338" s="10">
        <f>IFERROR(T338/F338, 0)</f>
      </c>
      <c r="X338" s="11">
        <f>IFERROR(V338/W338, 0)</f>
      </c>
    </row>
    <row r="339" spans="1:24" x14ac:dyDescent="0.25">
      <c r="A339" s="8" t="s">
        <v>354</v>
      </c>
      <c r="B339" s="8" t="s">
        <v>355</v>
      </c>
      <c r="C339" s="8" t="s">
        <v>92</v>
      </c>
      <c r="D339" s="8" t="s">
        <v>378</v>
      </c>
      <c r="E339" s="9">
        <v>148</v>
      </c>
      <c r="F339" s="9">
        <v>148</v>
      </c>
      <c r="G339" s="10">
        <v>0</v>
      </c>
      <c r="H339" s="10">
        <v>7424.740740740741</v>
      </c>
      <c r="I339" s="11">
        <f>IFERROR(G339/H339, 0)</f>
      </c>
      <c r="J339" s="10">
        <v>0</v>
      </c>
      <c r="K339" s="10">
        <v>0</v>
      </c>
      <c r="L339" s="10">
        <v>0</v>
      </c>
      <c r="M339" s="12">
        <f>IFERROR(L339/K339, 0)</f>
      </c>
      <c r="N339" s="13">
        <f>IFERROR(J339/K339, 0)</f>
      </c>
      <c r="O339" s="10">
        <v>0</v>
      </c>
      <c r="P339" s="10">
        <v>118300</v>
      </c>
      <c r="Q339" s="10">
        <v>81672.14814814815</v>
      </c>
      <c r="R339" s="11">
        <f>IFERROR(P339/Q339, 0)</f>
      </c>
      <c r="S339" s="10">
        <v>900100</v>
      </c>
      <c r="T339" s="10">
        <v>1150836.148148148</v>
      </c>
      <c r="U339" s="11">
        <f>IFERROR(S339/T339, 0)</f>
      </c>
      <c r="V339" s="10">
        <f>IFERROR(S339/E339, 0)</f>
      </c>
      <c r="W339" s="10">
        <f>IFERROR(T339/F339, 0)</f>
      </c>
      <c r="X339" s="11">
        <f>IFERROR(V339/W339, 0)</f>
      </c>
    </row>
    <row r="340" spans="1:24" x14ac:dyDescent="0.25">
      <c r="A340" s="8" t="s">
        <v>354</v>
      </c>
      <c r="B340" s="8" t="s">
        <v>355</v>
      </c>
      <c r="C340" s="8" t="s">
        <v>92</v>
      </c>
      <c r="D340" s="8" t="s">
        <v>379</v>
      </c>
      <c r="E340" s="9">
        <v>2685</v>
      </c>
      <c r="F340" s="9">
        <v>2964.8</v>
      </c>
      <c r="G340" s="10">
        <v>45270</v>
      </c>
      <c r="H340" s="10">
        <v>121761.5925925926</v>
      </c>
      <c r="I340" s="11">
        <f>IFERROR(G340/H340, 0)</f>
      </c>
      <c r="J340" s="10">
        <v>240</v>
      </c>
      <c r="K340" s="10">
        <v>46</v>
      </c>
      <c r="L340" s="10">
        <v>53950</v>
      </c>
      <c r="M340" s="12">
        <f>IFERROR(L340/K340, 0)</f>
      </c>
      <c r="N340" s="13">
        <f>IFERROR(J340/K340, 0)</f>
      </c>
      <c r="O340" s="10">
        <v>12480</v>
      </c>
      <c r="P340" s="10">
        <v>540500</v>
      </c>
      <c r="Q340" s="10">
        <v>1339377.5185185184</v>
      </c>
      <c r="R340" s="11">
        <f>IFERROR(P340/Q340, 0)</f>
      </c>
      <c r="S340" s="10">
        <v>7746294</v>
      </c>
      <c r="T340" s="10">
        <v>17376043.51851852</v>
      </c>
      <c r="U340" s="11">
        <f>IFERROR(S340/T340, 0)</f>
      </c>
      <c r="V340" s="10">
        <f>IFERROR(S340/E340, 0)</f>
      </c>
      <c r="W340" s="10">
        <f>IFERROR(T340/F340, 0)</f>
      </c>
      <c r="X340" s="11">
        <f>IFERROR(V340/W340, 0)</f>
      </c>
    </row>
    <row r="341" spans="1:24" x14ac:dyDescent="0.25">
      <c r="A341" s="8" t="s">
        <v>354</v>
      </c>
      <c r="B341" s="8" t="s">
        <v>355</v>
      </c>
      <c r="C341" s="8" t="s">
        <v>92</v>
      </c>
      <c r="D341" s="8" t="s">
        <v>380</v>
      </c>
      <c r="E341" s="9">
        <v>3819</v>
      </c>
      <c r="F341" s="9">
        <v>3819</v>
      </c>
      <c r="G341" s="10">
        <v>123980</v>
      </c>
      <c r="H341" s="10">
        <v>191588.62962962964</v>
      </c>
      <c r="I341" s="11">
        <f>IFERROR(G341/H341, 0)</f>
      </c>
      <c r="J341" s="10">
        <v>325</v>
      </c>
      <c r="K341" s="10">
        <v>94</v>
      </c>
      <c r="L341" s="10">
        <v>123320</v>
      </c>
      <c r="M341" s="12">
        <f>IFERROR(L341/K341, 0)</f>
      </c>
      <c r="N341" s="13">
        <f>IFERROR(J341/K341, 0)</f>
      </c>
      <c r="O341" s="10">
        <v>105740</v>
      </c>
      <c r="P341" s="10">
        <v>1326290</v>
      </c>
      <c r="Q341" s="10">
        <v>2107474.925925926</v>
      </c>
      <c r="R341" s="11">
        <f>IFERROR(P341/Q341, 0)</f>
      </c>
      <c r="S341" s="10">
        <v>18528452</v>
      </c>
      <c r="T341" s="10">
        <v>29696236.925925925</v>
      </c>
      <c r="U341" s="11">
        <f>IFERROR(S341/T341, 0)</f>
      </c>
      <c r="V341" s="10">
        <f>IFERROR(S341/E341, 0)</f>
      </c>
      <c r="W341" s="10">
        <f>IFERROR(T341/F341, 0)</f>
      </c>
      <c r="X341" s="11">
        <f>IFERROR(V341/W341, 0)</f>
      </c>
    </row>
    <row r="342" spans="1:24" x14ac:dyDescent="0.25">
      <c r="A342" s="8" t="s">
        <v>354</v>
      </c>
      <c r="B342" s="8" t="s">
        <v>355</v>
      </c>
      <c r="C342" s="8" t="s">
        <v>92</v>
      </c>
      <c r="D342" s="8" t="s">
        <v>381</v>
      </c>
      <c r="E342" s="9">
        <v>2587</v>
      </c>
      <c r="F342" s="9">
        <v>2587</v>
      </c>
      <c r="G342" s="10">
        <v>52270</v>
      </c>
      <c r="H342" s="10">
        <v>125456.51851851853</v>
      </c>
      <c r="I342" s="11">
        <f>IFERROR(G342/H342, 0)</f>
      </c>
      <c r="J342" s="10">
        <v>142</v>
      </c>
      <c r="K342" s="10">
        <v>57</v>
      </c>
      <c r="L342" s="10">
        <v>48320</v>
      </c>
      <c r="M342" s="12">
        <f>IFERROR(L342/K342, 0)</f>
      </c>
      <c r="N342" s="13">
        <f>IFERROR(J342/K342, 0)</f>
      </c>
      <c r="O342" s="10">
        <v>121960</v>
      </c>
      <c r="P342" s="10">
        <v>861640</v>
      </c>
      <c r="Q342" s="10">
        <v>1380021.7037037038</v>
      </c>
      <c r="R342" s="11">
        <f>IFERROR(P342/Q342, 0)</f>
      </c>
      <c r="S342" s="10">
        <v>12451468</v>
      </c>
      <c r="T342" s="10">
        <v>19445761.703703705</v>
      </c>
      <c r="U342" s="11">
        <f>IFERROR(S342/T342, 0)</f>
      </c>
      <c r="V342" s="10">
        <f>IFERROR(S342/E342, 0)</f>
      </c>
      <c r="W342" s="10">
        <f>IFERROR(T342/F342, 0)</f>
      </c>
      <c r="X342" s="11">
        <f>IFERROR(V342/W342, 0)</f>
      </c>
    </row>
    <row r="343" spans="1:24" x14ac:dyDescent="0.25">
      <c r="A343" s="8" t="s">
        <v>354</v>
      </c>
      <c r="B343" s="8" t="s">
        <v>355</v>
      </c>
      <c r="C343" s="8" t="s">
        <v>92</v>
      </c>
      <c r="D343" s="8" t="s">
        <v>382</v>
      </c>
      <c r="E343" s="9">
        <v>3947</v>
      </c>
      <c r="F343" s="9">
        <v>3947</v>
      </c>
      <c r="G343" s="10">
        <v>131080</v>
      </c>
      <c r="H343" s="10">
        <v>204610.37037037036</v>
      </c>
      <c r="I343" s="11">
        <f>IFERROR(G343/H343, 0)</f>
      </c>
      <c r="J343" s="10">
        <v>408</v>
      </c>
      <c r="K343" s="10">
        <v>106</v>
      </c>
      <c r="L343" s="10">
        <v>235050</v>
      </c>
      <c r="M343" s="12">
        <f>IFERROR(L343/K343, 0)</f>
      </c>
      <c r="N343" s="13">
        <f>IFERROR(J343/K343, 0)</f>
      </c>
      <c r="O343" s="10">
        <v>132750</v>
      </c>
      <c r="P343" s="10">
        <v>1401600</v>
      </c>
      <c r="Q343" s="10">
        <v>2250714.074074074</v>
      </c>
      <c r="R343" s="11">
        <f>IFERROR(P343/Q343, 0)</f>
      </c>
      <c r="S343" s="10">
        <v>23094806</v>
      </c>
      <c r="T343" s="10">
        <v>31714606.074074075</v>
      </c>
      <c r="U343" s="11">
        <f>IFERROR(S343/T343, 0)</f>
      </c>
      <c r="V343" s="10">
        <f>IFERROR(S343/E343, 0)</f>
      </c>
      <c r="W343" s="10">
        <f>IFERROR(T343/F343, 0)</f>
      </c>
      <c r="X343" s="11">
        <f>IFERROR(V343/W343, 0)</f>
      </c>
    </row>
    <row r="344" spans="1:24" x14ac:dyDescent="0.25">
      <c r="A344" s="8" t="s">
        <v>354</v>
      </c>
      <c r="B344" s="8" t="s">
        <v>355</v>
      </c>
      <c r="C344" s="8" t="s">
        <v>96</v>
      </c>
      <c r="D344" s="8" t="s">
        <v>383</v>
      </c>
      <c r="E344" s="9">
        <v>2162</v>
      </c>
      <c r="F344" s="9">
        <v>2203</v>
      </c>
      <c r="G344" s="10">
        <v>15320</v>
      </c>
      <c r="H344" s="10">
        <v>43397.444444444445</v>
      </c>
      <c r="I344" s="11">
        <f>IFERROR(G344/H344, 0)</f>
      </c>
      <c r="J344" s="10">
        <v>93</v>
      </c>
      <c r="K344" s="10">
        <v>13</v>
      </c>
      <c r="L344" s="10">
        <v>15320</v>
      </c>
      <c r="M344" s="12">
        <f>IFERROR(L344/K344, 0)</f>
      </c>
      <c r="N344" s="13">
        <f>IFERROR(J344/K344, 0)</f>
      </c>
      <c r="O344" s="10">
        <v>0</v>
      </c>
      <c r="P344" s="10">
        <v>171650</v>
      </c>
      <c r="Q344" s="10">
        <v>477371.8888888889</v>
      </c>
      <c r="R344" s="11">
        <f>IFERROR(P344/Q344, 0)</f>
      </c>
      <c r="S344" s="10">
        <v>2832690</v>
      </c>
      <c r="T344" s="10">
        <v>6726603.888888889</v>
      </c>
      <c r="U344" s="11">
        <f>IFERROR(S344/T344, 0)</f>
      </c>
      <c r="V344" s="10">
        <f>IFERROR(S344/E344, 0)</f>
      </c>
      <c r="W344" s="10">
        <f>IFERROR(T344/F344, 0)</f>
      </c>
      <c r="X344" s="11">
        <f>IFERROR(V344/W344, 0)</f>
      </c>
    </row>
    <row r="345" spans="1:24" x14ac:dyDescent="0.25">
      <c r="A345" s="8" t="s">
        <v>354</v>
      </c>
      <c r="B345" s="8" t="s">
        <v>355</v>
      </c>
      <c r="C345" s="8" t="s">
        <v>96</v>
      </c>
      <c r="D345" s="8" t="s">
        <v>384</v>
      </c>
      <c r="E345" s="9">
        <v>1808</v>
      </c>
      <c r="F345" s="9">
        <v>2373</v>
      </c>
      <c r="G345" s="10">
        <v>7150</v>
      </c>
      <c r="H345" s="10">
        <v>37689.81481481482</v>
      </c>
      <c r="I345" s="11">
        <f>IFERROR(G345/H345, 0)</f>
      </c>
      <c r="J345" s="10">
        <v>42</v>
      </c>
      <c r="K345" s="10">
        <v>10</v>
      </c>
      <c r="L345" s="10">
        <v>10960</v>
      </c>
      <c r="M345" s="12">
        <f>IFERROR(L345/K345, 0)</f>
      </c>
      <c r="N345" s="13">
        <f>IFERROR(J345/K345, 0)</f>
      </c>
      <c r="O345" s="10">
        <v>3810</v>
      </c>
      <c r="P345" s="10">
        <v>110080</v>
      </c>
      <c r="Q345" s="10">
        <v>414587.962962963</v>
      </c>
      <c r="R345" s="11">
        <f>IFERROR(P345/Q345, 0)</f>
      </c>
      <c r="S345" s="10">
        <v>1644400</v>
      </c>
      <c r="T345" s="10">
        <v>5841921.962962963</v>
      </c>
      <c r="U345" s="11">
        <f>IFERROR(S345/T345, 0)</f>
      </c>
      <c r="V345" s="10">
        <f>IFERROR(S345/E345, 0)</f>
      </c>
      <c r="W345" s="10">
        <f>IFERROR(T345/F345, 0)</f>
      </c>
      <c r="X345" s="11">
        <f>IFERROR(V345/W345, 0)</f>
      </c>
    </row>
    <row r="346" spans="1:24" x14ac:dyDescent="0.25">
      <c r="A346" s="8" t="s">
        <v>354</v>
      </c>
      <c r="B346" s="8" t="s">
        <v>355</v>
      </c>
      <c r="C346" s="8" t="s">
        <v>96</v>
      </c>
      <c r="D346" s="8" t="s">
        <v>385</v>
      </c>
      <c r="E346" s="9">
        <v>141</v>
      </c>
      <c r="F346" s="9">
        <v>360</v>
      </c>
      <c r="G346" s="10">
        <v>0</v>
      </c>
      <c r="H346" s="10">
        <v>1426.6296296296296</v>
      </c>
      <c r="I346" s="11">
        <f>IFERROR(G346/H346, 0)</f>
      </c>
      <c r="J346" s="10">
        <v>0</v>
      </c>
      <c r="K346" s="10">
        <v>0</v>
      </c>
      <c r="L346" s="10">
        <v>0</v>
      </c>
      <c r="M346" s="12">
        <f>IFERROR(L346/K346, 0)</f>
      </c>
      <c r="N346" s="13">
        <f>IFERROR(J346/K346, 0)</f>
      </c>
      <c r="O346" s="10">
        <v>0</v>
      </c>
      <c r="P346" s="10">
        <v>0</v>
      </c>
      <c r="Q346" s="10">
        <v>15692.925925925925</v>
      </c>
      <c r="R346" s="11">
        <f>IFERROR(P346/Q346, 0)</f>
      </c>
      <c r="S346" s="10">
        <v>55120</v>
      </c>
      <c r="T346" s="10">
        <v>221128.92592592593</v>
      </c>
      <c r="U346" s="11">
        <f>IFERROR(S346/T346, 0)</f>
      </c>
      <c r="V346" s="10">
        <f>IFERROR(S346/E346, 0)</f>
      </c>
      <c r="W346" s="10">
        <f>IFERROR(T346/F346, 0)</f>
      </c>
      <c r="X346" s="11">
        <f>IFERROR(V346/W346, 0)</f>
      </c>
    </row>
    <row r="347" spans="1:24" x14ac:dyDescent="0.25">
      <c r="A347" s="8" t="s">
        <v>354</v>
      </c>
      <c r="B347" s="8" t="s">
        <v>355</v>
      </c>
      <c r="C347" s="8" t="s">
        <v>96</v>
      </c>
      <c r="D347" s="8" t="s">
        <v>386</v>
      </c>
      <c r="E347" s="9">
        <v>858</v>
      </c>
      <c r="F347" s="9">
        <v>858</v>
      </c>
      <c r="G347" s="10">
        <v>8200</v>
      </c>
      <c r="H347" s="10">
        <v>31565.222222222223</v>
      </c>
      <c r="I347" s="11">
        <f>IFERROR(G347/H347, 0)</f>
      </c>
      <c r="J347" s="10">
        <v>91</v>
      </c>
      <c r="K347" s="10">
        <v>17</v>
      </c>
      <c r="L347" s="10">
        <v>11520</v>
      </c>
      <c r="M347" s="12">
        <f>IFERROR(L347/K347, 0)</f>
      </c>
      <c r="N347" s="13">
        <f>IFERROR(J347/K347, 0)</f>
      </c>
      <c r="O347" s="10">
        <v>3320</v>
      </c>
      <c r="P347" s="10">
        <v>102150</v>
      </c>
      <c r="Q347" s="10">
        <v>347217.44444444444</v>
      </c>
      <c r="R347" s="11">
        <f>IFERROR(P347/Q347, 0)</f>
      </c>
      <c r="S347" s="10">
        <v>1488969</v>
      </c>
      <c r="T347" s="10">
        <v>4892607.444444444</v>
      </c>
      <c r="U347" s="11">
        <f>IFERROR(S347/T347, 0)</f>
      </c>
      <c r="V347" s="10">
        <f>IFERROR(S347/E347, 0)</f>
      </c>
      <c r="W347" s="10">
        <f>IFERROR(T347/F347, 0)</f>
      </c>
      <c r="X347" s="11">
        <f>IFERROR(V347/W347, 0)</f>
      </c>
    </row>
    <row r="348" spans="1:24" x14ac:dyDescent="0.25">
      <c r="A348" s="8" t="s">
        <v>354</v>
      </c>
      <c r="B348" s="8" t="s">
        <v>355</v>
      </c>
      <c r="C348" s="8" t="s">
        <v>387</v>
      </c>
      <c r="D348" s="8" t="s">
        <v>388</v>
      </c>
      <c r="E348" s="9">
        <v>77</v>
      </c>
      <c r="F348" s="9">
        <v>77</v>
      </c>
      <c r="G348" s="10">
        <v>0</v>
      </c>
      <c r="H348" s="10">
        <v>2704</v>
      </c>
      <c r="I348" s="11">
        <f>IFERROR(G348/H348, 0)</f>
      </c>
      <c r="J348" s="10">
        <v>15</v>
      </c>
      <c r="K348" s="10">
        <v>5</v>
      </c>
      <c r="L348" s="10">
        <v>7180</v>
      </c>
      <c r="M348" s="12">
        <f>IFERROR(L348/K348, 0)</f>
      </c>
      <c r="N348" s="13">
        <f>IFERROR(J348/K348, 0)</f>
      </c>
      <c r="O348" s="10">
        <v>7180</v>
      </c>
      <c r="P348" s="10">
        <v>37047</v>
      </c>
      <c r="Q348" s="10">
        <v>29744</v>
      </c>
      <c r="R348" s="11">
        <f>IFERROR(P348/Q348, 0)</f>
      </c>
      <c r="S348" s="10">
        <v>210121</v>
      </c>
      <c r="T348" s="10">
        <v>419120</v>
      </c>
      <c r="U348" s="11">
        <f>IFERROR(S348/T348, 0)</f>
      </c>
      <c r="V348" s="10">
        <f>IFERROR(S348/E348, 0)</f>
      </c>
      <c r="W348" s="10">
        <f>IFERROR(T348/F348, 0)</f>
      </c>
      <c r="X348" s="11">
        <f>IFERROR(V348/W348, 0)</f>
      </c>
    </row>
    <row r="349" spans="1:24" x14ac:dyDescent="0.25">
      <c r="A349" s="8" t="s">
        <v>354</v>
      </c>
      <c r="B349" s="8" t="s">
        <v>355</v>
      </c>
      <c r="C349" s="8" t="s">
        <v>387</v>
      </c>
      <c r="D349" s="8" t="s">
        <v>389</v>
      </c>
      <c r="E349" s="9">
        <v>200.15</v>
      </c>
      <c r="F349" s="9">
        <v>200.15</v>
      </c>
      <c r="G349" s="10">
        <v>12231</v>
      </c>
      <c r="H349" s="10">
        <v>5355.2962962962965</v>
      </c>
      <c r="I349" s="11">
        <f>IFERROR(G349/H349, 0)</f>
      </c>
      <c r="J349" s="10">
        <v>19</v>
      </c>
      <c r="K349" s="10">
        <v>7</v>
      </c>
      <c r="L349" s="10">
        <v>12231</v>
      </c>
      <c r="M349" s="12">
        <f>IFERROR(L349/K349, 0)</f>
      </c>
      <c r="N349" s="13">
        <f>IFERROR(J349/K349, 0)</f>
      </c>
      <c r="O349" s="10">
        <v>0</v>
      </c>
      <c r="P349" s="10">
        <v>60532</v>
      </c>
      <c r="Q349" s="10">
        <v>58908.25925925926</v>
      </c>
      <c r="R349" s="11">
        <f>IFERROR(P349/Q349, 0)</f>
      </c>
      <c r="S349" s="10">
        <v>166850</v>
      </c>
      <c r="T349" s="10">
        <v>830070.2592592592</v>
      </c>
      <c r="U349" s="11">
        <f>IFERROR(S349/T349, 0)</f>
      </c>
      <c r="V349" s="10">
        <f>IFERROR(S349/E349, 0)</f>
      </c>
      <c r="W349" s="10">
        <f>IFERROR(T349/F349, 0)</f>
      </c>
      <c r="X349" s="11">
        <f>IFERROR(V349/W349, 0)</f>
      </c>
    </row>
    <row r="350" spans="1:24" x14ac:dyDescent="0.25">
      <c r="A350" s="8" t="s">
        <v>354</v>
      </c>
      <c r="B350" s="8" t="s">
        <v>355</v>
      </c>
      <c r="C350" s="8" t="s">
        <v>387</v>
      </c>
      <c r="D350" s="8" t="s">
        <v>390</v>
      </c>
      <c r="E350" s="9">
        <v>85</v>
      </c>
      <c r="F350" s="9">
        <v>85</v>
      </c>
      <c r="G350" s="10">
        <v>0</v>
      </c>
      <c r="H350" s="10">
        <v>2842.814814814815</v>
      </c>
      <c r="I350" s="11">
        <f>IFERROR(G350/H350, 0)</f>
      </c>
      <c r="J350" s="10">
        <v>0</v>
      </c>
      <c r="K350" s="10">
        <v>0</v>
      </c>
      <c r="L350" s="10">
        <v>0</v>
      </c>
      <c r="M350" s="12">
        <f>IFERROR(L350/K350, 0)</f>
      </c>
      <c r="N350" s="13">
        <f>IFERROR(J350/K350, 0)</f>
      </c>
      <c r="O350" s="10">
        <v>0</v>
      </c>
      <c r="P350" s="10">
        <v>15427</v>
      </c>
      <c r="Q350" s="10">
        <v>31270.962962962964</v>
      </c>
      <c r="R350" s="11">
        <f>IFERROR(P350/Q350, 0)</f>
      </c>
      <c r="S350" s="10">
        <v>131488</v>
      </c>
      <c r="T350" s="10">
        <v>440634.962962963</v>
      </c>
      <c r="U350" s="11">
        <f>IFERROR(S350/T350, 0)</f>
      </c>
      <c r="V350" s="10">
        <f>IFERROR(S350/E350, 0)</f>
      </c>
      <c r="W350" s="10">
        <f>IFERROR(T350/F350, 0)</f>
      </c>
      <c r="X350" s="11">
        <f>IFERROR(V350/W350, 0)</f>
      </c>
    </row>
    <row r="351" spans="1:24" x14ac:dyDescent="0.25">
      <c r="A351" s="8" t="s">
        <v>354</v>
      </c>
      <c r="B351" s="8" t="s">
        <v>355</v>
      </c>
      <c r="C351" s="8" t="s">
        <v>387</v>
      </c>
      <c r="D351" s="8" t="s">
        <v>391</v>
      </c>
      <c r="E351" s="9">
        <v>641</v>
      </c>
      <c r="F351" s="9">
        <v>641</v>
      </c>
      <c r="G351" s="10">
        <v>2690</v>
      </c>
      <c r="H351" s="10">
        <v>19508.703703703704</v>
      </c>
      <c r="I351" s="11">
        <f>IFERROR(G351/H351, 0)</f>
      </c>
      <c r="J351" s="10">
        <v>16</v>
      </c>
      <c r="K351" s="10">
        <v>8</v>
      </c>
      <c r="L351" s="10">
        <v>2690</v>
      </c>
      <c r="M351" s="12">
        <f>IFERROR(L351/K351, 0)</f>
      </c>
      <c r="N351" s="13">
        <f>IFERROR(J351/K351, 0)</f>
      </c>
      <c r="O351" s="10">
        <v>0</v>
      </c>
      <c r="P351" s="10">
        <v>18520</v>
      </c>
      <c r="Q351" s="10">
        <v>214595.74074074073</v>
      </c>
      <c r="R351" s="11">
        <f>IFERROR(P351/Q351, 0)</f>
      </c>
      <c r="S351" s="10">
        <v>145580</v>
      </c>
      <c r="T351" s="10">
        <v>3023847.7407407407</v>
      </c>
      <c r="U351" s="11">
        <f>IFERROR(S351/T351, 0)</f>
      </c>
      <c r="V351" s="10">
        <f>IFERROR(S351/E351, 0)</f>
      </c>
      <c r="W351" s="10">
        <f>IFERROR(T351/F351, 0)</f>
      </c>
      <c r="X351" s="11">
        <f>IFERROR(V351/W351, 0)</f>
      </c>
    </row>
    <row r="352" spans="1:24" x14ac:dyDescent="0.25">
      <c r="A352" s="8" t="s">
        <v>354</v>
      </c>
      <c r="B352" s="8" t="s">
        <v>355</v>
      </c>
      <c r="C352" s="8" t="s">
        <v>387</v>
      </c>
      <c r="D352" s="8" t="s">
        <v>392</v>
      </c>
      <c r="E352" s="9">
        <v>885</v>
      </c>
      <c r="F352" s="9">
        <v>885</v>
      </c>
      <c r="G352" s="10">
        <v>10024</v>
      </c>
      <c r="H352" s="10">
        <v>35518.40740740741</v>
      </c>
      <c r="I352" s="11">
        <f>IFERROR(G352/H352, 0)</f>
      </c>
      <c r="J352" s="10">
        <v>26</v>
      </c>
      <c r="K352" s="10">
        <v>12</v>
      </c>
      <c r="L352" s="10">
        <v>10024</v>
      </c>
      <c r="M352" s="12">
        <f>IFERROR(L352/K352, 0)</f>
      </c>
      <c r="N352" s="13">
        <f>IFERROR(J352/K352, 0)</f>
      </c>
      <c r="O352" s="10">
        <v>0</v>
      </c>
      <c r="P352" s="10">
        <v>89864</v>
      </c>
      <c r="Q352" s="10">
        <v>390702.48148148146</v>
      </c>
      <c r="R352" s="11">
        <f>IFERROR(P352/Q352, 0)</f>
      </c>
      <c r="S352" s="10">
        <v>706286</v>
      </c>
      <c r="T352" s="10">
        <v>5505350.481481481</v>
      </c>
      <c r="U352" s="11">
        <f>IFERROR(S352/T352, 0)</f>
      </c>
      <c r="V352" s="10">
        <f>IFERROR(S352/E352, 0)</f>
      </c>
      <c r="W352" s="10">
        <f>IFERROR(T352/F352, 0)</f>
      </c>
      <c r="X352" s="11">
        <f>IFERROR(V352/W352, 0)</f>
      </c>
    </row>
    <row r="353" spans="1:24" x14ac:dyDescent="0.25">
      <c r="A353" s="8" t="s">
        <v>354</v>
      </c>
      <c r="B353" s="8" t="s">
        <v>355</v>
      </c>
      <c r="C353" s="8" t="s">
        <v>387</v>
      </c>
      <c r="D353" s="8" t="s">
        <v>393</v>
      </c>
      <c r="E353" s="9">
        <v>280</v>
      </c>
      <c r="F353" s="9">
        <v>280</v>
      </c>
      <c r="G353" s="10">
        <v>0</v>
      </c>
      <c r="H353" s="10">
        <v>9364.555555555555</v>
      </c>
      <c r="I353" s="11">
        <f>IFERROR(G353/H353, 0)</f>
      </c>
      <c r="J353" s="10">
        <v>0</v>
      </c>
      <c r="K353" s="10">
        <v>0</v>
      </c>
      <c r="L353" s="10">
        <v>0</v>
      </c>
      <c r="M353" s="12">
        <f>IFERROR(L353/K353, 0)</f>
      </c>
      <c r="N353" s="13">
        <f>IFERROR(J353/K353, 0)</f>
      </c>
      <c r="O353" s="10">
        <v>0</v>
      </c>
      <c r="P353" s="10">
        <v>81946</v>
      </c>
      <c r="Q353" s="10">
        <v>103010.11111111111</v>
      </c>
      <c r="R353" s="11">
        <f>IFERROR(P353/Q353, 0)</f>
      </c>
      <c r="S353" s="10">
        <v>409739</v>
      </c>
      <c r="T353" s="10">
        <v>1451506.111111111</v>
      </c>
      <c r="U353" s="11">
        <f>IFERROR(S353/T353, 0)</f>
      </c>
      <c r="V353" s="10">
        <f>IFERROR(S353/E353, 0)</f>
      </c>
      <c r="W353" s="10">
        <f>IFERROR(T353/F353, 0)</f>
      </c>
      <c r="X353" s="11">
        <f>IFERROR(V353/W353, 0)</f>
      </c>
    </row>
    <row r="354" spans="1:24" x14ac:dyDescent="0.25">
      <c r="A354" s="8" t="s">
        <v>354</v>
      </c>
      <c r="B354" s="8" t="s">
        <v>355</v>
      </c>
      <c r="C354" s="8" t="s">
        <v>387</v>
      </c>
      <c r="D354" s="8" t="s">
        <v>394</v>
      </c>
      <c r="E354" s="9">
        <v>36</v>
      </c>
      <c r="F354" s="9">
        <v>36</v>
      </c>
      <c r="G354" s="10">
        <v>0</v>
      </c>
      <c r="H354" s="10">
        <v>1083.6296296296296</v>
      </c>
      <c r="I354" s="11">
        <f>IFERROR(G354/H354, 0)</f>
      </c>
      <c r="J354" s="10">
        <v>0</v>
      </c>
      <c r="K354" s="10">
        <v>0</v>
      </c>
      <c r="L354" s="10">
        <v>0</v>
      </c>
      <c r="M354" s="12">
        <f>IFERROR(L354/K354, 0)</f>
      </c>
      <c r="N354" s="13">
        <f>IFERROR(J354/K354, 0)</f>
      </c>
      <c r="O354" s="10">
        <v>0</v>
      </c>
      <c r="P354" s="10">
        <v>0</v>
      </c>
      <c r="Q354" s="10">
        <v>11919.925925925925</v>
      </c>
      <c r="R354" s="11">
        <f>IFERROR(P354/Q354, 0)</f>
      </c>
      <c r="S354" s="10">
        <v>5800</v>
      </c>
      <c r="T354" s="10">
        <v>167959.92592592593</v>
      </c>
      <c r="U354" s="11">
        <f>IFERROR(S354/T354, 0)</f>
      </c>
      <c r="V354" s="10">
        <f>IFERROR(S354/E354, 0)</f>
      </c>
      <c r="W354" s="10">
        <f>IFERROR(T354/F354, 0)</f>
      </c>
      <c r="X354" s="11">
        <f>IFERROR(V354/W354, 0)</f>
      </c>
    </row>
    <row r="355" spans="1:24" x14ac:dyDescent="0.25">
      <c r="A355" s="8" t="s">
        <v>354</v>
      </c>
      <c r="B355" s="8" t="s">
        <v>355</v>
      </c>
      <c r="C355" s="8" t="s">
        <v>387</v>
      </c>
      <c r="D355" s="8" t="s">
        <v>395</v>
      </c>
      <c r="E355" s="9">
        <v>267</v>
      </c>
      <c r="F355" s="9">
        <v>267</v>
      </c>
      <c r="G355" s="10">
        <v>5200</v>
      </c>
      <c r="H355" s="10">
        <v>10715.703703703704</v>
      </c>
      <c r="I355" s="11">
        <f>IFERROR(G355/H355, 0)</f>
      </c>
      <c r="J355" s="10">
        <v>10</v>
      </c>
      <c r="K355" s="10">
        <v>8</v>
      </c>
      <c r="L355" s="10">
        <v>5200</v>
      </c>
      <c r="M355" s="12">
        <f>IFERROR(L355/K355, 0)</f>
      </c>
      <c r="N355" s="13">
        <f>IFERROR(J355/K355, 0)</f>
      </c>
      <c r="O355" s="10">
        <v>0</v>
      </c>
      <c r="P355" s="10">
        <v>57396</v>
      </c>
      <c r="Q355" s="10">
        <v>117872.74074074074</v>
      </c>
      <c r="R355" s="11">
        <f>IFERROR(P355/Q355, 0)</f>
      </c>
      <c r="S355" s="10">
        <v>315473</v>
      </c>
      <c r="T355" s="10">
        <v>1660936.7407407407</v>
      </c>
      <c r="U355" s="11">
        <f>IFERROR(S355/T355, 0)</f>
      </c>
      <c r="V355" s="10">
        <f>IFERROR(S355/E355, 0)</f>
      </c>
      <c r="W355" s="10">
        <f>IFERROR(T355/F355, 0)</f>
      </c>
      <c r="X355" s="11">
        <f>IFERROR(V355/W355, 0)</f>
      </c>
    </row>
    <row r="356" spans="1:24" x14ac:dyDescent="0.25">
      <c r="A356" s="8" t="s">
        <v>354</v>
      </c>
      <c r="B356" s="8" t="s">
        <v>355</v>
      </c>
      <c r="C356" s="8" t="s">
        <v>387</v>
      </c>
      <c r="D356" s="8" t="s">
        <v>396</v>
      </c>
      <c r="E356" s="9">
        <v>447</v>
      </c>
      <c r="F356" s="9">
        <v>479</v>
      </c>
      <c r="G356" s="10">
        <v>3859</v>
      </c>
      <c r="H356" s="10">
        <v>15170.518518518518</v>
      </c>
      <c r="I356" s="11">
        <f>IFERROR(G356/H356, 0)</f>
      </c>
      <c r="J356" s="10">
        <v>18</v>
      </c>
      <c r="K356" s="10">
        <v>4</v>
      </c>
      <c r="L356" s="10">
        <v>3859</v>
      </c>
      <c r="M356" s="12">
        <f>IFERROR(L356/K356, 0)</f>
      </c>
      <c r="N356" s="13">
        <f>IFERROR(J356/K356, 0)</f>
      </c>
      <c r="O356" s="10">
        <v>0</v>
      </c>
      <c r="P356" s="10">
        <v>38210</v>
      </c>
      <c r="Q356" s="10">
        <v>166875.7037037037</v>
      </c>
      <c r="R356" s="11">
        <f>IFERROR(P356/Q356, 0)</f>
      </c>
      <c r="S356" s="10">
        <v>243728</v>
      </c>
      <c r="T356" s="10">
        <v>2351431.703703704</v>
      </c>
      <c r="U356" s="11">
        <f>IFERROR(S356/T356, 0)</f>
      </c>
      <c r="V356" s="10">
        <f>IFERROR(S356/E356, 0)</f>
      </c>
      <c r="W356" s="10">
        <f>IFERROR(T356/F356, 0)</f>
      </c>
      <c r="X356" s="11">
        <f>IFERROR(V356/W356, 0)</f>
      </c>
    </row>
    <row r="357" spans="1:24" x14ac:dyDescent="0.25">
      <c r="A357" s="8" t="s">
        <v>354</v>
      </c>
      <c r="B357" s="8" t="s">
        <v>355</v>
      </c>
      <c r="C357" s="8" t="s">
        <v>387</v>
      </c>
      <c r="D357" s="8" t="s">
        <v>397</v>
      </c>
      <c r="E357" s="9">
        <v>386</v>
      </c>
      <c r="F357" s="9">
        <v>422</v>
      </c>
      <c r="G357" s="10">
        <v>0</v>
      </c>
      <c r="H357" s="10">
        <v>10327.74074074074</v>
      </c>
      <c r="I357" s="11">
        <f>IFERROR(G357/H357, 0)</f>
      </c>
      <c r="J357" s="10">
        <v>0</v>
      </c>
      <c r="K357" s="10">
        <v>0</v>
      </c>
      <c r="L357" s="10">
        <v>0</v>
      </c>
      <c r="M357" s="12">
        <f>IFERROR(L357/K357, 0)</f>
      </c>
      <c r="N357" s="13">
        <f>IFERROR(J357/K357, 0)</f>
      </c>
      <c r="O357" s="10">
        <v>0</v>
      </c>
      <c r="P357" s="10">
        <v>0</v>
      </c>
      <c r="Q357" s="10">
        <v>113605.14814814815</v>
      </c>
      <c r="R357" s="11">
        <f>IFERROR(P357/Q357, 0)</f>
      </c>
      <c r="S357" s="10">
        <v>0</v>
      </c>
      <c r="T357" s="10">
        <v>1600801.148148148</v>
      </c>
      <c r="U357" s="11">
        <f>IFERROR(S357/T357, 0)</f>
      </c>
      <c r="V357" s="10">
        <f>IFERROR(S357/E357, 0)</f>
      </c>
      <c r="W357" s="10">
        <f>IFERROR(T357/F357, 0)</f>
      </c>
      <c r="X357" s="11">
        <f>IFERROR(V357/W357, 0)</f>
      </c>
    </row>
    <row r="358" spans="1:24" x14ac:dyDescent="0.25">
      <c r="A358" s="8" t="s">
        <v>354</v>
      </c>
      <c r="B358" s="8" t="s">
        <v>355</v>
      </c>
      <c r="C358" s="8" t="s">
        <v>387</v>
      </c>
      <c r="D358" s="8" t="s">
        <v>398</v>
      </c>
      <c r="E358" s="9">
        <v>239</v>
      </c>
      <c r="F358" s="9">
        <v>239</v>
      </c>
      <c r="G358" s="10">
        <v>0</v>
      </c>
      <c r="H358" s="10">
        <v>7993.2962962962965</v>
      </c>
      <c r="I358" s="11">
        <f>IFERROR(G358/H358, 0)</f>
      </c>
      <c r="J358" s="10">
        <v>0</v>
      </c>
      <c r="K358" s="10">
        <v>0</v>
      </c>
      <c r="L358" s="10">
        <v>0</v>
      </c>
      <c r="M358" s="12">
        <f>IFERROR(L358/K358, 0)</f>
      </c>
      <c r="N358" s="13">
        <f>IFERROR(J358/K358, 0)</f>
      </c>
      <c r="O358" s="10">
        <v>0</v>
      </c>
      <c r="P358" s="10">
        <v>0</v>
      </c>
      <c r="Q358" s="10">
        <v>87926.25925925926</v>
      </c>
      <c r="R358" s="11">
        <f>IFERROR(P358/Q358, 0)</f>
      </c>
      <c r="S358" s="10">
        <v>0</v>
      </c>
      <c r="T358" s="10">
        <v>1238962.2592592593</v>
      </c>
      <c r="U358" s="11">
        <f>IFERROR(S358/T358, 0)</f>
      </c>
      <c r="V358" s="10">
        <f>IFERROR(S358/E358, 0)</f>
      </c>
      <c r="W358" s="10">
        <f>IFERROR(T358/F358, 0)</f>
      </c>
      <c r="X358" s="11">
        <f>IFERROR(V358/W358, 0)</f>
      </c>
    </row>
    <row r="359" spans="1:24" x14ac:dyDescent="0.25">
      <c r="A359" s="8" t="s">
        <v>354</v>
      </c>
      <c r="B359" s="8" t="s">
        <v>355</v>
      </c>
      <c r="C359" s="8" t="s">
        <v>387</v>
      </c>
      <c r="D359" s="8" t="s">
        <v>399</v>
      </c>
      <c r="E359" s="9">
        <v>135</v>
      </c>
      <c r="F359" s="9">
        <v>135</v>
      </c>
      <c r="G359" s="10">
        <v>0</v>
      </c>
      <c r="H359" s="10">
        <v>4515.037037037037</v>
      </c>
      <c r="I359" s="11">
        <f>IFERROR(G359/H359, 0)</f>
      </c>
      <c r="J359" s="10">
        <v>0</v>
      </c>
      <c r="K359" s="10">
        <v>0</v>
      </c>
      <c r="L359" s="10">
        <v>0</v>
      </c>
      <c r="M359" s="12">
        <f>IFERROR(L359/K359, 0)</f>
      </c>
      <c r="N359" s="13">
        <f>IFERROR(J359/K359, 0)</f>
      </c>
      <c r="O359" s="10">
        <v>0</v>
      </c>
      <c r="P359" s="10">
        <v>12790</v>
      </c>
      <c r="Q359" s="10">
        <v>49665.40740740741</v>
      </c>
      <c r="R359" s="11">
        <f>IFERROR(P359/Q359, 0)</f>
      </c>
      <c r="S359" s="10">
        <v>64569</v>
      </c>
      <c r="T359" s="10">
        <v>699831.4074074074</v>
      </c>
      <c r="U359" s="11">
        <f>IFERROR(S359/T359, 0)</f>
      </c>
      <c r="V359" s="10">
        <f>IFERROR(S359/E359, 0)</f>
      </c>
      <c r="W359" s="10">
        <f>IFERROR(T359/F359, 0)</f>
      </c>
      <c r="X359" s="11">
        <f>IFERROR(V359/W359, 0)</f>
      </c>
    </row>
    <row r="360" spans="1:24" x14ac:dyDescent="0.25">
      <c r="A360" s="8" t="s">
        <v>354</v>
      </c>
      <c r="B360" s="8" t="s">
        <v>355</v>
      </c>
      <c r="C360" s="8" t="s">
        <v>387</v>
      </c>
      <c r="D360" s="8" t="s">
        <v>400</v>
      </c>
      <c r="E360" s="9">
        <v>1211</v>
      </c>
      <c r="F360" s="9">
        <v>1251</v>
      </c>
      <c r="G360" s="10">
        <v>29130</v>
      </c>
      <c r="H360" s="10">
        <v>47966.444444444445</v>
      </c>
      <c r="I360" s="11">
        <f>IFERROR(G360/H360, 0)</f>
      </c>
      <c r="J360" s="10">
        <v>61</v>
      </c>
      <c r="K360" s="10">
        <v>22</v>
      </c>
      <c r="L360" s="10">
        <v>29130</v>
      </c>
      <c r="M360" s="12">
        <f>IFERROR(L360/K360, 0)</f>
      </c>
      <c r="N360" s="13">
        <f>IFERROR(J360/K360, 0)</f>
      </c>
      <c r="O360" s="10">
        <v>0</v>
      </c>
      <c r="P360" s="10">
        <v>197392</v>
      </c>
      <c r="Q360" s="10">
        <v>527630.8888888889</v>
      </c>
      <c r="R360" s="11">
        <f>IFERROR(P360/Q360, 0)</f>
      </c>
      <c r="S360" s="10">
        <v>1230183</v>
      </c>
      <c r="T360" s="10">
        <v>7434798.888888889</v>
      </c>
      <c r="U360" s="11">
        <f>IFERROR(S360/T360, 0)</f>
      </c>
      <c r="V360" s="10">
        <f>IFERROR(S360/E360, 0)</f>
      </c>
      <c r="W360" s="10">
        <f>IFERROR(T360/F360, 0)</f>
      </c>
      <c r="X360" s="11">
        <f>IFERROR(V360/W360, 0)</f>
      </c>
    </row>
    <row r="361" spans="1:24" x14ac:dyDescent="0.25">
      <c r="A361" s="8" t="s">
        <v>354</v>
      </c>
      <c r="B361" s="8" t="s">
        <v>355</v>
      </c>
      <c r="C361" s="8" t="s">
        <v>387</v>
      </c>
      <c r="D361" s="8" t="s">
        <v>401</v>
      </c>
      <c r="E361" s="9">
        <v>457</v>
      </c>
      <c r="F361" s="9">
        <v>457</v>
      </c>
      <c r="G361" s="10">
        <v>0</v>
      </c>
      <c r="H361" s="10">
        <v>15143.814814814816</v>
      </c>
      <c r="I361" s="11">
        <f>IFERROR(G361/H361, 0)</f>
      </c>
      <c r="J361" s="10">
        <v>0</v>
      </c>
      <c r="K361" s="10">
        <v>0</v>
      </c>
      <c r="L361" s="10">
        <v>0</v>
      </c>
      <c r="M361" s="12">
        <f>IFERROR(L361/K361, 0)</f>
      </c>
      <c r="N361" s="13">
        <f>IFERROR(J361/K361, 0)</f>
      </c>
      <c r="O361" s="10">
        <v>0</v>
      </c>
      <c r="P361" s="10">
        <v>83331</v>
      </c>
      <c r="Q361" s="10">
        <v>166581.96296296298</v>
      </c>
      <c r="R361" s="11">
        <f>IFERROR(P361/Q361, 0)</f>
      </c>
      <c r="S361" s="10">
        <v>510848</v>
      </c>
      <c r="T361" s="10">
        <v>2347291.962962963</v>
      </c>
      <c r="U361" s="11">
        <f>IFERROR(S361/T361, 0)</f>
      </c>
      <c r="V361" s="10">
        <f>IFERROR(S361/E361, 0)</f>
      </c>
      <c r="W361" s="10">
        <f>IFERROR(T361/F361, 0)</f>
      </c>
      <c r="X361" s="11">
        <f>IFERROR(V361/W361, 0)</f>
      </c>
    </row>
    <row r="362" spans="1:24" x14ac:dyDescent="0.25">
      <c r="A362" s="8" t="s">
        <v>354</v>
      </c>
      <c r="B362" s="8" t="s">
        <v>355</v>
      </c>
      <c r="C362" s="8" t="s">
        <v>387</v>
      </c>
      <c r="D362" s="8" t="s">
        <v>402</v>
      </c>
      <c r="E362" s="9">
        <v>554</v>
      </c>
      <c r="F362" s="9">
        <v>554</v>
      </c>
      <c r="G362" s="10">
        <v>0</v>
      </c>
      <c r="H362" s="10">
        <v>14822.74074074074</v>
      </c>
      <c r="I362" s="11">
        <f>IFERROR(G362/H362, 0)</f>
      </c>
      <c r="J362" s="10">
        <v>0</v>
      </c>
      <c r="K362" s="10">
        <v>0</v>
      </c>
      <c r="L362" s="10">
        <v>0</v>
      </c>
      <c r="M362" s="12">
        <f>IFERROR(L362/K362, 0)</f>
      </c>
      <c r="N362" s="13">
        <f>IFERROR(J362/K362, 0)</f>
      </c>
      <c r="O362" s="10">
        <v>0</v>
      </c>
      <c r="P362" s="10">
        <v>0</v>
      </c>
      <c r="Q362" s="10">
        <v>163050.14814814815</v>
      </c>
      <c r="R362" s="11">
        <f>IFERROR(P362/Q362, 0)</f>
      </c>
      <c r="S362" s="10">
        <v>0</v>
      </c>
      <c r="T362" s="10">
        <v>2297526.1481481483</v>
      </c>
      <c r="U362" s="11">
        <f>IFERROR(S362/T362, 0)</f>
      </c>
      <c r="V362" s="10">
        <f>IFERROR(S362/E362, 0)</f>
      </c>
      <c r="W362" s="10">
        <f>IFERROR(T362/F362, 0)</f>
      </c>
      <c r="X362" s="11">
        <f>IFERROR(V362/W362, 0)</f>
      </c>
    </row>
    <row r="363" spans="1:24" x14ac:dyDescent="0.25">
      <c r="A363" s="8" t="s">
        <v>354</v>
      </c>
      <c r="B363" s="8" t="s">
        <v>355</v>
      </c>
      <c r="C363" s="8" t="s">
        <v>387</v>
      </c>
      <c r="D363" s="8" t="s">
        <v>403</v>
      </c>
      <c r="E363" s="9">
        <v>1700</v>
      </c>
      <c r="F363" s="9">
        <v>1700</v>
      </c>
      <c r="G363" s="10">
        <v>16260</v>
      </c>
      <c r="H363" s="10">
        <v>66700.85185185185</v>
      </c>
      <c r="I363" s="11">
        <f>IFERROR(G363/H363, 0)</f>
      </c>
      <c r="J363" s="10">
        <v>25</v>
      </c>
      <c r="K363" s="10">
        <v>14</v>
      </c>
      <c r="L363" s="10">
        <v>16260</v>
      </c>
      <c r="M363" s="12">
        <f>IFERROR(L363/K363, 0)</f>
      </c>
      <c r="N363" s="13">
        <f>IFERROR(J363/K363, 0)</f>
      </c>
      <c r="O363" s="10">
        <v>0</v>
      </c>
      <c r="P363" s="10">
        <v>289017</v>
      </c>
      <c r="Q363" s="10">
        <v>733709.3703703703</v>
      </c>
      <c r="R363" s="11">
        <f>IFERROR(P363/Q363, 0)</f>
      </c>
      <c r="S363" s="10">
        <v>1827255</v>
      </c>
      <c r="T363" s="10">
        <v>10338631.370370371</v>
      </c>
      <c r="U363" s="11">
        <f>IFERROR(S363/T363, 0)</f>
      </c>
      <c r="V363" s="10">
        <f>IFERROR(S363/E363, 0)</f>
      </c>
      <c r="W363" s="10">
        <f>IFERROR(T363/F363, 0)</f>
      </c>
      <c r="X363" s="11">
        <f>IFERROR(V363/W363, 0)</f>
      </c>
    </row>
    <row r="364" spans="1:24" x14ac:dyDescent="0.25">
      <c r="A364" s="8" t="s">
        <v>354</v>
      </c>
      <c r="B364" s="8" t="s">
        <v>355</v>
      </c>
      <c r="C364" s="8" t="s">
        <v>387</v>
      </c>
      <c r="D364" s="8" t="s">
        <v>404</v>
      </c>
      <c r="E364" s="9">
        <v>478</v>
      </c>
      <c r="F364" s="9">
        <v>338</v>
      </c>
      <c r="G364" s="10">
        <v>13232</v>
      </c>
      <c r="H364" s="10">
        <v>14695.666666666668</v>
      </c>
      <c r="I364" s="11">
        <f>IFERROR(G364/H364, 0)</f>
      </c>
      <c r="J364" s="10">
        <v>27</v>
      </c>
      <c r="K364" s="10">
        <v>10</v>
      </c>
      <c r="L364" s="10">
        <v>13232</v>
      </c>
      <c r="M364" s="12">
        <f>IFERROR(L364/K364, 0)</f>
      </c>
      <c r="N364" s="13">
        <f>IFERROR(J364/K364, 0)</f>
      </c>
      <c r="O364" s="10">
        <v>0</v>
      </c>
      <c r="P364" s="10">
        <v>68282</v>
      </c>
      <c r="Q364" s="10">
        <v>161652.33333333334</v>
      </c>
      <c r="R364" s="11">
        <f>IFERROR(P364/Q364, 0)</f>
      </c>
      <c r="S364" s="10">
        <v>672957</v>
      </c>
      <c r="T364" s="10">
        <v>2277826.3333333335</v>
      </c>
      <c r="U364" s="11">
        <f>IFERROR(S364/T364, 0)</f>
      </c>
      <c r="V364" s="10">
        <f>IFERROR(S364/E364, 0)</f>
      </c>
      <c r="W364" s="10">
        <f>IFERROR(T364/F364, 0)</f>
      </c>
      <c r="X364" s="11">
        <f>IFERROR(V364/W364, 0)</f>
      </c>
    </row>
    <row r="365" spans="1:24" x14ac:dyDescent="0.25">
      <c r="A365" s="8" t="s">
        <v>354</v>
      </c>
      <c r="B365" s="8" t="s">
        <v>355</v>
      </c>
      <c r="C365" s="8" t="s">
        <v>387</v>
      </c>
      <c r="D365" s="8" t="s">
        <v>405</v>
      </c>
      <c r="E365" s="9">
        <v>106</v>
      </c>
      <c r="F365" s="9">
        <v>126</v>
      </c>
      <c r="G365" s="10">
        <v>0</v>
      </c>
      <c r="H365" s="10">
        <v>3545.1481481481483</v>
      </c>
      <c r="I365" s="11">
        <f>IFERROR(G365/H365, 0)</f>
      </c>
      <c r="J365" s="10">
        <v>0</v>
      </c>
      <c r="K365" s="10">
        <v>0</v>
      </c>
      <c r="L365" s="10">
        <v>0</v>
      </c>
      <c r="M365" s="12">
        <f>IFERROR(L365/K365, 0)</f>
      </c>
      <c r="N365" s="13">
        <f>IFERROR(J365/K365, 0)</f>
      </c>
      <c r="O365" s="10">
        <v>0</v>
      </c>
      <c r="P365" s="10">
        <v>9807</v>
      </c>
      <c r="Q365" s="10">
        <v>38996.62962962963</v>
      </c>
      <c r="R365" s="11">
        <f>IFERROR(P365/Q365, 0)</f>
      </c>
      <c r="S365" s="10">
        <v>103970</v>
      </c>
      <c r="T365" s="10">
        <v>549498.6296296297</v>
      </c>
      <c r="U365" s="11">
        <f>IFERROR(S365/T365, 0)</f>
      </c>
      <c r="V365" s="10">
        <f>IFERROR(S365/E365, 0)</f>
      </c>
      <c r="W365" s="10">
        <f>IFERROR(T365/F365, 0)</f>
      </c>
      <c r="X365" s="11">
        <f>IFERROR(V365/W365, 0)</f>
      </c>
    </row>
    <row r="366" spans="1:24" x14ac:dyDescent="0.25">
      <c r="A366" s="8" t="s">
        <v>354</v>
      </c>
      <c r="B366" s="8" t="s">
        <v>355</v>
      </c>
      <c r="C366" s="8" t="s">
        <v>387</v>
      </c>
      <c r="D366" s="8" t="s">
        <v>406</v>
      </c>
      <c r="E366" s="9">
        <v>48</v>
      </c>
      <c r="F366" s="9">
        <v>48</v>
      </c>
      <c r="G366" s="10">
        <v>0</v>
      </c>
      <c r="H366" s="10">
        <v>1444.8148148148148</v>
      </c>
      <c r="I366" s="11">
        <f>IFERROR(G366/H366, 0)</f>
      </c>
      <c r="J366" s="10">
        <v>0</v>
      </c>
      <c r="K366" s="10">
        <v>0</v>
      </c>
      <c r="L366" s="10">
        <v>0</v>
      </c>
      <c r="M366" s="12">
        <f>IFERROR(L366/K366, 0)</f>
      </c>
      <c r="N366" s="13">
        <f>IFERROR(J366/K366, 0)</f>
      </c>
      <c r="O366" s="10">
        <v>0</v>
      </c>
      <c r="P366" s="10">
        <v>0</v>
      </c>
      <c r="Q366" s="10">
        <v>15892.962962962964</v>
      </c>
      <c r="R366" s="11">
        <f>IFERROR(P366/Q366, 0)</f>
      </c>
      <c r="S366" s="10">
        <v>27050</v>
      </c>
      <c r="T366" s="10">
        <v>223946.96296296295</v>
      </c>
      <c r="U366" s="11">
        <f>IFERROR(S366/T366, 0)</f>
      </c>
      <c r="V366" s="10">
        <f>IFERROR(S366/E366, 0)</f>
      </c>
      <c r="W366" s="10">
        <f>IFERROR(T366/F366, 0)</f>
      </c>
      <c r="X366" s="11">
        <f>IFERROR(V366/W366, 0)</f>
      </c>
    </row>
    <row r="367" spans="1:24" x14ac:dyDescent="0.25">
      <c r="A367" s="8" t="s">
        <v>354</v>
      </c>
      <c r="B367" s="8" t="s">
        <v>355</v>
      </c>
      <c r="C367" s="8" t="s">
        <v>387</v>
      </c>
      <c r="D367" s="8" t="s">
        <v>407</v>
      </c>
      <c r="E367" s="9">
        <v>338</v>
      </c>
      <c r="F367" s="9">
        <v>499</v>
      </c>
      <c r="G367" s="10">
        <v>12510</v>
      </c>
      <c r="H367" s="10">
        <v>14707.666666666668</v>
      </c>
      <c r="I367" s="11">
        <f>IFERROR(G367/H367, 0)</f>
      </c>
      <c r="J367" s="10">
        <v>50</v>
      </c>
      <c r="K367" s="10">
        <v>10</v>
      </c>
      <c r="L367" s="10">
        <v>12510</v>
      </c>
      <c r="M367" s="12">
        <f>IFERROR(L367/K367, 0)</f>
      </c>
      <c r="N367" s="13">
        <f>IFERROR(J367/K367, 0)</f>
      </c>
      <c r="O367" s="10">
        <v>0</v>
      </c>
      <c r="P367" s="10">
        <v>90978</v>
      </c>
      <c r="Q367" s="10">
        <v>161784.33333333334</v>
      </c>
      <c r="R367" s="11">
        <f>IFERROR(P367/Q367, 0)</f>
      </c>
      <c r="S367" s="10">
        <v>316882</v>
      </c>
      <c r="T367" s="10">
        <v>2279686.3333333335</v>
      </c>
      <c r="U367" s="11">
        <f>IFERROR(S367/T367, 0)</f>
      </c>
      <c r="V367" s="10">
        <f>IFERROR(S367/E367, 0)</f>
      </c>
      <c r="W367" s="10">
        <f>IFERROR(T367/F367, 0)</f>
      </c>
      <c r="X367" s="11">
        <f>IFERROR(V367/W367, 0)</f>
      </c>
    </row>
    <row r="368" spans="1:24" x14ac:dyDescent="0.25">
      <c r="A368" s="8" t="s">
        <v>354</v>
      </c>
      <c r="B368" s="8" t="s">
        <v>355</v>
      </c>
      <c r="C368" s="8" t="s">
        <v>387</v>
      </c>
      <c r="D368" s="8" t="s">
        <v>408</v>
      </c>
      <c r="E368" s="9">
        <v>146</v>
      </c>
      <c r="F368" s="9">
        <v>146</v>
      </c>
      <c r="G368" s="10">
        <v>0</v>
      </c>
      <c r="H368" s="10">
        <v>5468.888888888889</v>
      </c>
      <c r="I368" s="11">
        <f>IFERROR(G368/H368, 0)</f>
      </c>
      <c r="J368" s="10">
        <v>0</v>
      </c>
      <c r="K368" s="10">
        <v>0</v>
      </c>
      <c r="L368" s="10">
        <v>0</v>
      </c>
      <c r="M368" s="12">
        <f>IFERROR(L368/K368, 0)</f>
      </c>
      <c r="N368" s="13">
        <f>IFERROR(J368/K368, 0)</f>
      </c>
      <c r="O368" s="10">
        <v>0</v>
      </c>
      <c r="P368" s="10">
        <v>37377</v>
      </c>
      <c r="Q368" s="10">
        <v>60157.77777777778</v>
      </c>
      <c r="R368" s="11">
        <f>IFERROR(P368/Q368, 0)</f>
      </c>
      <c r="S368" s="10">
        <v>250981</v>
      </c>
      <c r="T368" s="10">
        <v>847679.7777777778</v>
      </c>
      <c r="U368" s="11">
        <f>IFERROR(S368/T368, 0)</f>
      </c>
      <c r="V368" s="10">
        <f>IFERROR(S368/E368, 0)</f>
      </c>
      <c r="W368" s="10">
        <f>IFERROR(T368/F368, 0)</f>
      </c>
      <c r="X368" s="11">
        <f>IFERROR(V368/W368, 0)</f>
      </c>
    </row>
    <row r="369" spans="1:24" x14ac:dyDescent="0.25">
      <c r="A369" s="8" t="s">
        <v>354</v>
      </c>
      <c r="B369" s="8" t="s">
        <v>355</v>
      </c>
      <c r="C369" s="8" t="s">
        <v>387</v>
      </c>
      <c r="D369" s="8" t="s">
        <v>409</v>
      </c>
      <c r="E369" s="9">
        <v>56</v>
      </c>
      <c r="F369" s="9">
        <v>56</v>
      </c>
      <c r="G369" s="10">
        <v>0</v>
      </c>
      <c r="H369" s="10">
        <v>1722.6666666666667</v>
      </c>
      <c r="I369" s="11">
        <f>IFERROR(G369/H369, 0)</f>
      </c>
      <c r="J369" s="10">
        <v>0</v>
      </c>
      <c r="K369" s="10">
        <v>0</v>
      </c>
      <c r="L369" s="10">
        <v>0</v>
      </c>
      <c r="M369" s="12">
        <f>IFERROR(L369/K369, 0)</f>
      </c>
      <c r="N369" s="13">
        <f>IFERROR(J369/K369, 0)</f>
      </c>
      <c r="O369" s="10">
        <v>0</v>
      </c>
      <c r="P369" s="10">
        <v>0</v>
      </c>
      <c r="Q369" s="10">
        <v>18949.333333333332</v>
      </c>
      <c r="R369" s="11">
        <f>IFERROR(P369/Q369, 0)</f>
      </c>
      <c r="S369" s="10">
        <v>48574</v>
      </c>
      <c r="T369" s="10">
        <v>267015.3333333333</v>
      </c>
      <c r="U369" s="11">
        <f>IFERROR(S369/T369, 0)</f>
      </c>
      <c r="V369" s="10">
        <f>IFERROR(S369/E369, 0)</f>
      </c>
      <c r="W369" s="10">
        <f>IFERROR(T369/F369, 0)</f>
      </c>
      <c r="X369" s="11">
        <f>IFERROR(V369/W369, 0)</f>
      </c>
    </row>
    <row r="370" spans="1:24" x14ac:dyDescent="0.25">
      <c r="A370" s="8" t="s">
        <v>354</v>
      </c>
      <c r="B370" s="8" t="s">
        <v>355</v>
      </c>
      <c r="C370" s="8" t="s">
        <v>387</v>
      </c>
      <c r="D370" s="8" t="s">
        <v>410</v>
      </c>
      <c r="E370" s="9">
        <v>376</v>
      </c>
      <c r="F370" s="9">
        <v>376</v>
      </c>
      <c r="G370" s="10">
        <v>19091</v>
      </c>
      <c r="H370" s="10">
        <v>11529.962962962964</v>
      </c>
      <c r="I370" s="11">
        <f>IFERROR(G370/H370, 0)</f>
      </c>
      <c r="J370" s="10">
        <v>18</v>
      </c>
      <c r="K370" s="10">
        <v>10</v>
      </c>
      <c r="L370" s="10">
        <v>19091</v>
      </c>
      <c r="M370" s="12">
        <f>IFERROR(L370/K370, 0)</f>
      </c>
      <c r="N370" s="13">
        <f>IFERROR(J370/K370, 0)</f>
      </c>
      <c r="O370" s="10">
        <v>0</v>
      </c>
      <c r="P370" s="10">
        <v>332884</v>
      </c>
      <c r="Q370" s="10">
        <v>126829.5925925926</v>
      </c>
      <c r="R370" s="11">
        <f>IFERROR(P370/Q370, 0)</f>
      </c>
      <c r="S370" s="10">
        <v>959703</v>
      </c>
      <c r="T370" s="10">
        <v>1787143.5925925926</v>
      </c>
      <c r="U370" s="11">
        <f>IFERROR(S370/T370, 0)</f>
      </c>
      <c r="V370" s="10">
        <f>IFERROR(S370/E370, 0)</f>
      </c>
      <c r="W370" s="10">
        <f>IFERROR(T370/F370, 0)</f>
      </c>
      <c r="X370" s="11">
        <f>IFERROR(V370/W370, 0)</f>
      </c>
    </row>
    <row r="371" spans="1:24" x14ac:dyDescent="0.25">
      <c r="A371" s="8" t="s">
        <v>354</v>
      </c>
      <c r="B371" s="8" t="s">
        <v>355</v>
      </c>
      <c r="C371" s="8" t="s">
        <v>387</v>
      </c>
      <c r="D371" s="8" t="s">
        <v>411</v>
      </c>
      <c r="E371" s="9">
        <v>323</v>
      </c>
      <c r="F371" s="9">
        <v>323</v>
      </c>
      <c r="G371" s="10">
        <v>0</v>
      </c>
      <c r="H371" s="10">
        <v>9871.888888888889</v>
      </c>
      <c r="I371" s="11">
        <f>IFERROR(G371/H371, 0)</f>
      </c>
      <c r="J371" s="10">
        <v>0</v>
      </c>
      <c r="K371" s="10">
        <v>0</v>
      </c>
      <c r="L371" s="10">
        <v>0</v>
      </c>
      <c r="M371" s="12">
        <f>IFERROR(L371/K371, 0)</f>
      </c>
      <c r="N371" s="13">
        <f>IFERROR(J371/K371, 0)</f>
      </c>
      <c r="O371" s="10">
        <v>0</v>
      </c>
      <c r="P371" s="10">
        <v>0</v>
      </c>
      <c r="Q371" s="10">
        <v>108590.77777777778</v>
      </c>
      <c r="R371" s="11">
        <f>IFERROR(P371/Q371, 0)</f>
      </c>
      <c r="S371" s="10">
        <v>19320</v>
      </c>
      <c r="T371" s="10">
        <v>1530146.7777777778</v>
      </c>
      <c r="U371" s="11">
        <f>IFERROR(S371/T371, 0)</f>
      </c>
      <c r="V371" s="10">
        <f>IFERROR(S371/E371, 0)</f>
      </c>
      <c r="W371" s="10">
        <f>IFERROR(T371/F371, 0)</f>
      </c>
      <c r="X371" s="11">
        <f>IFERROR(V371/W371, 0)</f>
      </c>
    </row>
    <row r="372" spans="1:24" x14ac:dyDescent="0.25">
      <c r="A372" s="8" t="s">
        <v>354</v>
      </c>
      <c r="B372" s="8" t="s">
        <v>355</v>
      </c>
      <c r="C372" s="8" t="s">
        <v>387</v>
      </c>
      <c r="D372" s="8" t="s">
        <v>412</v>
      </c>
      <c r="E372" s="9">
        <v>1066.9</v>
      </c>
      <c r="F372" s="9">
        <v>1066.9</v>
      </c>
      <c r="G372" s="10">
        <v>11510</v>
      </c>
      <c r="H372" s="10">
        <v>42203.11111111111</v>
      </c>
      <c r="I372" s="11">
        <f>IFERROR(G372/H372, 0)</f>
      </c>
      <c r="J372" s="10">
        <v>24</v>
      </c>
      <c r="K372" s="10">
        <v>11</v>
      </c>
      <c r="L372" s="10">
        <v>11510</v>
      </c>
      <c r="M372" s="12">
        <f>IFERROR(L372/K372, 0)</f>
      </c>
      <c r="N372" s="13">
        <f>IFERROR(J372/K372, 0)</f>
      </c>
      <c r="O372" s="10">
        <v>0</v>
      </c>
      <c r="P372" s="10">
        <v>69816</v>
      </c>
      <c r="Q372" s="10">
        <v>464234.22222222225</v>
      </c>
      <c r="R372" s="11">
        <f>IFERROR(P372/Q372, 0)</f>
      </c>
      <c r="S372" s="10">
        <v>646264</v>
      </c>
      <c r="T372" s="10">
        <v>6425552.222222222</v>
      </c>
      <c r="U372" s="11">
        <f>IFERROR(S372/T372, 0)</f>
      </c>
      <c r="V372" s="10">
        <f>IFERROR(S372/E372, 0)</f>
      </c>
      <c r="W372" s="10">
        <f>IFERROR(T372/F372, 0)</f>
      </c>
      <c r="X372" s="11">
        <f>IFERROR(V372/W372, 0)</f>
      </c>
    </row>
    <row r="373" spans="1:24" x14ac:dyDescent="0.25">
      <c r="A373" s="8" t="s">
        <v>354</v>
      </c>
      <c r="B373" s="8" t="s">
        <v>355</v>
      </c>
      <c r="C373" s="8" t="s">
        <v>387</v>
      </c>
      <c r="D373" s="8" t="s">
        <v>413</v>
      </c>
      <c r="E373" s="9">
        <v>225</v>
      </c>
      <c r="F373" s="9">
        <v>225</v>
      </c>
      <c r="G373" s="10">
        <v>5377</v>
      </c>
      <c r="H373" s="10">
        <v>6781.814814814815</v>
      </c>
      <c r="I373" s="11">
        <f>IFERROR(G373/H373, 0)</f>
      </c>
      <c r="J373" s="10">
        <v>6</v>
      </c>
      <c r="K373" s="10">
        <v>3</v>
      </c>
      <c r="L373" s="10">
        <v>5377</v>
      </c>
      <c r="M373" s="12">
        <f>IFERROR(L373/K373, 0)</f>
      </c>
      <c r="N373" s="13">
        <f>IFERROR(J373/K373, 0)</f>
      </c>
      <c r="O373" s="10">
        <v>0</v>
      </c>
      <c r="P373" s="10">
        <v>27782</v>
      </c>
      <c r="Q373" s="10">
        <v>74599.96296296296</v>
      </c>
      <c r="R373" s="11">
        <f>IFERROR(P373/Q373, 0)</f>
      </c>
      <c r="S373" s="10">
        <v>131448</v>
      </c>
      <c r="T373" s="10">
        <v>1051179.962962963</v>
      </c>
      <c r="U373" s="11">
        <f>IFERROR(S373/T373, 0)</f>
      </c>
      <c r="V373" s="10">
        <f>IFERROR(S373/E373, 0)</f>
      </c>
      <c r="W373" s="10">
        <f>IFERROR(T373/F373, 0)</f>
      </c>
      <c r="X373" s="11">
        <f>IFERROR(V373/W373, 0)</f>
      </c>
    </row>
    <row r="374" spans="1:24" x14ac:dyDescent="0.25">
      <c r="A374" s="8" t="s">
        <v>354</v>
      </c>
      <c r="B374" s="8" t="s">
        <v>355</v>
      </c>
      <c r="C374" s="8" t="s">
        <v>387</v>
      </c>
      <c r="D374" s="8" t="s">
        <v>414</v>
      </c>
      <c r="E374" s="9">
        <v>138</v>
      </c>
      <c r="F374" s="9">
        <v>138</v>
      </c>
      <c r="G374" s="10">
        <v>0</v>
      </c>
      <c r="H374" s="10">
        <v>4153.851851851852</v>
      </c>
      <c r="I374" s="11">
        <f>IFERROR(G374/H374, 0)</f>
      </c>
      <c r="J374" s="10">
        <v>0</v>
      </c>
      <c r="K374" s="10">
        <v>0</v>
      </c>
      <c r="L374" s="10">
        <v>0</v>
      </c>
      <c r="M374" s="12">
        <f>IFERROR(L374/K374, 0)</f>
      </c>
      <c r="N374" s="13">
        <f>IFERROR(J374/K374, 0)</f>
      </c>
      <c r="O374" s="10">
        <v>0</v>
      </c>
      <c r="P374" s="10">
        <v>20285</v>
      </c>
      <c r="Q374" s="10">
        <v>45692.37037037037</v>
      </c>
      <c r="R374" s="11">
        <f>IFERROR(P374/Q374, 0)</f>
      </c>
      <c r="S374" s="10">
        <v>252673</v>
      </c>
      <c r="T374" s="10">
        <v>643844.3703703703</v>
      </c>
      <c r="U374" s="11">
        <f>IFERROR(S374/T374, 0)</f>
      </c>
      <c r="V374" s="10">
        <f>IFERROR(S374/E374, 0)</f>
      </c>
      <c r="W374" s="10">
        <f>IFERROR(T374/F374, 0)</f>
      </c>
      <c r="X374" s="11">
        <f>IFERROR(V374/W374, 0)</f>
      </c>
    </row>
    <row r="375" spans="1:24" x14ac:dyDescent="0.25">
      <c r="A375" s="8" t="s">
        <v>354</v>
      </c>
      <c r="B375" s="8" t="s">
        <v>355</v>
      </c>
      <c r="C375" s="8" t="s">
        <v>387</v>
      </c>
      <c r="D375" s="8" t="s">
        <v>415</v>
      </c>
      <c r="E375" s="9">
        <v>162</v>
      </c>
      <c r="F375" s="9">
        <v>247</v>
      </c>
      <c r="G375" s="10">
        <v>6313</v>
      </c>
      <c r="H375" s="10">
        <v>4334.444444444444</v>
      </c>
      <c r="I375" s="11">
        <f>IFERROR(G375/H375, 0)</f>
      </c>
      <c r="J375" s="10">
        <v>7</v>
      </c>
      <c r="K375" s="10">
        <v>6</v>
      </c>
      <c r="L375" s="10">
        <v>6313</v>
      </c>
      <c r="M375" s="12">
        <f>IFERROR(L375/K375, 0)</f>
      </c>
      <c r="N375" s="13">
        <f>IFERROR(J375/K375, 0)</f>
      </c>
      <c r="O375" s="10">
        <v>0</v>
      </c>
      <c r="P375" s="10">
        <v>14540</v>
      </c>
      <c r="Q375" s="10">
        <v>47678.88888888889</v>
      </c>
      <c r="R375" s="11">
        <f>IFERROR(P375/Q375, 0)</f>
      </c>
      <c r="S375" s="10">
        <v>126192</v>
      </c>
      <c r="T375" s="10">
        <v>671838.8888888889</v>
      </c>
      <c r="U375" s="11">
        <f>IFERROR(S375/T375, 0)</f>
      </c>
      <c r="V375" s="10">
        <f>IFERROR(S375/E375, 0)</f>
      </c>
      <c r="W375" s="10">
        <f>IFERROR(T375/F375, 0)</f>
      </c>
      <c r="X375" s="11">
        <f>IFERROR(V375/W375, 0)</f>
      </c>
    </row>
    <row r="376" spans="1:24" x14ac:dyDescent="0.25">
      <c r="A376" s="8" t="s">
        <v>354</v>
      </c>
      <c r="B376" s="8" t="s">
        <v>355</v>
      </c>
      <c r="C376" s="8" t="s">
        <v>387</v>
      </c>
      <c r="D376" s="8" t="s">
        <v>416</v>
      </c>
      <c r="E376" s="9">
        <v>1423</v>
      </c>
      <c r="F376" s="9">
        <v>1423</v>
      </c>
      <c r="G376" s="10">
        <v>29287</v>
      </c>
      <c r="H376" s="10">
        <v>47591.96296296296</v>
      </c>
      <c r="I376" s="11">
        <f>IFERROR(G376/H376, 0)</f>
      </c>
      <c r="J376" s="10">
        <v>43</v>
      </c>
      <c r="K376" s="10">
        <v>28</v>
      </c>
      <c r="L376" s="10">
        <v>29287</v>
      </c>
      <c r="M376" s="12">
        <f>IFERROR(L376/K376, 0)</f>
      </c>
      <c r="N376" s="13">
        <f>IFERROR(J376/K376, 0)</f>
      </c>
      <c r="O376" s="10">
        <v>0</v>
      </c>
      <c r="P376" s="10">
        <v>252345</v>
      </c>
      <c r="Q376" s="10">
        <v>523511.5925925926</v>
      </c>
      <c r="R376" s="11">
        <f>IFERROR(P376/Q376, 0)</f>
      </c>
      <c r="S376" s="10">
        <v>1510163</v>
      </c>
      <c r="T376" s="10">
        <v>7376753.592592592</v>
      </c>
      <c r="U376" s="11">
        <f>IFERROR(S376/T376, 0)</f>
      </c>
      <c r="V376" s="10">
        <f>IFERROR(S376/E376, 0)</f>
      </c>
      <c r="W376" s="10">
        <f>IFERROR(T376/F376, 0)</f>
      </c>
      <c r="X376" s="11">
        <f>IFERROR(V376/W376, 0)</f>
      </c>
    </row>
    <row r="377" spans="1:24" x14ac:dyDescent="0.25">
      <c r="A377" s="8" t="s">
        <v>354</v>
      </c>
      <c r="B377" s="8" t="s">
        <v>355</v>
      </c>
      <c r="C377" s="8" t="s">
        <v>387</v>
      </c>
      <c r="D377" s="8" t="s">
        <v>417</v>
      </c>
      <c r="E377" s="9">
        <v>193</v>
      </c>
      <c r="F377" s="9">
        <v>193</v>
      </c>
      <c r="G377" s="10">
        <v>0</v>
      </c>
      <c r="H377" s="10">
        <v>6417.037037037037</v>
      </c>
      <c r="I377" s="11">
        <f>IFERROR(G377/H377, 0)</f>
      </c>
      <c r="J377" s="10">
        <v>6</v>
      </c>
      <c r="K377" s="10">
        <v>3</v>
      </c>
      <c r="L377" s="10">
        <v>2700</v>
      </c>
      <c r="M377" s="12">
        <f>IFERROR(L377/K377, 0)</f>
      </c>
      <c r="N377" s="13">
        <f>IFERROR(J377/K377, 0)</f>
      </c>
      <c r="O377" s="10">
        <v>11180</v>
      </c>
      <c r="P377" s="10">
        <v>7430</v>
      </c>
      <c r="Q377" s="10">
        <v>70587.4074074074</v>
      </c>
      <c r="R377" s="11">
        <f>IFERROR(P377/Q377, 0)</f>
      </c>
      <c r="S377" s="10">
        <v>176072</v>
      </c>
      <c r="T377" s="10">
        <v>994641.4074074074</v>
      </c>
      <c r="U377" s="11">
        <f>IFERROR(S377/T377, 0)</f>
      </c>
      <c r="V377" s="10">
        <f>IFERROR(S377/E377, 0)</f>
      </c>
      <c r="W377" s="10">
        <f>IFERROR(T377/F377, 0)</f>
      </c>
      <c r="X377" s="11">
        <f>IFERROR(V377/W377, 0)</f>
      </c>
    </row>
    <row r="378" spans="1:24" x14ac:dyDescent="0.25">
      <c r="A378" s="8" t="s">
        <v>354</v>
      </c>
      <c r="B378" s="8" t="s">
        <v>355</v>
      </c>
      <c r="C378" s="8" t="s">
        <v>387</v>
      </c>
      <c r="D378" s="8" t="s">
        <v>418</v>
      </c>
      <c r="E378" s="9">
        <v>137</v>
      </c>
      <c r="F378" s="9">
        <v>137</v>
      </c>
      <c r="G378" s="10">
        <v>0</v>
      </c>
      <c r="H378" s="10">
        <v>4123.740740740741</v>
      </c>
      <c r="I378" s="11">
        <f>IFERROR(G378/H378, 0)</f>
      </c>
      <c r="J378" s="10">
        <v>0</v>
      </c>
      <c r="K378" s="10">
        <v>0</v>
      </c>
      <c r="L378" s="10">
        <v>0</v>
      </c>
      <c r="M378" s="12">
        <f>IFERROR(L378/K378, 0)</f>
      </c>
      <c r="N378" s="13">
        <f>IFERROR(J378/K378, 0)</f>
      </c>
      <c r="O378" s="10">
        <v>0</v>
      </c>
      <c r="P378" s="10">
        <v>0</v>
      </c>
      <c r="Q378" s="10">
        <v>45361.148148148146</v>
      </c>
      <c r="R378" s="11">
        <f>IFERROR(P378/Q378, 0)</f>
      </c>
      <c r="S378" s="10">
        <v>0</v>
      </c>
      <c r="T378" s="10">
        <v>639181.1481481482</v>
      </c>
      <c r="U378" s="11">
        <f>IFERROR(S378/T378, 0)</f>
      </c>
      <c r="V378" s="10">
        <f>IFERROR(S378/E378, 0)</f>
      </c>
      <c r="W378" s="10">
        <f>IFERROR(T378/F378, 0)</f>
      </c>
      <c r="X378" s="11">
        <f>IFERROR(V378/W378, 0)</f>
      </c>
    </row>
    <row r="379" spans="1:24" x14ac:dyDescent="0.25">
      <c r="A379" s="14" t="s">
        <v>419</v>
      </c>
      <c r="B379" s="14"/>
      <c r="C379" s="14"/>
      <c r="D379" s="14"/>
      <c r="E379" s="15">
        <f>SUM(E317:E378)</f>
      </c>
      <c r="F379" s="15">
        <f>SUM(F317:F378)</f>
      </c>
      <c r="G379" s="16">
        <f>SUM(G317:G378)</f>
      </c>
      <c r="H379" s="16">
        <f>SUM(H317:H378)</f>
      </c>
      <c r="I379" s="17">
        <f>IFERROR(G379/H379, 0)</f>
      </c>
      <c r="J379" s="16">
        <f>SUM(J317:J378)</f>
      </c>
      <c r="K379" s="16">
        <f>SUM(K317:K378)</f>
      </c>
      <c r="L379" s="16">
        <f>SUM(L317:L378)</f>
      </c>
      <c r="M379" s="18">
        <f>IFERROR(L379/K379, 0)</f>
      </c>
      <c r="N379" s="19">
        <f>IFERROR(J379/K379, 0)</f>
      </c>
      <c r="O379" s="16">
        <f>SUM(O317:O378)</f>
      </c>
      <c r="P379" s="16">
        <f>SUM(P317:P378)</f>
      </c>
      <c r="Q379" s="16">
        <f>SUM(Q317:Q378)</f>
      </c>
      <c r="R379" s="17">
        <f>IFERROR(P379/Q379, 0)</f>
      </c>
      <c r="S379" s="16">
        <f>SUM(S317:S378)</f>
      </c>
      <c r="T379" s="16">
        <f>SUM(T317:T378)</f>
      </c>
      <c r="U379" s="17">
        <f>IFERROR(S379/T379, 0)</f>
      </c>
      <c r="V379" s="16">
        <f>IFERROR(S379/E379, 0)</f>
      </c>
      <c r="W379" s="16">
        <f>IFERROR(T379/F379, 0)</f>
      </c>
      <c r="X379" s="17">
        <f>IFERROR(V379/W379, 0)</f>
      </c>
    </row>
    <row r="380" spans="1:24" x14ac:dyDescent="0.25">
      <c r="A380" s="8" t="s">
        <v>354</v>
      </c>
      <c r="B380" s="8" t="s">
        <v>420</v>
      </c>
      <c r="C380" s="8" t="s">
        <v>24</v>
      </c>
      <c r="D380" s="8" t="s">
        <v>421</v>
      </c>
      <c r="E380" s="9">
        <v>28.83</v>
      </c>
      <c r="F380" s="9">
        <v>0</v>
      </c>
      <c r="G380" s="10">
        <v>0</v>
      </c>
      <c r="H380" s="10">
        <v>0</v>
      </c>
      <c r="I380" s="11">
        <f>IFERROR(G380/H380, 0)</f>
      </c>
      <c r="J380" s="10">
        <v>0</v>
      </c>
      <c r="K380" s="10">
        <v>0</v>
      </c>
      <c r="L380" s="10">
        <v>0</v>
      </c>
      <c r="M380" s="12">
        <f>IFERROR(L380/K380, 0)</f>
      </c>
      <c r="N380" s="13">
        <f>IFERROR(J380/K380, 0)</f>
      </c>
      <c r="O380" s="10">
        <v>0</v>
      </c>
      <c r="P380" s="10">
        <v>0</v>
      </c>
      <c r="Q380" s="10">
        <v>0</v>
      </c>
      <c r="R380" s="11">
        <f>IFERROR(P380/Q380, 0)</f>
      </c>
      <c r="S380" s="10">
        <v>0</v>
      </c>
      <c r="T380" s="10">
        <v>0</v>
      </c>
      <c r="U380" s="11">
        <f>IFERROR(S380/T380, 0)</f>
      </c>
      <c r="V380" s="10">
        <f>IFERROR(S380/E380, 0)</f>
      </c>
      <c r="W380" s="10">
        <f>IFERROR(T380/F380, 0)</f>
      </c>
      <c r="X380" s="11">
        <f>IFERROR(V380/W380, 0)</f>
      </c>
    </row>
    <row r="381" spans="1:24" x14ac:dyDescent="0.25">
      <c r="A381" s="8" t="s">
        <v>354</v>
      </c>
      <c r="B381" s="8" t="s">
        <v>420</v>
      </c>
      <c r="C381" s="8" t="s">
        <v>24</v>
      </c>
      <c r="D381" s="8" t="s">
        <v>422</v>
      </c>
      <c r="E381" s="9">
        <v>30.57</v>
      </c>
      <c r="F381" s="9">
        <v>0</v>
      </c>
      <c r="G381" s="10">
        <v>0</v>
      </c>
      <c r="H381" s="10">
        <v>0</v>
      </c>
      <c r="I381" s="11">
        <f>IFERROR(G381/H381, 0)</f>
      </c>
      <c r="J381" s="10">
        <v>0</v>
      </c>
      <c r="K381" s="10">
        <v>0</v>
      </c>
      <c r="L381" s="10">
        <v>0</v>
      </c>
      <c r="M381" s="12">
        <f>IFERROR(L381/K381, 0)</f>
      </c>
      <c r="N381" s="13">
        <f>IFERROR(J381/K381, 0)</f>
      </c>
      <c r="O381" s="10">
        <v>0</v>
      </c>
      <c r="P381" s="10">
        <v>790</v>
      </c>
      <c r="Q381" s="10">
        <v>0</v>
      </c>
      <c r="R381" s="11">
        <f>IFERROR(P381/Q381, 0)</f>
      </c>
      <c r="S381" s="10">
        <v>3441</v>
      </c>
      <c r="T381" s="10">
        <v>0</v>
      </c>
      <c r="U381" s="11">
        <f>IFERROR(S381/T381, 0)</f>
      </c>
      <c r="V381" s="10">
        <f>IFERROR(S381/E381, 0)</f>
      </c>
      <c r="W381" s="10">
        <f>IFERROR(T381/F381, 0)</f>
      </c>
      <c r="X381" s="11">
        <f>IFERROR(V381/W381, 0)</f>
      </c>
    </row>
    <row r="382" spans="1:24" x14ac:dyDescent="0.25">
      <c r="A382" s="8" t="s">
        <v>354</v>
      </c>
      <c r="B382" s="8" t="s">
        <v>420</v>
      </c>
      <c r="C382" s="8" t="s">
        <v>24</v>
      </c>
      <c r="D382" s="8" t="s">
        <v>423</v>
      </c>
      <c r="E382" s="9">
        <v>221</v>
      </c>
      <c r="F382" s="9">
        <v>145.18</v>
      </c>
      <c r="G382" s="10">
        <v>0</v>
      </c>
      <c r="H382" s="10">
        <v>4341.881851851852</v>
      </c>
      <c r="I382" s="11">
        <f>IFERROR(G382/H382, 0)</f>
      </c>
      <c r="J382" s="10">
        <v>0</v>
      </c>
      <c r="K382" s="10">
        <v>0</v>
      </c>
      <c r="L382" s="10">
        <v>0</v>
      </c>
      <c r="M382" s="12">
        <f>IFERROR(L382/K382, 0)</f>
      </c>
      <c r="N382" s="13">
        <f>IFERROR(J382/K382, 0)</f>
      </c>
      <c r="O382" s="10">
        <v>0</v>
      </c>
      <c r="P382" s="10">
        <v>0</v>
      </c>
      <c r="Q382" s="10">
        <v>47760.700370370374</v>
      </c>
      <c r="R382" s="11">
        <f>IFERROR(P382/Q382, 0)</f>
      </c>
      <c r="S382" s="10">
        <v>0</v>
      </c>
      <c r="T382" s="10">
        <v>541364.0903703704</v>
      </c>
      <c r="U382" s="11">
        <f>IFERROR(S382/T382, 0)</f>
      </c>
      <c r="V382" s="10">
        <f>IFERROR(S382/E382, 0)</f>
      </c>
      <c r="W382" s="10">
        <f>IFERROR(T382/F382, 0)</f>
      </c>
      <c r="X382" s="11">
        <f>IFERROR(V382/W382, 0)</f>
      </c>
    </row>
    <row r="383" spans="1:24" x14ac:dyDescent="0.25">
      <c r="A383" s="8" t="s">
        <v>354</v>
      </c>
      <c r="B383" s="8" t="s">
        <v>420</v>
      </c>
      <c r="C383" s="8" t="s">
        <v>24</v>
      </c>
      <c r="D383" s="8" t="s">
        <v>424</v>
      </c>
      <c r="E383" s="9">
        <v>11.55</v>
      </c>
      <c r="F383" s="9">
        <v>0</v>
      </c>
      <c r="G383" s="10">
        <v>0</v>
      </c>
      <c r="H383" s="10">
        <v>0</v>
      </c>
      <c r="I383" s="11">
        <f>IFERROR(G383/H383, 0)</f>
      </c>
      <c r="J383" s="10">
        <v>0</v>
      </c>
      <c r="K383" s="10">
        <v>0</v>
      </c>
      <c r="L383" s="10">
        <v>0</v>
      </c>
      <c r="M383" s="12">
        <f>IFERROR(L383/K383, 0)</f>
      </c>
      <c r="N383" s="13">
        <f>IFERROR(J383/K383, 0)</f>
      </c>
      <c r="O383" s="10">
        <v>0</v>
      </c>
      <c r="P383" s="10">
        <v>0</v>
      </c>
      <c r="Q383" s="10">
        <v>0</v>
      </c>
      <c r="R383" s="11">
        <f>IFERROR(P383/Q383, 0)</f>
      </c>
      <c r="S383" s="10">
        <v>7234</v>
      </c>
      <c r="T383" s="10">
        <v>0</v>
      </c>
      <c r="U383" s="11">
        <f>IFERROR(S383/T383, 0)</f>
      </c>
      <c r="V383" s="10">
        <f>IFERROR(S383/E383, 0)</f>
      </c>
      <c r="W383" s="10">
        <f>IFERROR(T383/F383, 0)</f>
      </c>
      <c r="X383" s="11">
        <f>IFERROR(V383/W383, 0)</f>
      </c>
    </row>
    <row r="384" spans="1:24" x14ac:dyDescent="0.25">
      <c r="A384" s="8" t="s">
        <v>354</v>
      </c>
      <c r="B384" s="8" t="s">
        <v>420</v>
      </c>
      <c r="C384" s="8" t="s">
        <v>24</v>
      </c>
      <c r="D384" s="8" t="s">
        <v>425</v>
      </c>
      <c r="E384" s="9">
        <v>54.66</v>
      </c>
      <c r="F384" s="9">
        <v>0</v>
      </c>
      <c r="G384" s="10">
        <v>0</v>
      </c>
      <c r="H384" s="10">
        <v>0</v>
      </c>
      <c r="I384" s="11">
        <f>IFERROR(G384/H384, 0)</f>
      </c>
      <c r="J384" s="10">
        <v>0</v>
      </c>
      <c r="K384" s="10">
        <v>0</v>
      </c>
      <c r="L384" s="10">
        <v>0</v>
      </c>
      <c r="M384" s="12">
        <f>IFERROR(L384/K384, 0)</f>
      </c>
      <c r="N384" s="13">
        <f>IFERROR(J384/K384, 0)</f>
      </c>
      <c r="O384" s="10">
        <v>0</v>
      </c>
      <c r="P384" s="10">
        <v>27420</v>
      </c>
      <c r="Q384" s="10">
        <v>0</v>
      </c>
      <c r="R384" s="11">
        <f>IFERROR(P384/Q384, 0)</f>
      </c>
      <c r="S384" s="10">
        <v>199360</v>
      </c>
      <c r="T384" s="10">
        <v>0</v>
      </c>
      <c r="U384" s="11">
        <f>IFERROR(S384/T384, 0)</f>
      </c>
      <c r="V384" s="10">
        <f>IFERROR(S384/E384, 0)</f>
      </c>
      <c r="W384" s="10">
        <f>IFERROR(T384/F384, 0)</f>
      </c>
      <c r="X384" s="11">
        <f>IFERROR(V384/W384, 0)</f>
      </c>
    </row>
    <row r="385" spans="1:24" x14ac:dyDescent="0.25">
      <c r="A385" s="8" t="s">
        <v>354</v>
      </c>
      <c r="B385" s="8" t="s">
        <v>420</v>
      </c>
      <c r="C385" s="8" t="s">
        <v>24</v>
      </c>
      <c r="D385" s="8" t="s">
        <v>426</v>
      </c>
      <c r="E385" s="9">
        <v>133.07</v>
      </c>
      <c r="F385" s="9">
        <v>98.97</v>
      </c>
      <c r="G385" s="10">
        <v>0</v>
      </c>
      <c r="H385" s="10">
        <v>2960.0603703703705</v>
      </c>
      <c r="I385" s="11">
        <f>IFERROR(G385/H385, 0)</f>
      </c>
      <c r="J385" s="10">
        <v>0</v>
      </c>
      <c r="K385" s="10">
        <v>0</v>
      </c>
      <c r="L385" s="10">
        <v>0</v>
      </c>
      <c r="M385" s="12">
        <f>IFERROR(L385/K385, 0)</f>
      </c>
      <c r="N385" s="13">
        <f>IFERROR(J385/K385, 0)</f>
      </c>
      <c r="O385" s="10">
        <v>0</v>
      </c>
      <c r="P385" s="10">
        <v>0</v>
      </c>
      <c r="Q385" s="10">
        <v>32560.664074074073</v>
      </c>
      <c r="R385" s="11">
        <f>IFERROR(P385/Q385, 0)</f>
      </c>
      <c r="S385" s="10">
        <v>0</v>
      </c>
      <c r="T385" s="10">
        <v>369072.7940740741</v>
      </c>
      <c r="U385" s="11">
        <f>IFERROR(S385/T385, 0)</f>
      </c>
      <c r="V385" s="10">
        <f>IFERROR(S385/E385, 0)</f>
      </c>
      <c r="W385" s="10">
        <f>IFERROR(T385/F385, 0)</f>
      </c>
      <c r="X385" s="11">
        <f>IFERROR(V385/W385, 0)</f>
      </c>
    </row>
    <row r="386" spans="1:24" x14ac:dyDescent="0.25">
      <c r="A386" s="8" t="s">
        <v>354</v>
      </c>
      <c r="B386" s="8" t="s">
        <v>420</v>
      </c>
      <c r="C386" s="8" t="s">
        <v>24</v>
      </c>
      <c r="D386" s="8" t="s">
        <v>427</v>
      </c>
      <c r="E386" s="9">
        <v>11.85</v>
      </c>
      <c r="F386" s="9">
        <v>0</v>
      </c>
      <c r="G386" s="10">
        <v>0</v>
      </c>
      <c r="H386" s="10">
        <v>0</v>
      </c>
      <c r="I386" s="11">
        <f>IFERROR(G386/H386, 0)</f>
      </c>
      <c r="J386" s="10">
        <v>0</v>
      </c>
      <c r="K386" s="10">
        <v>0</v>
      </c>
      <c r="L386" s="10">
        <v>0</v>
      </c>
      <c r="M386" s="12">
        <f>IFERROR(L386/K386, 0)</f>
      </c>
      <c r="N386" s="13">
        <f>IFERROR(J386/K386, 0)</f>
      </c>
      <c r="O386" s="10">
        <v>0</v>
      </c>
      <c r="P386" s="10">
        <v>0</v>
      </c>
      <c r="Q386" s="10">
        <v>0</v>
      </c>
      <c r="R386" s="11">
        <f>IFERROR(P386/Q386, 0)</f>
      </c>
      <c r="S386" s="10">
        <v>0</v>
      </c>
      <c r="T386" s="10">
        <v>0</v>
      </c>
      <c r="U386" s="11">
        <f>IFERROR(S386/T386, 0)</f>
      </c>
      <c r="V386" s="10">
        <f>IFERROR(S386/E386, 0)</f>
      </c>
      <c r="W386" s="10">
        <f>IFERROR(T386/F386, 0)</f>
      </c>
      <c r="X386" s="11">
        <f>IFERROR(V386/W386, 0)</f>
      </c>
    </row>
    <row r="387" spans="1:24" x14ac:dyDescent="0.25">
      <c r="A387" s="8" t="s">
        <v>354</v>
      </c>
      <c r="B387" s="8" t="s">
        <v>420</v>
      </c>
      <c r="C387" s="8" t="s">
        <v>24</v>
      </c>
      <c r="D387" s="8" t="s">
        <v>428</v>
      </c>
      <c r="E387" s="9">
        <v>2.07</v>
      </c>
      <c r="F387" s="9">
        <v>0</v>
      </c>
      <c r="G387" s="10">
        <v>0</v>
      </c>
      <c r="H387" s="10">
        <v>0</v>
      </c>
      <c r="I387" s="11">
        <f>IFERROR(G387/H387, 0)</f>
      </c>
      <c r="J387" s="10">
        <v>0</v>
      </c>
      <c r="K387" s="10">
        <v>0</v>
      </c>
      <c r="L387" s="10">
        <v>0</v>
      </c>
      <c r="M387" s="12">
        <f>IFERROR(L387/K387, 0)</f>
      </c>
      <c r="N387" s="13">
        <f>IFERROR(J387/K387, 0)</f>
      </c>
      <c r="O387" s="10">
        <v>0</v>
      </c>
      <c r="P387" s="10">
        <v>7580</v>
      </c>
      <c r="Q387" s="10">
        <v>0</v>
      </c>
      <c r="R387" s="11">
        <f>IFERROR(P387/Q387, 0)</f>
      </c>
      <c r="S387" s="10">
        <v>39620</v>
      </c>
      <c r="T387" s="10">
        <v>0</v>
      </c>
      <c r="U387" s="11">
        <f>IFERROR(S387/T387, 0)</f>
      </c>
      <c r="V387" s="10">
        <f>IFERROR(S387/E387, 0)</f>
      </c>
      <c r="W387" s="10">
        <f>IFERROR(T387/F387, 0)</f>
      </c>
      <c r="X387" s="11">
        <f>IFERROR(V387/W387, 0)</f>
      </c>
    </row>
    <row r="388" spans="1:24" x14ac:dyDescent="0.25">
      <c r="A388" s="8" t="s">
        <v>354</v>
      </c>
      <c r="B388" s="8" t="s">
        <v>420</v>
      </c>
      <c r="C388" s="8" t="s">
        <v>24</v>
      </c>
      <c r="D388" s="8" t="s">
        <v>429</v>
      </c>
      <c r="E388" s="9">
        <v>0.2</v>
      </c>
      <c r="F388" s="9">
        <v>0</v>
      </c>
      <c r="G388" s="10">
        <v>0</v>
      </c>
      <c r="H388" s="10">
        <v>0</v>
      </c>
      <c r="I388" s="11">
        <f>IFERROR(G388/H388, 0)</f>
      </c>
      <c r="J388" s="10">
        <v>0</v>
      </c>
      <c r="K388" s="10">
        <v>0</v>
      </c>
      <c r="L388" s="10">
        <v>0</v>
      </c>
      <c r="M388" s="12">
        <f>IFERROR(L388/K388, 0)</f>
      </c>
      <c r="N388" s="13">
        <f>IFERROR(J388/K388, 0)</f>
      </c>
      <c r="O388" s="10">
        <v>0</v>
      </c>
      <c r="P388" s="10">
        <v>0</v>
      </c>
      <c r="Q388" s="10">
        <v>0</v>
      </c>
      <c r="R388" s="11">
        <f>IFERROR(P388/Q388, 0)</f>
      </c>
      <c r="S388" s="10">
        <v>0</v>
      </c>
      <c r="T388" s="10">
        <v>0</v>
      </c>
      <c r="U388" s="11">
        <f>IFERROR(S388/T388, 0)</f>
      </c>
      <c r="V388" s="10">
        <f>IFERROR(S388/E388, 0)</f>
      </c>
      <c r="W388" s="10">
        <f>IFERROR(T388/F388, 0)</f>
      </c>
      <c r="X388" s="11">
        <f>IFERROR(V388/W388, 0)</f>
      </c>
    </row>
    <row r="389" spans="1:24" x14ac:dyDescent="0.25">
      <c r="A389" s="8" t="s">
        <v>354</v>
      </c>
      <c r="B389" s="8" t="s">
        <v>420</v>
      </c>
      <c r="C389" s="8" t="s">
        <v>24</v>
      </c>
      <c r="D389" s="8" t="s">
        <v>430</v>
      </c>
      <c r="E389" s="9">
        <v>0.26</v>
      </c>
      <c r="F389" s="9">
        <v>0</v>
      </c>
      <c r="G389" s="10">
        <v>0</v>
      </c>
      <c r="H389" s="10">
        <v>0</v>
      </c>
      <c r="I389" s="11">
        <f>IFERROR(G389/H389, 0)</f>
      </c>
      <c r="J389" s="10">
        <v>0</v>
      </c>
      <c r="K389" s="10">
        <v>0</v>
      </c>
      <c r="L389" s="10">
        <v>0</v>
      </c>
      <c r="M389" s="12">
        <f>IFERROR(L389/K389, 0)</f>
      </c>
      <c r="N389" s="13">
        <f>IFERROR(J389/K389, 0)</f>
      </c>
      <c r="O389" s="10">
        <v>0</v>
      </c>
      <c r="P389" s="10">
        <v>0</v>
      </c>
      <c r="Q389" s="10">
        <v>0</v>
      </c>
      <c r="R389" s="11">
        <f>IFERROR(P389/Q389, 0)</f>
      </c>
      <c r="S389" s="10">
        <v>0</v>
      </c>
      <c r="T389" s="10">
        <v>0</v>
      </c>
      <c r="U389" s="11">
        <f>IFERROR(S389/T389, 0)</f>
      </c>
      <c r="V389" s="10">
        <f>IFERROR(S389/E389, 0)</f>
      </c>
      <c r="W389" s="10">
        <f>IFERROR(T389/F389, 0)</f>
      </c>
      <c r="X389" s="11">
        <f>IFERROR(V389/W389, 0)</f>
      </c>
    </row>
    <row r="390" spans="1:24" x14ac:dyDescent="0.25">
      <c r="A390" s="8" t="s">
        <v>354</v>
      </c>
      <c r="B390" s="8" t="s">
        <v>420</v>
      </c>
      <c r="C390" s="8" t="s">
        <v>24</v>
      </c>
      <c r="D390" s="8" t="s">
        <v>431</v>
      </c>
      <c r="E390" s="9">
        <v>63.09</v>
      </c>
      <c r="F390" s="9">
        <v>0</v>
      </c>
      <c r="G390" s="10">
        <v>0</v>
      </c>
      <c r="H390" s="10">
        <v>0</v>
      </c>
      <c r="I390" s="11">
        <f>IFERROR(G390/H390, 0)</f>
      </c>
      <c r="J390" s="10">
        <v>0</v>
      </c>
      <c r="K390" s="10">
        <v>0</v>
      </c>
      <c r="L390" s="10">
        <v>0</v>
      </c>
      <c r="M390" s="12">
        <f>IFERROR(L390/K390, 0)</f>
      </c>
      <c r="N390" s="13">
        <f>IFERROR(J390/K390, 0)</f>
      </c>
      <c r="O390" s="10">
        <v>0</v>
      </c>
      <c r="P390" s="10">
        <v>0</v>
      </c>
      <c r="Q390" s="10">
        <v>0</v>
      </c>
      <c r="R390" s="11">
        <f>IFERROR(P390/Q390, 0)</f>
      </c>
      <c r="S390" s="10">
        <v>0</v>
      </c>
      <c r="T390" s="10">
        <v>0</v>
      </c>
      <c r="U390" s="11">
        <f>IFERROR(S390/T390, 0)</f>
      </c>
      <c r="V390" s="10">
        <f>IFERROR(S390/E390, 0)</f>
      </c>
      <c r="W390" s="10">
        <f>IFERROR(T390/F390, 0)</f>
      </c>
      <c r="X390" s="11">
        <f>IFERROR(V390/W390, 0)</f>
      </c>
    </row>
    <row r="391" spans="1:24" x14ac:dyDescent="0.25">
      <c r="A391" s="8" t="s">
        <v>354</v>
      </c>
      <c r="B391" s="8" t="s">
        <v>420</v>
      </c>
      <c r="C391" s="8" t="s">
        <v>24</v>
      </c>
      <c r="D391" s="8" t="s">
        <v>432</v>
      </c>
      <c r="E391" s="9">
        <v>79.65</v>
      </c>
      <c r="F391" s="9">
        <v>0</v>
      </c>
      <c r="G391" s="10">
        <v>0</v>
      </c>
      <c r="H391" s="10">
        <v>0</v>
      </c>
      <c r="I391" s="11">
        <f>IFERROR(G391/H391, 0)</f>
      </c>
      <c r="J391" s="10">
        <v>0</v>
      </c>
      <c r="K391" s="10">
        <v>0</v>
      </c>
      <c r="L391" s="10">
        <v>0</v>
      </c>
      <c r="M391" s="12">
        <f>IFERROR(L391/K391, 0)</f>
      </c>
      <c r="N391" s="13">
        <f>IFERROR(J391/K391, 0)</f>
      </c>
      <c r="O391" s="10">
        <v>0</v>
      </c>
      <c r="P391" s="10">
        <v>0</v>
      </c>
      <c r="Q391" s="10">
        <v>0</v>
      </c>
      <c r="R391" s="11">
        <f>IFERROR(P391/Q391, 0)</f>
      </c>
      <c r="S391" s="10">
        <v>0</v>
      </c>
      <c r="T391" s="10">
        <v>0</v>
      </c>
      <c r="U391" s="11">
        <f>IFERROR(S391/T391, 0)</f>
      </c>
      <c r="V391" s="10">
        <f>IFERROR(S391/E391, 0)</f>
      </c>
      <c r="W391" s="10">
        <f>IFERROR(T391/F391, 0)</f>
      </c>
      <c r="X391" s="11">
        <f>IFERROR(V391/W391, 0)</f>
      </c>
    </row>
    <row r="392" spans="1:24" x14ac:dyDescent="0.25">
      <c r="A392" s="8" t="s">
        <v>354</v>
      </c>
      <c r="B392" s="8" t="s">
        <v>420</v>
      </c>
      <c r="C392" s="8" t="s">
        <v>24</v>
      </c>
      <c r="D392" s="8" t="s">
        <v>433</v>
      </c>
      <c r="E392" s="9">
        <v>56.83</v>
      </c>
      <c r="F392" s="9">
        <v>0</v>
      </c>
      <c r="G392" s="10">
        <v>0</v>
      </c>
      <c r="H392" s="10">
        <v>0</v>
      </c>
      <c r="I392" s="11">
        <f>IFERROR(G392/H392, 0)</f>
      </c>
      <c r="J392" s="10">
        <v>0</v>
      </c>
      <c r="K392" s="10">
        <v>0</v>
      </c>
      <c r="L392" s="10">
        <v>0</v>
      </c>
      <c r="M392" s="12">
        <f>IFERROR(L392/K392, 0)</f>
      </c>
      <c r="N392" s="13">
        <f>IFERROR(J392/K392, 0)</f>
      </c>
      <c r="O392" s="10">
        <v>0</v>
      </c>
      <c r="P392" s="10">
        <v>0</v>
      </c>
      <c r="Q392" s="10">
        <v>0</v>
      </c>
      <c r="R392" s="11">
        <f>IFERROR(P392/Q392, 0)</f>
      </c>
      <c r="S392" s="10">
        <v>0</v>
      </c>
      <c r="T392" s="10">
        <v>0</v>
      </c>
      <c r="U392" s="11">
        <f>IFERROR(S392/T392, 0)</f>
      </c>
      <c r="V392" s="10">
        <f>IFERROR(S392/E392, 0)</f>
      </c>
      <c r="W392" s="10">
        <f>IFERROR(T392/F392, 0)</f>
      </c>
      <c r="X392" s="11">
        <f>IFERROR(V392/W392, 0)</f>
      </c>
    </row>
    <row r="393" spans="1:24" x14ac:dyDescent="0.25">
      <c r="A393" s="8" t="s">
        <v>354</v>
      </c>
      <c r="B393" s="8" t="s">
        <v>420</v>
      </c>
      <c r="C393" s="8" t="s">
        <v>24</v>
      </c>
      <c r="D393" s="8" t="s">
        <v>434</v>
      </c>
      <c r="E393" s="9">
        <v>1585.8</v>
      </c>
      <c r="F393" s="9">
        <v>442.16</v>
      </c>
      <c r="G393" s="10">
        <v>0</v>
      </c>
      <c r="H393" s="10">
        <v>13223.842592592593</v>
      </c>
      <c r="I393" s="11">
        <f>IFERROR(G393/H393, 0)</f>
      </c>
      <c r="J393" s="10">
        <v>0</v>
      </c>
      <c r="K393" s="10">
        <v>0</v>
      </c>
      <c r="L393" s="10">
        <v>0</v>
      </c>
      <c r="M393" s="12">
        <f>IFERROR(L393/K393, 0)</f>
      </c>
      <c r="N393" s="13">
        <f>IFERROR(J393/K393, 0)</f>
      </c>
      <c r="O393" s="10">
        <v>0</v>
      </c>
      <c r="P393" s="10">
        <v>1265</v>
      </c>
      <c r="Q393" s="10">
        <v>145462.2685185185</v>
      </c>
      <c r="R393" s="11">
        <f>IFERROR(P393/Q393, 0)</f>
      </c>
      <c r="S393" s="10">
        <v>1265</v>
      </c>
      <c r="T393" s="10">
        <v>1648804.3685185185</v>
      </c>
      <c r="U393" s="11">
        <f>IFERROR(S393/T393, 0)</f>
      </c>
      <c r="V393" s="10">
        <f>IFERROR(S393/E393, 0)</f>
      </c>
      <c r="W393" s="10">
        <f>IFERROR(T393/F393, 0)</f>
      </c>
      <c r="X393" s="11">
        <f>IFERROR(V393/W393, 0)</f>
      </c>
    </row>
    <row r="394" spans="1:24" x14ac:dyDescent="0.25">
      <c r="A394" s="8" t="s">
        <v>354</v>
      </c>
      <c r="B394" s="8" t="s">
        <v>420</v>
      </c>
      <c r="C394" s="8" t="s">
        <v>24</v>
      </c>
      <c r="D394" s="8" t="s">
        <v>435</v>
      </c>
      <c r="E394" s="9">
        <v>0.1</v>
      </c>
      <c r="F394" s="9">
        <v>0</v>
      </c>
      <c r="G394" s="10">
        <v>0</v>
      </c>
      <c r="H394" s="10">
        <v>0</v>
      </c>
      <c r="I394" s="11">
        <f>IFERROR(G394/H394, 0)</f>
      </c>
      <c r="J394" s="10">
        <v>0</v>
      </c>
      <c r="K394" s="10">
        <v>0</v>
      </c>
      <c r="L394" s="10">
        <v>0</v>
      </c>
      <c r="M394" s="12">
        <f>IFERROR(L394/K394, 0)</f>
      </c>
      <c r="N394" s="13">
        <f>IFERROR(J394/K394, 0)</f>
      </c>
      <c r="O394" s="10">
        <v>0</v>
      </c>
      <c r="P394" s="10">
        <v>0</v>
      </c>
      <c r="Q394" s="10">
        <v>0</v>
      </c>
      <c r="R394" s="11">
        <f>IFERROR(P394/Q394, 0)</f>
      </c>
      <c r="S394" s="10">
        <v>0</v>
      </c>
      <c r="T394" s="10">
        <v>0</v>
      </c>
      <c r="U394" s="11">
        <f>IFERROR(S394/T394, 0)</f>
      </c>
      <c r="V394" s="10">
        <f>IFERROR(S394/E394, 0)</f>
      </c>
      <c r="W394" s="10">
        <f>IFERROR(T394/F394, 0)</f>
      </c>
      <c r="X394" s="11">
        <f>IFERROR(V394/W394, 0)</f>
      </c>
    </row>
    <row r="395" spans="1:24" x14ac:dyDescent="0.25">
      <c r="A395" s="8" t="s">
        <v>354</v>
      </c>
      <c r="B395" s="8" t="s">
        <v>420</v>
      </c>
      <c r="C395" s="8" t="s">
        <v>24</v>
      </c>
      <c r="D395" s="8" t="s">
        <v>436</v>
      </c>
      <c r="E395" s="9">
        <v>9.23</v>
      </c>
      <c r="F395" s="9">
        <v>0</v>
      </c>
      <c r="G395" s="10">
        <v>0</v>
      </c>
      <c r="H395" s="10">
        <v>0</v>
      </c>
      <c r="I395" s="11">
        <f>IFERROR(G395/H395, 0)</f>
      </c>
      <c r="J395" s="10">
        <v>0</v>
      </c>
      <c r="K395" s="10">
        <v>0</v>
      </c>
      <c r="L395" s="10">
        <v>0</v>
      </c>
      <c r="M395" s="12">
        <f>IFERROR(L395/K395, 0)</f>
      </c>
      <c r="N395" s="13">
        <f>IFERROR(J395/K395, 0)</f>
      </c>
      <c r="O395" s="10">
        <v>0</v>
      </c>
      <c r="P395" s="10">
        <v>725</v>
      </c>
      <c r="Q395" s="10">
        <v>0</v>
      </c>
      <c r="R395" s="11">
        <f>IFERROR(P395/Q395, 0)</f>
      </c>
      <c r="S395" s="10">
        <v>725</v>
      </c>
      <c r="T395" s="10">
        <v>0</v>
      </c>
      <c r="U395" s="11">
        <f>IFERROR(S395/T395, 0)</f>
      </c>
      <c r="V395" s="10">
        <f>IFERROR(S395/E395, 0)</f>
      </c>
      <c r="W395" s="10">
        <f>IFERROR(T395/F395, 0)</f>
      </c>
      <c r="X395" s="11">
        <f>IFERROR(V395/W395, 0)</f>
      </c>
    </row>
    <row r="396" spans="1:24" x14ac:dyDescent="0.25">
      <c r="A396" s="8" t="s">
        <v>354</v>
      </c>
      <c r="B396" s="8" t="s">
        <v>420</v>
      </c>
      <c r="C396" s="8" t="s">
        <v>24</v>
      </c>
      <c r="D396" s="8" t="s">
        <v>437</v>
      </c>
      <c r="E396" s="9">
        <v>7</v>
      </c>
      <c r="F396" s="9">
        <v>0</v>
      </c>
      <c r="G396" s="10">
        <v>0</v>
      </c>
      <c r="H396" s="10">
        <v>0</v>
      </c>
      <c r="I396" s="11">
        <f>IFERROR(G396/H396, 0)</f>
      </c>
      <c r="J396" s="10">
        <v>0</v>
      </c>
      <c r="K396" s="10">
        <v>0</v>
      </c>
      <c r="L396" s="10">
        <v>0</v>
      </c>
      <c r="M396" s="12">
        <f>IFERROR(L396/K396, 0)</f>
      </c>
      <c r="N396" s="13">
        <f>IFERROR(J396/K396, 0)</f>
      </c>
      <c r="O396" s="10">
        <v>0</v>
      </c>
      <c r="P396" s="10">
        <v>0</v>
      </c>
      <c r="Q396" s="10">
        <v>0</v>
      </c>
      <c r="R396" s="11">
        <f>IFERROR(P396/Q396, 0)</f>
      </c>
      <c r="S396" s="10">
        <v>0</v>
      </c>
      <c r="T396" s="10">
        <v>0</v>
      </c>
      <c r="U396" s="11">
        <f>IFERROR(S396/T396, 0)</f>
      </c>
      <c r="V396" s="10">
        <f>IFERROR(S396/E396, 0)</f>
      </c>
      <c r="W396" s="10">
        <f>IFERROR(T396/F396, 0)</f>
      </c>
      <c r="X396" s="11">
        <f>IFERROR(V396/W396, 0)</f>
      </c>
    </row>
    <row r="397" spans="1:24" x14ac:dyDescent="0.25">
      <c r="A397" s="8" t="s">
        <v>354</v>
      </c>
      <c r="B397" s="8" t="s">
        <v>420</v>
      </c>
      <c r="C397" s="8" t="s">
        <v>24</v>
      </c>
      <c r="D397" s="8" t="s">
        <v>438</v>
      </c>
      <c r="E397" s="9">
        <v>97.29</v>
      </c>
      <c r="F397" s="9">
        <v>0</v>
      </c>
      <c r="G397" s="10">
        <v>0</v>
      </c>
      <c r="H397" s="10">
        <v>0</v>
      </c>
      <c r="I397" s="11">
        <f>IFERROR(G397/H397, 0)</f>
      </c>
      <c r="J397" s="10">
        <v>0</v>
      </c>
      <c r="K397" s="10">
        <v>0</v>
      </c>
      <c r="L397" s="10">
        <v>0</v>
      </c>
      <c r="M397" s="12">
        <f>IFERROR(L397/K397, 0)</f>
      </c>
      <c r="N397" s="13">
        <f>IFERROR(J397/K397, 0)</f>
      </c>
      <c r="O397" s="10">
        <v>0</v>
      </c>
      <c r="P397" s="10">
        <v>0</v>
      </c>
      <c r="Q397" s="10">
        <v>0</v>
      </c>
      <c r="R397" s="11">
        <f>IFERROR(P397/Q397, 0)</f>
      </c>
      <c r="S397" s="10">
        <v>0</v>
      </c>
      <c r="T397" s="10">
        <v>0</v>
      </c>
      <c r="U397" s="11">
        <f>IFERROR(S397/T397, 0)</f>
      </c>
      <c r="V397" s="10">
        <f>IFERROR(S397/E397, 0)</f>
      </c>
      <c r="W397" s="10">
        <f>IFERROR(T397/F397, 0)</f>
      </c>
      <c r="X397" s="11">
        <f>IFERROR(V397/W397, 0)</f>
      </c>
    </row>
    <row r="398" spans="1:24" x14ac:dyDescent="0.25">
      <c r="A398" s="8" t="s">
        <v>354</v>
      </c>
      <c r="B398" s="8" t="s">
        <v>420</v>
      </c>
      <c r="C398" s="8" t="s">
        <v>24</v>
      </c>
      <c r="D398" s="8" t="s">
        <v>439</v>
      </c>
      <c r="E398" s="9">
        <v>422.08</v>
      </c>
      <c r="F398" s="9">
        <v>0</v>
      </c>
      <c r="G398" s="10">
        <v>6237</v>
      </c>
      <c r="H398" s="10">
        <v>0</v>
      </c>
      <c r="I398" s="11">
        <f>IFERROR(G398/H398, 0)</f>
      </c>
      <c r="J398" s="10">
        <v>10</v>
      </c>
      <c r="K398" s="10">
        <v>8</v>
      </c>
      <c r="L398" s="10">
        <v>6237</v>
      </c>
      <c r="M398" s="12">
        <f>IFERROR(L398/K398, 0)</f>
      </c>
      <c r="N398" s="13">
        <f>IFERROR(J398/K398, 0)</f>
      </c>
      <c r="O398" s="10">
        <v>0</v>
      </c>
      <c r="P398" s="10">
        <v>58084</v>
      </c>
      <c r="Q398" s="10">
        <v>0</v>
      </c>
      <c r="R398" s="11">
        <f>IFERROR(P398/Q398, 0)</f>
      </c>
      <c r="S398" s="10">
        <v>410392</v>
      </c>
      <c r="T398" s="10">
        <v>0</v>
      </c>
      <c r="U398" s="11">
        <f>IFERROR(S398/T398, 0)</f>
      </c>
      <c r="V398" s="10">
        <f>IFERROR(S398/E398, 0)</f>
      </c>
      <c r="W398" s="10">
        <f>IFERROR(T398/F398, 0)</f>
      </c>
      <c r="X398" s="11">
        <f>IFERROR(V398/W398, 0)</f>
      </c>
    </row>
    <row r="399" spans="1:24" x14ac:dyDescent="0.25">
      <c r="A399" s="8" t="s">
        <v>354</v>
      </c>
      <c r="B399" s="8" t="s">
        <v>420</v>
      </c>
      <c r="C399" s="8" t="s">
        <v>24</v>
      </c>
      <c r="D399" s="8" t="s">
        <v>440</v>
      </c>
      <c r="E399" s="9">
        <v>15</v>
      </c>
      <c r="F399" s="9">
        <v>5.36</v>
      </c>
      <c r="G399" s="10">
        <v>0</v>
      </c>
      <c r="H399" s="10">
        <v>160.38185185185185</v>
      </c>
      <c r="I399" s="11">
        <f>IFERROR(G399/H399, 0)</f>
      </c>
      <c r="J399" s="10">
        <v>0</v>
      </c>
      <c r="K399" s="10">
        <v>0</v>
      </c>
      <c r="L399" s="10">
        <v>0</v>
      </c>
      <c r="M399" s="12">
        <f>IFERROR(L399/K399, 0)</f>
      </c>
      <c r="N399" s="13">
        <f>IFERROR(J399/K399, 0)</f>
      </c>
      <c r="O399" s="10">
        <v>0</v>
      </c>
      <c r="P399" s="10">
        <v>0</v>
      </c>
      <c r="Q399" s="10">
        <v>1764.2003703703704</v>
      </c>
      <c r="R399" s="11">
        <f>IFERROR(P399/Q399, 0)</f>
      </c>
      <c r="S399" s="10">
        <v>100035</v>
      </c>
      <c r="T399" s="10">
        <v>19997.11037037037</v>
      </c>
      <c r="U399" s="11">
        <f>IFERROR(S399/T399, 0)</f>
      </c>
      <c r="V399" s="10">
        <f>IFERROR(S399/E399, 0)</f>
      </c>
      <c r="W399" s="10">
        <f>IFERROR(T399/F399, 0)</f>
      </c>
      <c r="X399" s="11">
        <f>IFERROR(V399/W399, 0)</f>
      </c>
    </row>
    <row r="400" spans="1:24" x14ac:dyDescent="0.25">
      <c r="A400" s="8" t="s">
        <v>354</v>
      </c>
      <c r="B400" s="8" t="s">
        <v>420</v>
      </c>
      <c r="C400" s="8" t="s">
        <v>24</v>
      </c>
      <c r="D400" s="8" t="s">
        <v>441</v>
      </c>
      <c r="E400" s="9">
        <v>24.74</v>
      </c>
      <c r="F400" s="9">
        <v>20.63</v>
      </c>
      <c r="G400" s="10">
        <v>0</v>
      </c>
      <c r="H400" s="10">
        <v>617.0592592592593</v>
      </c>
      <c r="I400" s="11">
        <f>IFERROR(G400/H400, 0)</f>
      </c>
      <c r="J400" s="10">
        <v>0</v>
      </c>
      <c r="K400" s="10">
        <v>0</v>
      </c>
      <c r="L400" s="10">
        <v>0</v>
      </c>
      <c r="M400" s="12">
        <f>IFERROR(L400/K400, 0)</f>
      </c>
      <c r="N400" s="13">
        <f>IFERROR(J400/K400, 0)</f>
      </c>
      <c r="O400" s="10">
        <v>0</v>
      </c>
      <c r="P400" s="10">
        <v>2906</v>
      </c>
      <c r="Q400" s="10">
        <v>6787.6518518518515</v>
      </c>
      <c r="R400" s="11">
        <f>IFERROR(P400/Q400, 0)</f>
      </c>
      <c r="S400" s="10">
        <v>2906</v>
      </c>
      <c r="T400" s="10">
        <v>76937.54185185186</v>
      </c>
      <c r="U400" s="11">
        <f>IFERROR(S400/T400, 0)</f>
      </c>
      <c r="V400" s="10">
        <f>IFERROR(S400/E400, 0)</f>
      </c>
      <c r="W400" s="10">
        <f>IFERROR(T400/F400, 0)</f>
      </c>
      <c r="X400" s="11">
        <f>IFERROR(V400/W400, 0)</f>
      </c>
    </row>
    <row r="401" spans="1:24" x14ac:dyDescent="0.25">
      <c r="A401" s="8" t="s">
        <v>354</v>
      </c>
      <c r="B401" s="8" t="s">
        <v>420</v>
      </c>
      <c r="C401" s="8" t="s">
        <v>24</v>
      </c>
      <c r="D401" s="8" t="s">
        <v>442</v>
      </c>
      <c r="E401" s="9">
        <v>157.57</v>
      </c>
      <c r="F401" s="9">
        <v>117.2</v>
      </c>
      <c r="G401" s="10">
        <v>0</v>
      </c>
      <c r="H401" s="10">
        <v>3505.047777777778</v>
      </c>
      <c r="I401" s="11">
        <f>IFERROR(G401/H401, 0)</f>
      </c>
      <c r="J401" s="10">
        <v>0</v>
      </c>
      <c r="K401" s="10">
        <v>0</v>
      </c>
      <c r="L401" s="10">
        <v>0</v>
      </c>
      <c r="M401" s="12">
        <f>IFERROR(L401/K401, 0)</f>
      </c>
      <c r="N401" s="13">
        <f>IFERROR(J401/K401, 0)</f>
      </c>
      <c r="O401" s="10">
        <v>0</v>
      </c>
      <c r="P401" s="10">
        <v>6890</v>
      </c>
      <c r="Q401" s="10">
        <v>38555.525555555556</v>
      </c>
      <c r="R401" s="11">
        <f>IFERROR(P401/Q401, 0)</f>
      </c>
      <c r="S401" s="10">
        <v>6890</v>
      </c>
      <c r="T401" s="10">
        <v>437024.1355555556</v>
      </c>
      <c r="U401" s="11">
        <f>IFERROR(S401/T401, 0)</f>
      </c>
      <c r="V401" s="10">
        <f>IFERROR(S401/E401, 0)</f>
      </c>
      <c r="W401" s="10">
        <f>IFERROR(T401/F401, 0)</f>
      </c>
      <c r="X401" s="11">
        <f>IFERROR(V401/W401, 0)</f>
      </c>
    </row>
    <row r="402" spans="1:24" x14ac:dyDescent="0.25">
      <c r="A402" s="8" t="s">
        <v>354</v>
      </c>
      <c r="B402" s="8" t="s">
        <v>420</v>
      </c>
      <c r="C402" s="8" t="s">
        <v>24</v>
      </c>
      <c r="D402" s="8" t="s">
        <v>443</v>
      </c>
      <c r="E402" s="9">
        <v>179.27</v>
      </c>
      <c r="F402" s="9">
        <v>104.56</v>
      </c>
      <c r="G402" s="10">
        <v>0</v>
      </c>
      <c r="H402" s="10">
        <v>3127.115925925926</v>
      </c>
      <c r="I402" s="11">
        <f>IFERROR(G402/H402, 0)</f>
      </c>
      <c r="J402" s="10">
        <v>0</v>
      </c>
      <c r="K402" s="10">
        <v>0</v>
      </c>
      <c r="L402" s="10">
        <v>0</v>
      </c>
      <c r="M402" s="12">
        <f>IFERROR(L402/K402, 0)</f>
      </c>
      <c r="N402" s="13">
        <f>IFERROR(J402/K402, 0)</f>
      </c>
      <c r="O402" s="10">
        <v>0</v>
      </c>
      <c r="P402" s="10">
        <v>4393</v>
      </c>
      <c r="Q402" s="10">
        <v>34398.275185185186</v>
      </c>
      <c r="R402" s="11">
        <f>IFERROR(P402/Q402, 0)</f>
      </c>
      <c r="S402" s="10">
        <v>65234</v>
      </c>
      <c r="T402" s="10">
        <v>389901.9651851852</v>
      </c>
      <c r="U402" s="11">
        <f>IFERROR(S402/T402, 0)</f>
      </c>
      <c r="V402" s="10">
        <f>IFERROR(S402/E402, 0)</f>
      </c>
      <c r="W402" s="10">
        <f>IFERROR(T402/F402, 0)</f>
      </c>
      <c r="X402" s="11">
        <f>IFERROR(V402/W402, 0)</f>
      </c>
    </row>
    <row r="403" spans="1:24" x14ac:dyDescent="0.25">
      <c r="A403" s="8" t="s">
        <v>354</v>
      </c>
      <c r="B403" s="8" t="s">
        <v>420</v>
      </c>
      <c r="C403" s="8" t="s">
        <v>24</v>
      </c>
      <c r="D403" s="8" t="s">
        <v>444</v>
      </c>
      <c r="E403" s="9">
        <v>1540.84</v>
      </c>
      <c r="F403" s="9">
        <v>1529.62</v>
      </c>
      <c r="G403" s="10">
        <v>0</v>
      </c>
      <c r="H403" s="10">
        <v>45746.91444444445</v>
      </c>
      <c r="I403" s="11">
        <f>IFERROR(G403/H403, 0)</f>
      </c>
      <c r="J403" s="10">
        <v>0</v>
      </c>
      <c r="K403" s="10">
        <v>0</v>
      </c>
      <c r="L403" s="10">
        <v>0</v>
      </c>
      <c r="M403" s="12">
        <f>IFERROR(L403/K403, 0)</f>
      </c>
      <c r="N403" s="13">
        <f>IFERROR(J403/K403, 0)</f>
      </c>
      <c r="O403" s="10">
        <v>0</v>
      </c>
      <c r="P403" s="10">
        <v>0</v>
      </c>
      <c r="Q403" s="10">
        <v>503216.05888888886</v>
      </c>
      <c r="R403" s="11">
        <f>IFERROR(P403/Q403, 0)</f>
      </c>
      <c r="S403" s="10">
        <v>26397</v>
      </c>
      <c r="T403" s="10">
        <v>5703917.908888889</v>
      </c>
      <c r="U403" s="11">
        <f>IFERROR(S403/T403, 0)</f>
      </c>
      <c r="V403" s="10">
        <f>IFERROR(S403/E403, 0)</f>
      </c>
      <c r="W403" s="10">
        <f>IFERROR(T403/F403, 0)</f>
      </c>
      <c r="X403" s="11">
        <f>IFERROR(V403/W403, 0)</f>
      </c>
    </row>
    <row r="404" spans="1:24" x14ac:dyDescent="0.25">
      <c r="A404" s="8" t="s">
        <v>354</v>
      </c>
      <c r="B404" s="8" t="s">
        <v>420</v>
      </c>
      <c r="C404" s="8" t="s">
        <v>24</v>
      </c>
      <c r="D404" s="8" t="s">
        <v>445</v>
      </c>
      <c r="E404" s="9">
        <v>0</v>
      </c>
      <c r="F404" s="9">
        <v>0</v>
      </c>
      <c r="G404" s="10">
        <v>0</v>
      </c>
      <c r="H404" s="10">
        <v>0</v>
      </c>
      <c r="I404" s="11">
        <f>IFERROR(G404/H404, 0)</f>
      </c>
      <c r="J404" s="10">
        <v>0</v>
      </c>
      <c r="K404" s="10">
        <v>0</v>
      </c>
      <c r="L404" s="10">
        <v>0</v>
      </c>
      <c r="M404" s="12">
        <f>IFERROR(L404/K404, 0)</f>
      </c>
      <c r="N404" s="13">
        <f>IFERROR(J404/K404, 0)</f>
      </c>
      <c r="O404" s="10">
        <v>0</v>
      </c>
      <c r="P404" s="10">
        <v>0</v>
      </c>
      <c r="Q404" s="10">
        <v>0</v>
      </c>
      <c r="R404" s="11">
        <f>IFERROR(P404/Q404, 0)</f>
      </c>
      <c r="S404" s="10">
        <v>0</v>
      </c>
      <c r="T404" s="10">
        <v>0</v>
      </c>
      <c r="U404" s="11">
        <f>IFERROR(S404/T404, 0)</f>
      </c>
      <c r="V404" s="10">
        <f>IFERROR(S404/E404, 0)</f>
      </c>
      <c r="W404" s="10">
        <f>IFERROR(T404/F404, 0)</f>
      </c>
      <c r="X404" s="11">
        <f>IFERROR(V404/W404, 0)</f>
      </c>
    </row>
    <row r="405" spans="1:24" x14ac:dyDescent="0.25">
      <c r="A405" s="8" t="s">
        <v>354</v>
      </c>
      <c r="B405" s="8" t="s">
        <v>420</v>
      </c>
      <c r="C405" s="8" t="s">
        <v>24</v>
      </c>
      <c r="D405" s="8" t="s">
        <v>446</v>
      </c>
      <c r="E405" s="9">
        <v>655.94</v>
      </c>
      <c r="F405" s="9">
        <v>21.03</v>
      </c>
      <c r="G405" s="10">
        <v>0</v>
      </c>
      <c r="H405" s="10">
        <v>629.0711111111111</v>
      </c>
      <c r="I405" s="11">
        <f>IFERROR(G405/H405, 0)</f>
      </c>
      <c r="J405" s="10">
        <v>0</v>
      </c>
      <c r="K405" s="10">
        <v>0</v>
      </c>
      <c r="L405" s="10">
        <v>0</v>
      </c>
      <c r="M405" s="12">
        <f>IFERROR(L405/K405, 0)</f>
      </c>
      <c r="N405" s="13">
        <f>IFERROR(J405/K405, 0)</f>
      </c>
      <c r="O405" s="10">
        <v>0</v>
      </c>
      <c r="P405" s="10">
        <v>0</v>
      </c>
      <c r="Q405" s="10">
        <v>6919.782222222222</v>
      </c>
      <c r="R405" s="11">
        <f>IFERROR(P405/Q405, 0)</f>
      </c>
      <c r="S405" s="10">
        <v>0</v>
      </c>
      <c r="T405" s="10">
        <v>78435.25222222222</v>
      </c>
      <c r="U405" s="11">
        <f>IFERROR(S405/T405, 0)</f>
      </c>
      <c r="V405" s="10">
        <f>IFERROR(S405/E405, 0)</f>
      </c>
      <c r="W405" s="10">
        <f>IFERROR(T405/F405, 0)</f>
      </c>
      <c r="X405" s="11">
        <f>IFERROR(V405/W405, 0)</f>
      </c>
    </row>
    <row r="406" spans="1:24" x14ac:dyDescent="0.25">
      <c r="A406" s="8" t="s">
        <v>354</v>
      </c>
      <c r="B406" s="8" t="s">
        <v>420</v>
      </c>
      <c r="C406" s="8" t="s">
        <v>24</v>
      </c>
      <c r="D406" s="8" t="s">
        <v>447</v>
      </c>
      <c r="E406" s="9">
        <v>1.17</v>
      </c>
      <c r="F406" s="9">
        <v>9.75</v>
      </c>
      <c r="G406" s="10">
        <v>0</v>
      </c>
      <c r="H406" s="10">
        <v>291.6240740740741</v>
      </c>
      <c r="I406" s="11">
        <f>IFERROR(G406/H406, 0)</f>
      </c>
      <c r="J406" s="10">
        <v>0</v>
      </c>
      <c r="K406" s="10">
        <v>0</v>
      </c>
      <c r="L406" s="10">
        <v>0</v>
      </c>
      <c r="M406" s="12">
        <f>IFERROR(L406/K406, 0)</f>
      </c>
      <c r="N406" s="13">
        <f>IFERROR(J406/K406, 0)</f>
      </c>
      <c r="O406" s="10">
        <v>0</v>
      </c>
      <c r="P406" s="10">
        <v>0</v>
      </c>
      <c r="Q406" s="10">
        <v>3207.864814814815</v>
      </c>
      <c r="R406" s="11">
        <f>IFERROR(P406/Q406, 0)</f>
      </c>
      <c r="S406" s="10">
        <v>0</v>
      </c>
      <c r="T406" s="10">
        <v>36360.88481481482</v>
      </c>
      <c r="U406" s="11">
        <f>IFERROR(S406/T406, 0)</f>
      </c>
      <c r="V406" s="10">
        <f>IFERROR(S406/E406, 0)</f>
      </c>
      <c r="W406" s="10">
        <f>IFERROR(T406/F406, 0)</f>
      </c>
      <c r="X406" s="11">
        <f>IFERROR(V406/W406, 0)</f>
      </c>
    </row>
    <row r="407" spans="1:24" x14ac:dyDescent="0.25">
      <c r="A407" s="8" t="s">
        <v>354</v>
      </c>
      <c r="B407" s="8" t="s">
        <v>420</v>
      </c>
      <c r="C407" s="8" t="s">
        <v>24</v>
      </c>
      <c r="D407" s="8" t="s">
        <v>448</v>
      </c>
      <c r="E407" s="9">
        <v>94.96</v>
      </c>
      <c r="F407" s="9">
        <v>0</v>
      </c>
      <c r="G407" s="10">
        <v>0</v>
      </c>
      <c r="H407" s="10">
        <v>0</v>
      </c>
      <c r="I407" s="11">
        <f>IFERROR(G407/H407, 0)</f>
      </c>
      <c r="J407" s="10">
        <v>0</v>
      </c>
      <c r="K407" s="10">
        <v>0</v>
      </c>
      <c r="L407" s="10">
        <v>0</v>
      </c>
      <c r="M407" s="12">
        <f>IFERROR(L407/K407, 0)</f>
      </c>
      <c r="N407" s="13">
        <f>IFERROR(J407/K407, 0)</f>
      </c>
      <c r="O407" s="10">
        <v>0</v>
      </c>
      <c r="P407" s="10">
        <v>0</v>
      </c>
      <c r="Q407" s="10">
        <v>0</v>
      </c>
      <c r="R407" s="11">
        <f>IFERROR(P407/Q407, 0)</f>
      </c>
      <c r="S407" s="10">
        <v>0</v>
      </c>
      <c r="T407" s="10">
        <v>0</v>
      </c>
      <c r="U407" s="11">
        <f>IFERROR(S407/T407, 0)</f>
      </c>
      <c r="V407" s="10">
        <f>IFERROR(S407/E407, 0)</f>
      </c>
      <c r="W407" s="10">
        <f>IFERROR(T407/F407, 0)</f>
      </c>
      <c r="X407" s="11">
        <f>IFERROR(V407/W407, 0)</f>
      </c>
    </row>
    <row r="408" spans="1:24" x14ac:dyDescent="0.25">
      <c r="A408" s="8" t="s">
        <v>354</v>
      </c>
      <c r="B408" s="8" t="s">
        <v>420</v>
      </c>
      <c r="C408" s="8" t="s">
        <v>24</v>
      </c>
      <c r="D408" s="8" t="s">
        <v>449</v>
      </c>
      <c r="E408" s="9">
        <v>15.04</v>
      </c>
      <c r="F408" s="9">
        <v>0</v>
      </c>
      <c r="G408" s="10">
        <v>0</v>
      </c>
      <c r="H408" s="10">
        <v>0</v>
      </c>
      <c r="I408" s="11">
        <f>IFERROR(G408/H408, 0)</f>
      </c>
      <c r="J408" s="10">
        <v>0</v>
      </c>
      <c r="K408" s="10">
        <v>0</v>
      </c>
      <c r="L408" s="10">
        <v>0</v>
      </c>
      <c r="M408" s="12">
        <f>IFERROR(L408/K408, 0)</f>
      </c>
      <c r="N408" s="13">
        <f>IFERROR(J408/K408, 0)</f>
      </c>
      <c r="O408" s="10">
        <v>0</v>
      </c>
      <c r="P408" s="10">
        <v>0</v>
      </c>
      <c r="Q408" s="10">
        <v>0</v>
      </c>
      <c r="R408" s="11">
        <f>IFERROR(P408/Q408, 0)</f>
      </c>
      <c r="S408" s="10">
        <v>0</v>
      </c>
      <c r="T408" s="10">
        <v>0</v>
      </c>
      <c r="U408" s="11">
        <f>IFERROR(S408/T408, 0)</f>
      </c>
      <c r="V408" s="10">
        <f>IFERROR(S408/E408, 0)</f>
      </c>
      <c r="W408" s="10">
        <f>IFERROR(T408/F408, 0)</f>
      </c>
      <c r="X408" s="11">
        <f>IFERROR(V408/W408, 0)</f>
      </c>
    </row>
    <row r="409" spans="1:24" x14ac:dyDescent="0.25">
      <c r="A409" s="8" t="s">
        <v>354</v>
      </c>
      <c r="B409" s="8" t="s">
        <v>420</v>
      </c>
      <c r="C409" s="8" t="s">
        <v>24</v>
      </c>
      <c r="D409" s="8" t="s">
        <v>450</v>
      </c>
      <c r="E409" s="9">
        <v>12.22</v>
      </c>
      <c r="F409" s="9">
        <v>0</v>
      </c>
      <c r="G409" s="10">
        <v>0</v>
      </c>
      <c r="H409" s="10">
        <v>0</v>
      </c>
      <c r="I409" s="11">
        <f>IFERROR(G409/H409, 0)</f>
      </c>
      <c r="J409" s="10">
        <v>0</v>
      </c>
      <c r="K409" s="10">
        <v>0</v>
      </c>
      <c r="L409" s="10">
        <v>0</v>
      </c>
      <c r="M409" s="12">
        <f>IFERROR(L409/K409, 0)</f>
      </c>
      <c r="N409" s="13">
        <f>IFERROR(J409/K409, 0)</f>
      </c>
      <c r="O409" s="10">
        <v>0</v>
      </c>
      <c r="P409" s="10">
        <v>0</v>
      </c>
      <c r="Q409" s="10">
        <v>0</v>
      </c>
      <c r="R409" s="11">
        <f>IFERROR(P409/Q409, 0)</f>
      </c>
      <c r="S409" s="10">
        <v>0</v>
      </c>
      <c r="T409" s="10">
        <v>0</v>
      </c>
      <c r="U409" s="11">
        <f>IFERROR(S409/T409, 0)</f>
      </c>
      <c r="V409" s="10">
        <f>IFERROR(S409/E409, 0)</f>
      </c>
      <c r="W409" s="10">
        <f>IFERROR(T409/F409, 0)</f>
      </c>
      <c r="X409" s="11">
        <f>IFERROR(V409/W409, 0)</f>
      </c>
    </row>
    <row r="410" spans="1:24" x14ac:dyDescent="0.25">
      <c r="A410" s="8" t="s">
        <v>354</v>
      </c>
      <c r="B410" s="8" t="s">
        <v>420</v>
      </c>
      <c r="C410" s="8" t="s">
        <v>24</v>
      </c>
      <c r="D410" s="8" t="s">
        <v>451</v>
      </c>
      <c r="E410" s="9">
        <v>138.3</v>
      </c>
      <c r="F410" s="9">
        <v>2112.34</v>
      </c>
      <c r="G410" s="10">
        <v>0</v>
      </c>
      <c r="H410" s="10">
        <v>63174.723333333335</v>
      </c>
      <c r="I410" s="11">
        <f>IFERROR(G410/H410, 0)</f>
      </c>
      <c r="J410" s="10">
        <v>0</v>
      </c>
      <c r="K410" s="10">
        <v>0</v>
      </c>
      <c r="L410" s="10">
        <v>0</v>
      </c>
      <c r="M410" s="12">
        <f>IFERROR(L410/K410, 0)</f>
      </c>
      <c r="N410" s="13">
        <f>IFERROR(J410/K410, 0)</f>
      </c>
      <c r="O410" s="10">
        <v>0</v>
      </c>
      <c r="P410" s="10">
        <v>0</v>
      </c>
      <c r="Q410" s="10">
        <v>694921.9566666667</v>
      </c>
      <c r="R410" s="11">
        <f>IFERROR(P410/Q410, 0)</f>
      </c>
      <c r="S410" s="10">
        <v>0</v>
      </c>
      <c r="T410" s="10">
        <v>7876890.526666666</v>
      </c>
      <c r="U410" s="11">
        <f>IFERROR(S410/T410, 0)</f>
      </c>
      <c r="V410" s="10">
        <f>IFERROR(S410/E410, 0)</f>
      </c>
      <c r="W410" s="10">
        <f>IFERROR(T410/F410, 0)</f>
      </c>
      <c r="X410" s="11">
        <f>IFERROR(V410/W410, 0)</f>
      </c>
    </row>
    <row r="411" spans="1:24" x14ac:dyDescent="0.25">
      <c r="A411" s="8" t="s">
        <v>354</v>
      </c>
      <c r="B411" s="8" t="s">
        <v>420</v>
      </c>
      <c r="C411" s="8" t="s">
        <v>24</v>
      </c>
      <c r="D411" s="8" t="s">
        <v>452</v>
      </c>
      <c r="E411" s="9">
        <v>800.35</v>
      </c>
      <c r="F411" s="9">
        <v>269.55</v>
      </c>
      <c r="G411" s="10">
        <v>0</v>
      </c>
      <c r="H411" s="10">
        <v>8061.587777777778</v>
      </c>
      <c r="I411" s="11">
        <f>IFERROR(G411/H411, 0)</f>
      </c>
      <c r="J411" s="10">
        <v>0</v>
      </c>
      <c r="K411" s="10">
        <v>0</v>
      </c>
      <c r="L411" s="10">
        <v>0</v>
      </c>
      <c r="M411" s="12">
        <f>IFERROR(L411/K411, 0)</f>
      </c>
      <c r="N411" s="13">
        <f>IFERROR(J411/K411, 0)</f>
      </c>
      <c r="O411" s="10">
        <v>0</v>
      </c>
      <c r="P411" s="10">
        <v>71250</v>
      </c>
      <c r="Q411" s="10">
        <v>88677.46555555555</v>
      </c>
      <c r="R411" s="11">
        <f>IFERROR(P411/Q411, 0)</f>
      </c>
      <c r="S411" s="10">
        <v>1306684</v>
      </c>
      <c r="T411" s="10">
        <v>1005152.7255555555</v>
      </c>
      <c r="U411" s="11">
        <f>IFERROR(S411/T411, 0)</f>
      </c>
      <c r="V411" s="10">
        <f>IFERROR(S411/E411, 0)</f>
      </c>
      <c r="W411" s="10">
        <f>IFERROR(T411/F411, 0)</f>
      </c>
      <c r="X411" s="11">
        <f>IFERROR(V411/W411, 0)</f>
      </c>
    </row>
    <row r="412" spans="1:24" x14ac:dyDescent="0.25">
      <c r="A412" s="8" t="s">
        <v>354</v>
      </c>
      <c r="B412" s="8" t="s">
        <v>420</v>
      </c>
      <c r="C412" s="8" t="s">
        <v>24</v>
      </c>
      <c r="D412" s="8" t="s">
        <v>453</v>
      </c>
      <c r="E412" s="9">
        <v>136.18</v>
      </c>
      <c r="F412" s="9">
        <v>101.29</v>
      </c>
      <c r="G412" s="10">
        <v>0</v>
      </c>
      <c r="H412" s="10">
        <v>3029.2403703703703</v>
      </c>
      <c r="I412" s="11">
        <f>IFERROR(G412/H412, 0)</f>
      </c>
      <c r="J412" s="10">
        <v>0</v>
      </c>
      <c r="K412" s="10">
        <v>0</v>
      </c>
      <c r="L412" s="10">
        <v>0</v>
      </c>
      <c r="M412" s="12">
        <f>IFERROR(L412/K412, 0)</f>
      </c>
      <c r="N412" s="13">
        <f>IFERROR(J412/K412, 0)</f>
      </c>
      <c r="O412" s="10">
        <v>0</v>
      </c>
      <c r="P412" s="10">
        <v>0</v>
      </c>
      <c r="Q412" s="10">
        <v>33321.64407407407</v>
      </c>
      <c r="R412" s="11">
        <f>IFERROR(P412/Q412, 0)</f>
      </c>
      <c r="S412" s="10">
        <v>0</v>
      </c>
      <c r="T412" s="10">
        <v>377698.45407407405</v>
      </c>
      <c r="U412" s="11">
        <f>IFERROR(S412/T412, 0)</f>
      </c>
      <c r="V412" s="10">
        <f>IFERROR(S412/E412, 0)</f>
      </c>
      <c r="W412" s="10">
        <f>IFERROR(T412/F412, 0)</f>
      </c>
      <c r="X412" s="11">
        <f>IFERROR(V412/W412, 0)</f>
      </c>
    </row>
    <row r="413" spans="1:24" x14ac:dyDescent="0.25">
      <c r="A413" s="8" t="s">
        <v>354</v>
      </c>
      <c r="B413" s="8" t="s">
        <v>420</v>
      </c>
      <c r="C413" s="8" t="s">
        <v>24</v>
      </c>
      <c r="D413" s="8" t="s">
        <v>454</v>
      </c>
      <c r="E413" s="9">
        <v>480.73</v>
      </c>
      <c r="F413" s="9">
        <v>0</v>
      </c>
      <c r="G413" s="10">
        <v>0</v>
      </c>
      <c r="H413" s="10">
        <v>0</v>
      </c>
      <c r="I413" s="11">
        <f>IFERROR(G413/H413, 0)</f>
      </c>
      <c r="J413" s="10">
        <v>0</v>
      </c>
      <c r="K413" s="10">
        <v>0</v>
      </c>
      <c r="L413" s="10">
        <v>0</v>
      </c>
      <c r="M413" s="12">
        <f>IFERROR(L413/K413, 0)</f>
      </c>
      <c r="N413" s="13">
        <f>IFERROR(J413/K413, 0)</f>
      </c>
      <c r="O413" s="10">
        <v>0</v>
      </c>
      <c r="P413" s="10">
        <v>0</v>
      </c>
      <c r="Q413" s="10">
        <v>0</v>
      </c>
      <c r="R413" s="11">
        <f>IFERROR(P413/Q413, 0)</f>
      </c>
      <c r="S413" s="10">
        <v>0</v>
      </c>
      <c r="T413" s="10">
        <v>0</v>
      </c>
      <c r="U413" s="11">
        <f>IFERROR(S413/T413, 0)</f>
      </c>
      <c r="V413" s="10">
        <f>IFERROR(S413/E413, 0)</f>
      </c>
      <c r="W413" s="10">
        <f>IFERROR(T413/F413, 0)</f>
      </c>
      <c r="X413" s="11">
        <f>IFERROR(V413/W413, 0)</f>
      </c>
    </row>
    <row r="414" spans="1:24" x14ac:dyDescent="0.25">
      <c r="A414" s="8" t="s">
        <v>354</v>
      </c>
      <c r="B414" s="8" t="s">
        <v>420</v>
      </c>
      <c r="C414" s="8" t="s">
        <v>24</v>
      </c>
      <c r="D414" s="8" t="s">
        <v>455</v>
      </c>
      <c r="E414" s="9">
        <v>16.33</v>
      </c>
      <c r="F414" s="9">
        <v>0</v>
      </c>
      <c r="G414" s="10">
        <v>0</v>
      </c>
      <c r="H414" s="10">
        <v>0</v>
      </c>
      <c r="I414" s="11">
        <f>IFERROR(G414/H414, 0)</f>
      </c>
      <c r="J414" s="10">
        <v>0</v>
      </c>
      <c r="K414" s="10">
        <v>0</v>
      </c>
      <c r="L414" s="10">
        <v>0</v>
      </c>
      <c r="M414" s="12">
        <f>IFERROR(L414/K414, 0)</f>
      </c>
      <c r="N414" s="13">
        <f>IFERROR(J414/K414, 0)</f>
      </c>
      <c r="O414" s="10">
        <v>0</v>
      </c>
      <c r="P414" s="10">
        <v>0</v>
      </c>
      <c r="Q414" s="10">
        <v>0</v>
      </c>
      <c r="R414" s="11">
        <f>IFERROR(P414/Q414, 0)</f>
      </c>
      <c r="S414" s="10">
        <v>16512</v>
      </c>
      <c r="T414" s="10">
        <v>0</v>
      </c>
      <c r="U414" s="11">
        <f>IFERROR(S414/T414, 0)</f>
      </c>
      <c r="V414" s="10">
        <f>IFERROR(S414/E414, 0)</f>
      </c>
      <c r="W414" s="10">
        <f>IFERROR(T414/F414, 0)</f>
      </c>
      <c r="X414" s="11">
        <f>IFERROR(V414/W414, 0)</f>
      </c>
    </row>
    <row r="415" spans="1:24" x14ac:dyDescent="0.25">
      <c r="A415" s="8" t="s">
        <v>354</v>
      </c>
      <c r="B415" s="8" t="s">
        <v>420</v>
      </c>
      <c r="C415" s="8" t="s">
        <v>24</v>
      </c>
      <c r="D415" s="8" t="s">
        <v>456</v>
      </c>
      <c r="E415" s="9">
        <v>158.88</v>
      </c>
      <c r="F415" s="9">
        <v>107.16</v>
      </c>
      <c r="G415" s="10">
        <v>0</v>
      </c>
      <c r="H415" s="10">
        <v>3204.971111111111</v>
      </c>
      <c r="I415" s="11">
        <f>IFERROR(G415/H415, 0)</f>
      </c>
      <c r="J415" s="10">
        <v>0</v>
      </c>
      <c r="K415" s="10">
        <v>0</v>
      </c>
      <c r="L415" s="10">
        <v>0</v>
      </c>
      <c r="M415" s="12">
        <f>IFERROR(L415/K415, 0)</f>
      </c>
      <c r="N415" s="13">
        <f>IFERROR(J415/K415, 0)</f>
      </c>
      <c r="O415" s="10">
        <v>0</v>
      </c>
      <c r="P415" s="10">
        <v>52713</v>
      </c>
      <c r="Q415" s="10">
        <v>35254.682222222225</v>
      </c>
      <c r="R415" s="11">
        <f>IFERROR(P415/Q415, 0)</f>
      </c>
      <c r="S415" s="10">
        <v>170520</v>
      </c>
      <c r="T415" s="10">
        <v>399609.2922222222</v>
      </c>
      <c r="U415" s="11">
        <f>IFERROR(S415/T415, 0)</f>
      </c>
      <c r="V415" s="10">
        <f>IFERROR(S415/E415, 0)</f>
      </c>
      <c r="W415" s="10">
        <f>IFERROR(T415/F415, 0)</f>
      </c>
      <c r="X415" s="11">
        <f>IFERROR(V415/W415, 0)</f>
      </c>
    </row>
    <row r="416" spans="1:24" x14ac:dyDescent="0.25">
      <c r="A416" s="8" t="s">
        <v>354</v>
      </c>
      <c r="B416" s="8" t="s">
        <v>420</v>
      </c>
      <c r="C416" s="8" t="s">
        <v>24</v>
      </c>
      <c r="D416" s="8" t="s">
        <v>457</v>
      </c>
      <c r="E416" s="9">
        <v>32.07</v>
      </c>
      <c r="F416" s="9">
        <v>0</v>
      </c>
      <c r="G416" s="10">
        <v>0</v>
      </c>
      <c r="H416" s="10">
        <v>0</v>
      </c>
      <c r="I416" s="11">
        <f>IFERROR(G416/H416, 0)</f>
      </c>
      <c r="J416" s="10">
        <v>0</v>
      </c>
      <c r="K416" s="10">
        <v>0</v>
      </c>
      <c r="L416" s="10">
        <v>0</v>
      </c>
      <c r="M416" s="12">
        <f>IFERROR(L416/K416, 0)</f>
      </c>
      <c r="N416" s="13">
        <f>IFERROR(J416/K416, 0)</f>
      </c>
      <c r="O416" s="10">
        <v>0</v>
      </c>
      <c r="P416" s="10">
        <v>0</v>
      </c>
      <c r="Q416" s="10">
        <v>0</v>
      </c>
      <c r="R416" s="11">
        <f>IFERROR(P416/Q416, 0)</f>
      </c>
      <c r="S416" s="10">
        <v>0</v>
      </c>
      <c r="T416" s="10">
        <v>0</v>
      </c>
      <c r="U416" s="11">
        <f>IFERROR(S416/T416, 0)</f>
      </c>
      <c r="V416" s="10">
        <f>IFERROR(S416/E416, 0)</f>
      </c>
      <c r="W416" s="10">
        <f>IFERROR(T416/F416, 0)</f>
      </c>
      <c r="X416" s="11">
        <f>IFERROR(V416/W416, 0)</f>
      </c>
    </row>
    <row r="417" spans="1:24" x14ac:dyDescent="0.25">
      <c r="A417" s="8" t="s">
        <v>354</v>
      </c>
      <c r="B417" s="8" t="s">
        <v>420</v>
      </c>
      <c r="C417" s="8" t="s">
        <v>24</v>
      </c>
      <c r="D417" s="8" t="s">
        <v>458</v>
      </c>
      <c r="E417" s="9">
        <v>1622.17</v>
      </c>
      <c r="F417" s="9">
        <v>327.65</v>
      </c>
      <c r="G417" s="10">
        <v>22618</v>
      </c>
      <c r="H417" s="10">
        <v>9799.097037037038</v>
      </c>
      <c r="I417" s="11">
        <f>IFERROR(G417/H417, 0)</f>
      </c>
      <c r="J417" s="10">
        <v>36.3</v>
      </c>
      <c r="K417" s="10">
        <v>18</v>
      </c>
      <c r="L417" s="10">
        <v>22618</v>
      </c>
      <c r="M417" s="12">
        <f>IFERROR(L417/K417, 0)</f>
      </c>
      <c r="N417" s="13">
        <f>IFERROR(J417/K417, 0)</f>
      </c>
      <c r="O417" s="10">
        <v>0</v>
      </c>
      <c r="P417" s="10">
        <v>230877</v>
      </c>
      <c r="Q417" s="10">
        <v>107790.0674074074</v>
      </c>
      <c r="R417" s="11">
        <f>IFERROR(P417/Q417, 0)</f>
      </c>
      <c r="S417" s="10">
        <v>1857136</v>
      </c>
      <c r="T417" s="10">
        <v>1221792.6674074074</v>
      </c>
      <c r="U417" s="11">
        <f>IFERROR(S417/T417, 0)</f>
      </c>
      <c r="V417" s="10">
        <f>IFERROR(S417/E417, 0)</f>
      </c>
      <c r="W417" s="10">
        <f>IFERROR(T417/F417, 0)</f>
      </c>
      <c r="X417" s="11">
        <f>IFERROR(V417/W417, 0)</f>
      </c>
    </row>
    <row r="418" spans="1:24" x14ac:dyDescent="0.25">
      <c r="A418" s="8" t="s">
        <v>354</v>
      </c>
      <c r="B418" s="8" t="s">
        <v>420</v>
      </c>
      <c r="C418" s="8" t="s">
        <v>24</v>
      </c>
      <c r="D418" s="8" t="s">
        <v>459</v>
      </c>
      <c r="E418" s="9">
        <v>1754.05</v>
      </c>
      <c r="F418" s="9">
        <v>96.83</v>
      </c>
      <c r="G418" s="10">
        <v>0</v>
      </c>
      <c r="H418" s="10">
        <v>2895.9966666666664</v>
      </c>
      <c r="I418" s="11">
        <f>IFERROR(G418/H418, 0)</f>
      </c>
      <c r="J418" s="10">
        <v>0</v>
      </c>
      <c r="K418" s="10">
        <v>0</v>
      </c>
      <c r="L418" s="10">
        <v>0</v>
      </c>
      <c r="M418" s="12">
        <f>IFERROR(L418/K418, 0)</f>
      </c>
      <c r="N418" s="13">
        <f>IFERROR(J418/K418, 0)</f>
      </c>
      <c r="O418" s="10">
        <v>0</v>
      </c>
      <c r="P418" s="10">
        <v>0</v>
      </c>
      <c r="Q418" s="10">
        <v>31855.963333333333</v>
      </c>
      <c r="R418" s="11">
        <f>IFERROR(P418/Q418, 0)</f>
      </c>
      <c r="S418" s="10">
        <v>0</v>
      </c>
      <c r="T418" s="10">
        <v>361085.05333333334</v>
      </c>
      <c r="U418" s="11">
        <f>IFERROR(S418/T418, 0)</f>
      </c>
      <c r="V418" s="10">
        <f>IFERROR(S418/E418, 0)</f>
      </c>
      <c r="W418" s="10">
        <f>IFERROR(T418/F418, 0)</f>
      </c>
      <c r="X418" s="11">
        <f>IFERROR(V418/W418, 0)</f>
      </c>
    </row>
    <row r="419" spans="1:24" x14ac:dyDescent="0.25">
      <c r="A419" s="8" t="s">
        <v>354</v>
      </c>
      <c r="B419" s="8" t="s">
        <v>420</v>
      </c>
      <c r="C419" s="8" t="s">
        <v>24</v>
      </c>
      <c r="D419" s="8" t="s">
        <v>460</v>
      </c>
      <c r="E419" s="9">
        <v>36.57</v>
      </c>
      <c r="F419" s="9">
        <v>0</v>
      </c>
      <c r="G419" s="10">
        <v>952</v>
      </c>
      <c r="H419" s="10">
        <v>0</v>
      </c>
      <c r="I419" s="11">
        <f>IFERROR(G419/H419, 0)</f>
      </c>
      <c r="J419" s="10">
        <v>3</v>
      </c>
      <c r="K419" s="10">
        <v>2</v>
      </c>
      <c r="L419" s="10">
        <v>952</v>
      </c>
      <c r="M419" s="12">
        <f>IFERROR(L419/K419, 0)</f>
      </c>
      <c r="N419" s="13">
        <f>IFERROR(J419/K419, 0)</f>
      </c>
      <c r="O419" s="10">
        <v>0</v>
      </c>
      <c r="P419" s="10">
        <v>7949</v>
      </c>
      <c r="Q419" s="10">
        <v>0</v>
      </c>
      <c r="R419" s="11">
        <f>IFERROR(P419/Q419, 0)</f>
      </c>
      <c r="S419" s="10">
        <v>78439</v>
      </c>
      <c r="T419" s="10">
        <v>0</v>
      </c>
      <c r="U419" s="11">
        <f>IFERROR(S419/T419, 0)</f>
      </c>
      <c r="V419" s="10">
        <f>IFERROR(S419/E419, 0)</f>
      </c>
      <c r="W419" s="10">
        <f>IFERROR(T419/F419, 0)</f>
      </c>
      <c r="X419" s="11">
        <f>IFERROR(V419/W419, 0)</f>
      </c>
    </row>
    <row r="420" spans="1:24" x14ac:dyDescent="0.25">
      <c r="A420" s="8" t="s">
        <v>354</v>
      </c>
      <c r="B420" s="8" t="s">
        <v>420</v>
      </c>
      <c r="C420" s="8" t="s">
        <v>24</v>
      </c>
      <c r="D420" s="8" t="s">
        <v>461</v>
      </c>
      <c r="E420" s="9">
        <v>375.64</v>
      </c>
      <c r="F420" s="9">
        <v>120.23</v>
      </c>
      <c r="G420" s="10">
        <v>0</v>
      </c>
      <c r="H420" s="10">
        <v>3595.804814814815</v>
      </c>
      <c r="I420" s="11">
        <f>IFERROR(G420/H420, 0)</f>
      </c>
      <c r="J420" s="10">
        <v>0</v>
      </c>
      <c r="K420" s="10">
        <v>0</v>
      </c>
      <c r="L420" s="10">
        <v>0</v>
      </c>
      <c r="M420" s="12">
        <f>IFERROR(L420/K420, 0)</f>
      </c>
      <c r="N420" s="13">
        <f>IFERROR(J420/K420, 0)</f>
      </c>
      <c r="O420" s="10">
        <v>0</v>
      </c>
      <c r="P420" s="10">
        <v>8208</v>
      </c>
      <c r="Q420" s="10">
        <v>39553.85296296296</v>
      </c>
      <c r="R420" s="11">
        <f>IFERROR(P420/Q420, 0)</f>
      </c>
      <c r="S420" s="10">
        <v>76766</v>
      </c>
      <c r="T420" s="10">
        <v>448340.102962963</v>
      </c>
      <c r="U420" s="11">
        <f>IFERROR(S420/T420, 0)</f>
      </c>
      <c r="V420" s="10">
        <f>IFERROR(S420/E420, 0)</f>
      </c>
      <c r="W420" s="10">
        <f>IFERROR(T420/F420, 0)</f>
      </c>
      <c r="X420" s="11">
        <f>IFERROR(V420/W420, 0)</f>
      </c>
    </row>
    <row r="421" spans="1:24" x14ac:dyDescent="0.25">
      <c r="A421" s="8" t="s">
        <v>354</v>
      </c>
      <c r="B421" s="8" t="s">
        <v>420</v>
      </c>
      <c r="C421" s="8" t="s">
        <v>24</v>
      </c>
      <c r="D421" s="8" t="s">
        <v>462</v>
      </c>
      <c r="E421" s="9">
        <v>1162.9</v>
      </c>
      <c r="F421" s="9">
        <v>758.81</v>
      </c>
      <c r="G421" s="10">
        <v>14988</v>
      </c>
      <c r="H421" s="10">
        <v>22694.167407407407</v>
      </c>
      <c r="I421" s="11">
        <f>IFERROR(G421/H421, 0)</f>
      </c>
      <c r="J421" s="10">
        <v>28</v>
      </c>
      <c r="K421" s="10">
        <v>14</v>
      </c>
      <c r="L421" s="10">
        <v>14988</v>
      </c>
      <c r="M421" s="12">
        <f>IFERROR(L421/K421, 0)</f>
      </c>
      <c r="N421" s="13">
        <f>IFERROR(J421/K421, 0)</f>
      </c>
      <c r="O421" s="10">
        <v>0</v>
      </c>
      <c r="P421" s="10">
        <v>119204</v>
      </c>
      <c r="Q421" s="10">
        <v>249635.84148148148</v>
      </c>
      <c r="R421" s="11">
        <f>IFERROR(P421/Q421, 0)</f>
      </c>
      <c r="S421" s="10">
        <v>964138</v>
      </c>
      <c r="T421" s="10">
        <v>2829604.3614814817</v>
      </c>
      <c r="U421" s="11">
        <f>IFERROR(S421/T421, 0)</f>
      </c>
      <c r="V421" s="10">
        <f>IFERROR(S421/E421, 0)</f>
      </c>
      <c r="W421" s="10">
        <f>IFERROR(T421/F421, 0)</f>
      </c>
      <c r="X421" s="11">
        <f>IFERROR(V421/W421, 0)</f>
      </c>
    </row>
    <row r="422" spans="1:24" x14ac:dyDescent="0.25">
      <c r="A422" s="8" t="s">
        <v>354</v>
      </c>
      <c r="B422" s="8" t="s">
        <v>420</v>
      </c>
      <c r="C422" s="8" t="s">
        <v>24</v>
      </c>
      <c r="D422" s="8" t="s">
        <v>463</v>
      </c>
      <c r="E422" s="9">
        <v>97.52</v>
      </c>
      <c r="F422" s="9">
        <v>72.53</v>
      </c>
      <c r="G422" s="10">
        <v>0</v>
      </c>
      <c r="H422" s="10">
        <v>2169.2725925925924</v>
      </c>
      <c r="I422" s="11">
        <f>IFERROR(G422/H422, 0)</f>
      </c>
      <c r="J422" s="10">
        <v>0</v>
      </c>
      <c r="K422" s="10">
        <v>0</v>
      </c>
      <c r="L422" s="10">
        <v>0</v>
      </c>
      <c r="M422" s="12">
        <f>IFERROR(L422/K422, 0)</f>
      </c>
      <c r="N422" s="13">
        <f>IFERROR(J422/K422, 0)</f>
      </c>
      <c r="O422" s="10">
        <v>0</v>
      </c>
      <c r="P422" s="10">
        <v>0</v>
      </c>
      <c r="Q422" s="10">
        <v>23861.998518518518</v>
      </c>
      <c r="R422" s="11">
        <f>IFERROR(P422/Q422, 0)</f>
      </c>
      <c r="S422" s="10">
        <v>0</v>
      </c>
      <c r="T422" s="10">
        <v>270474.0485185185</v>
      </c>
      <c r="U422" s="11">
        <f>IFERROR(S422/T422, 0)</f>
      </c>
      <c r="V422" s="10">
        <f>IFERROR(S422/E422, 0)</f>
      </c>
      <c r="W422" s="10">
        <f>IFERROR(T422/F422, 0)</f>
      </c>
      <c r="X422" s="11">
        <f>IFERROR(V422/W422, 0)</f>
      </c>
    </row>
    <row r="423" spans="1:24" x14ac:dyDescent="0.25">
      <c r="A423" s="8" t="s">
        <v>354</v>
      </c>
      <c r="B423" s="8" t="s">
        <v>420</v>
      </c>
      <c r="C423" s="8" t="s">
        <v>24</v>
      </c>
      <c r="D423" s="8" t="s">
        <v>464</v>
      </c>
      <c r="E423" s="9">
        <v>87.83</v>
      </c>
      <c r="F423" s="9">
        <v>0</v>
      </c>
      <c r="G423" s="10">
        <v>0</v>
      </c>
      <c r="H423" s="10">
        <v>0</v>
      </c>
      <c r="I423" s="11">
        <f>IFERROR(G423/H423, 0)</f>
      </c>
      <c r="J423" s="10">
        <v>0</v>
      </c>
      <c r="K423" s="10">
        <v>0</v>
      </c>
      <c r="L423" s="10">
        <v>0</v>
      </c>
      <c r="M423" s="12">
        <f>IFERROR(L423/K423, 0)</f>
      </c>
      <c r="N423" s="13">
        <f>IFERROR(J423/K423, 0)</f>
      </c>
      <c r="O423" s="10">
        <v>0</v>
      </c>
      <c r="P423" s="10">
        <v>0</v>
      </c>
      <c r="Q423" s="10">
        <v>0</v>
      </c>
      <c r="R423" s="11">
        <f>IFERROR(P423/Q423, 0)</f>
      </c>
      <c r="S423" s="10">
        <v>0</v>
      </c>
      <c r="T423" s="10">
        <v>0</v>
      </c>
      <c r="U423" s="11">
        <f>IFERROR(S423/T423, 0)</f>
      </c>
      <c r="V423" s="10">
        <f>IFERROR(S423/E423, 0)</f>
      </c>
      <c r="W423" s="10">
        <f>IFERROR(T423/F423, 0)</f>
      </c>
      <c r="X423" s="11">
        <f>IFERROR(V423/W423, 0)</f>
      </c>
    </row>
    <row r="424" spans="1:24" x14ac:dyDescent="0.25">
      <c r="A424" s="8" t="s">
        <v>354</v>
      </c>
      <c r="B424" s="8" t="s">
        <v>420</v>
      </c>
      <c r="C424" s="8" t="s">
        <v>24</v>
      </c>
      <c r="D424" s="8" t="s">
        <v>465</v>
      </c>
      <c r="E424" s="9">
        <v>114.47</v>
      </c>
      <c r="F424" s="9">
        <v>107.45</v>
      </c>
      <c r="G424" s="10">
        <v>0</v>
      </c>
      <c r="H424" s="10">
        <v>3213.6462962962964</v>
      </c>
      <c r="I424" s="11">
        <f>IFERROR(G424/H424, 0)</f>
      </c>
      <c r="J424" s="10">
        <v>0</v>
      </c>
      <c r="K424" s="10">
        <v>0</v>
      </c>
      <c r="L424" s="10">
        <v>0</v>
      </c>
      <c r="M424" s="12">
        <f>IFERROR(L424/K424, 0)</f>
      </c>
      <c r="N424" s="13">
        <f>IFERROR(J424/K424, 0)</f>
      </c>
      <c r="O424" s="10">
        <v>0</v>
      </c>
      <c r="P424" s="10">
        <v>0</v>
      </c>
      <c r="Q424" s="10">
        <v>35350.10925925926</v>
      </c>
      <c r="R424" s="11">
        <f>IFERROR(P424/Q424, 0)</f>
      </c>
      <c r="S424" s="10">
        <v>0</v>
      </c>
      <c r="T424" s="10">
        <v>400690.96925925923</v>
      </c>
      <c r="U424" s="11">
        <f>IFERROR(S424/T424, 0)</f>
      </c>
      <c r="V424" s="10">
        <f>IFERROR(S424/E424, 0)</f>
      </c>
      <c r="W424" s="10">
        <f>IFERROR(T424/F424, 0)</f>
      </c>
      <c r="X424" s="11">
        <f>IFERROR(V424/W424, 0)</f>
      </c>
    </row>
    <row r="425" spans="1:24" x14ac:dyDescent="0.25">
      <c r="A425" s="8" t="s">
        <v>354</v>
      </c>
      <c r="B425" s="8" t="s">
        <v>420</v>
      </c>
      <c r="C425" s="8" t="s">
        <v>24</v>
      </c>
      <c r="D425" s="8" t="s">
        <v>466</v>
      </c>
      <c r="E425" s="9">
        <v>5.56</v>
      </c>
      <c r="F425" s="9">
        <v>0</v>
      </c>
      <c r="G425" s="10">
        <v>0</v>
      </c>
      <c r="H425" s="10">
        <v>0</v>
      </c>
      <c r="I425" s="11">
        <f>IFERROR(G425/H425, 0)</f>
      </c>
      <c r="J425" s="10">
        <v>0</v>
      </c>
      <c r="K425" s="10">
        <v>0</v>
      </c>
      <c r="L425" s="10">
        <v>0</v>
      </c>
      <c r="M425" s="12">
        <f>IFERROR(L425/K425, 0)</f>
      </c>
      <c r="N425" s="13">
        <f>IFERROR(J425/K425, 0)</f>
      </c>
      <c r="O425" s="10">
        <v>0</v>
      </c>
      <c r="P425" s="10">
        <v>0</v>
      </c>
      <c r="Q425" s="10">
        <v>0</v>
      </c>
      <c r="R425" s="11">
        <f>IFERROR(P425/Q425, 0)</f>
      </c>
      <c r="S425" s="10">
        <v>0</v>
      </c>
      <c r="T425" s="10">
        <v>0</v>
      </c>
      <c r="U425" s="11">
        <f>IFERROR(S425/T425, 0)</f>
      </c>
      <c r="V425" s="10">
        <f>IFERROR(S425/E425, 0)</f>
      </c>
      <c r="W425" s="10">
        <f>IFERROR(T425/F425, 0)</f>
      </c>
      <c r="X425" s="11">
        <f>IFERROR(V425/W425, 0)</f>
      </c>
    </row>
    <row r="426" spans="1:24" x14ac:dyDescent="0.25">
      <c r="A426" s="8" t="s">
        <v>354</v>
      </c>
      <c r="B426" s="8" t="s">
        <v>420</v>
      </c>
      <c r="C426" s="8" t="s">
        <v>24</v>
      </c>
      <c r="D426" s="8" t="s">
        <v>467</v>
      </c>
      <c r="E426" s="9">
        <v>180</v>
      </c>
      <c r="F426" s="9">
        <v>0</v>
      </c>
      <c r="G426" s="10">
        <v>0</v>
      </c>
      <c r="H426" s="10">
        <v>0</v>
      </c>
      <c r="I426" s="11">
        <f>IFERROR(G426/H426, 0)</f>
      </c>
      <c r="J426" s="10">
        <v>0</v>
      </c>
      <c r="K426" s="10">
        <v>0</v>
      </c>
      <c r="L426" s="10">
        <v>0</v>
      </c>
      <c r="M426" s="12">
        <f>IFERROR(L426/K426, 0)</f>
      </c>
      <c r="N426" s="13">
        <f>IFERROR(J426/K426, 0)</f>
      </c>
      <c r="O426" s="10">
        <v>0</v>
      </c>
      <c r="P426" s="10">
        <v>8820</v>
      </c>
      <c r="Q426" s="10">
        <v>0</v>
      </c>
      <c r="R426" s="11">
        <f>IFERROR(P426/Q426, 0)</f>
      </c>
      <c r="S426" s="10">
        <v>47843</v>
      </c>
      <c r="T426" s="10">
        <v>0</v>
      </c>
      <c r="U426" s="11">
        <f>IFERROR(S426/T426, 0)</f>
      </c>
      <c r="V426" s="10">
        <f>IFERROR(S426/E426, 0)</f>
      </c>
      <c r="W426" s="10">
        <f>IFERROR(T426/F426, 0)</f>
      </c>
      <c r="X426" s="11">
        <f>IFERROR(V426/W426, 0)</f>
      </c>
    </row>
    <row r="427" spans="1:24" x14ac:dyDescent="0.25">
      <c r="A427" s="8" t="s">
        <v>354</v>
      </c>
      <c r="B427" s="8" t="s">
        <v>420</v>
      </c>
      <c r="C427" s="8" t="s">
        <v>24</v>
      </c>
      <c r="D427" s="8" t="s">
        <v>468</v>
      </c>
      <c r="E427" s="9">
        <v>91.66</v>
      </c>
      <c r="F427" s="9">
        <v>68.17</v>
      </c>
      <c r="G427" s="10">
        <v>2244</v>
      </c>
      <c r="H427" s="10">
        <v>2038.9203703703704</v>
      </c>
      <c r="I427" s="11">
        <f>IFERROR(G427/H427, 0)</f>
      </c>
      <c r="J427" s="10">
        <v>2</v>
      </c>
      <c r="K427" s="10">
        <v>2</v>
      </c>
      <c r="L427" s="10">
        <v>2244</v>
      </c>
      <c r="M427" s="12">
        <f>IFERROR(L427/K427, 0)</f>
      </c>
      <c r="N427" s="13">
        <f>IFERROR(J427/K427, 0)</f>
      </c>
      <c r="O427" s="10">
        <v>0</v>
      </c>
      <c r="P427" s="10">
        <v>9392</v>
      </c>
      <c r="Q427" s="10">
        <v>22428.124074074072</v>
      </c>
      <c r="R427" s="11">
        <f>IFERROR(P427/Q427, 0)</f>
      </c>
      <c r="S427" s="10">
        <v>111661</v>
      </c>
      <c r="T427" s="10">
        <v>254221.19407407407</v>
      </c>
      <c r="U427" s="11">
        <f>IFERROR(S427/T427, 0)</f>
      </c>
      <c r="V427" s="10">
        <f>IFERROR(S427/E427, 0)</f>
      </c>
      <c r="W427" s="10">
        <f>IFERROR(T427/F427, 0)</f>
      </c>
      <c r="X427" s="11">
        <f>IFERROR(V427/W427, 0)</f>
      </c>
    </row>
    <row r="428" spans="1:24" x14ac:dyDescent="0.25">
      <c r="A428" s="8" t="s">
        <v>354</v>
      </c>
      <c r="B428" s="8" t="s">
        <v>420</v>
      </c>
      <c r="C428" s="8" t="s">
        <v>24</v>
      </c>
      <c r="D428" s="8" t="s">
        <v>469</v>
      </c>
      <c r="E428" s="9">
        <v>190</v>
      </c>
      <c r="F428" s="9">
        <v>257.09</v>
      </c>
      <c r="G428" s="10">
        <v>0</v>
      </c>
      <c r="H428" s="10">
        <v>7688.9944444444445</v>
      </c>
      <c r="I428" s="11">
        <f>IFERROR(G428/H428, 0)</f>
      </c>
      <c r="J428" s="10">
        <v>0</v>
      </c>
      <c r="K428" s="10">
        <v>0</v>
      </c>
      <c r="L428" s="10">
        <v>0</v>
      </c>
      <c r="M428" s="12">
        <f>IFERROR(L428/K428, 0)</f>
      </c>
      <c r="N428" s="13">
        <f>IFERROR(J428/K428, 0)</f>
      </c>
      <c r="O428" s="10">
        <v>0</v>
      </c>
      <c r="P428" s="10">
        <v>0</v>
      </c>
      <c r="Q428" s="10">
        <v>84578.9388888889</v>
      </c>
      <c r="R428" s="11">
        <f>IFERROR(P428/Q428, 0)</f>
      </c>
      <c r="S428" s="10">
        <v>0</v>
      </c>
      <c r="T428" s="10">
        <v>958696.2088888889</v>
      </c>
      <c r="U428" s="11">
        <f>IFERROR(S428/T428, 0)</f>
      </c>
      <c r="V428" s="10">
        <f>IFERROR(S428/E428, 0)</f>
      </c>
      <c r="W428" s="10">
        <f>IFERROR(T428/F428, 0)</f>
      </c>
      <c r="X428" s="11">
        <f>IFERROR(V428/W428, 0)</f>
      </c>
    </row>
    <row r="429" spans="1:24" x14ac:dyDescent="0.25">
      <c r="A429" s="14" t="s">
        <v>470</v>
      </c>
      <c r="B429" s="14"/>
      <c r="C429" s="14"/>
      <c r="D429" s="14"/>
      <c r="E429" s="15">
        <f>SUM(E380:E428)</f>
      </c>
      <c r="F429" s="15">
        <f>SUM(F380:F428)</f>
      </c>
      <c r="G429" s="16">
        <f>SUM(G380:G428)</f>
      </c>
      <c r="H429" s="16">
        <f>SUM(H380:H428)</f>
      </c>
      <c r="I429" s="17">
        <f>IFERROR(G429/H429, 0)</f>
      </c>
      <c r="J429" s="16">
        <f>SUM(J380:J428)</f>
      </c>
      <c r="K429" s="16">
        <f>SUM(K380:K428)</f>
      </c>
      <c r="L429" s="16">
        <f>SUM(L380:L428)</f>
      </c>
      <c r="M429" s="18">
        <f>IFERROR(L429/K429, 0)</f>
      </c>
      <c r="N429" s="19">
        <f>IFERROR(J429/K429, 0)</f>
      </c>
      <c r="O429" s="16">
        <f>SUM(O380:O428)</f>
      </c>
      <c r="P429" s="16">
        <f>SUM(P380:P428)</f>
      </c>
      <c r="Q429" s="16">
        <f>SUM(Q380:Q428)</f>
      </c>
      <c r="R429" s="17">
        <f>IFERROR(P429/Q429, 0)</f>
      </c>
      <c r="S429" s="16">
        <f>SUM(S380:S428)</f>
      </c>
      <c r="T429" s="16">
        <f>SUM(T380:T428)</f>
      </c>
      <c r="U429" s="17">
        <f>IFERROR(S429/T429, 0)</f>
      </c>
      <c r="V429" s="16">
        <f>IFERROR(S429/E429, 0)</f>
      </c>
      <c r="W429" s="16">
        <f>IFERROR(T429/F429, 0)</f>
      </c>
      <c r="X429" s="17">
        <f>IFERROR(V429/W429, 0)</f>
      </c>
    </row>
    <row r="430" spans="1:24" x14ac:dyDescent="0.25">
      <c r="A430" s="20" t="s">
        <v>471</v>
      </c>
      <c r="B430" s="20"/>
      <c r="C430" s="20"/>
      <c r="D430" s="20"/>
      <c r="E430" s="21">
        <f>SUM(E379,E429)</f>
      </c>
      <c r="F430" s="21">
        <f>SUM(F379,F429)</f>
      </c>
      <c r="G430" s="22">
        <f>SUM(G379,G429)</f>
      </c>
      <c r="H430" s="22">
        <f>SUM(H379,H429)</f>
      </c>
      <c r="I430" s="23">
        <f>IFERROR(G430/H430, 0)</f>
      </c>
      <c r="J430" s="22">
        <f>SUM(J379,J429)</f>
      </c>
      <c r="K430" s="22">
        <f>SUM(K379,K429)</f>
      </c>
      <c r="L430" s="22">
        <f>SUM(L379,L429)</f>
      </c>
      <c r="M430" s="24">
        <f>IFERROR(L430/K430, 0)</f>
      </c>
      <c r="N430" s="25">
        <f>IFERROR(J430/K430, 0)</f>
      </c>
      <c r="O430" s="22">
        <f>SUM(O379,O429)</f>
      </c>
      <c r="P430" s="22">
        <f>SUM(P379,P429)</f>
      </c>
      <c r="Q430" s="22">
        <f>SUM(Q379,Q429)</f>
      </c>
      <c r="R430" s="23">
        <f>IFERROR(P430/Q430, 0)</f>
      </c>
      <c r="S430" s="22">
        <f>SUM(S379,S429)</f>
      </c>
      <c r="T430" s="22">
        <f>SUM(T379,T429)</f>
      </c>
      <c r="U430" s="23">
        <f>IFERROR(S430/T430, 0)</f>
      </c>
      <c r="V430" s="22">
        <f>IFERROR(S430/E430, 0)</f>
      </c>
      <c r="W430" s="22">
        <f>IFERROR(T430/F430, 0)</f>
      </c>
      <c r="X430" s="23">
        <f>IFERROR(V430/W430, 0)</f>
      </c>
    </row>
    <row r="431" spans="1:24" x14ac:dyDescent="0.25">
      <c r="A431" s="8" t="s">
        <v>472</v>
      </c>
      <c r="B431" s="8" t="s">
        <v>473</v>
      </c>
      <c r="C431" s="8" t="s">
        <v>24</v>
      </c>
      <c r="D431" s="8" t="s">
        <v>474</v>
      </c>
      <c r="E431" s="9">
        <v>395.74</v>
      </c>
      <c r="F431" s="9">
        <v>352.55</v>
      </c>
      <c r="G431" s="10">
        <v>22730</v>
      </c>
      <c r="H431" s="10">
        <v>10543.83888888889</v>
      </c>
      <c r="I431" s="11">
        <f>IFERROR(G431/H431, 0)</f>
      </c>
      <c r="J431" s="10">
        <v>30.32</v>
      </c>
      <c r="K431" s="10">
        <v>16</v>
      </c>
      <c r="L431" s="10">
        <v>22300</v>
      </c>
      <c r="M431" s="12">
        <f>IFERROR(L431/K431, 0)</f>
      </c>
      <c r="N431" s="13">
        <f>IFERROR(J431/K431, 0)</f>
      </c>
      <c r="O431" s="10">
        <v>10880</v>
      </c>
      <c r="P431" s="10">
        <v>128790</v>
      </c>
      <c r="Q431" s="10">
        <v>115982.22777777778</v>
      </c>
      <c r="R431" s="11">
        <f>IFERROR(P431/Q431, 0)</f>
      </c>
      <c r="S431" s="10">
        <v>2036810</v>
      </c>
      <c r="T431" s="10">
        <v>1314650.2377777777</v>
      </c>
      <c r="U431" s="11">
        <f>IFERROR(S431/T431, 0)</f>
      </c>
      <c r="V431" s="10">
        <f>IFERROR(S431/E431, 0)</f>
      </c>
      <c r="W431" s="10">
        <f>IFERROR(T431/F431, 0)</f>
      </c>
      <c r="X431" s="11">
        <f>IFERROR(V431/W431, 0)</f>
      </c>
    </row>
    <row r="432" spans="1:24" x14ac:dyDescent="0.25">
      <c r="A432" s="8" t="s">
        <v>472</v>
      </c>
      <c r="B432" s="8" t="s">
        <v>473</v>
      </c>
      <c r="C432" s="8" t="s">
        <v>24</v>
      </c>
      <c r="D432" s="8" t="s">
        <v>475</v>
      </c>
      <c r="E432" s="9">
        <v>275.43</v>
      </c>
      <c r="F432" s="9">
        <v>882.18</v>
      </c>
      <c r="G432" s="10">
        <v>0</v>
      </c>
      <c r="H432" s="10">
        <v>26383.843703703704</v>
      </c>
      <c r="I432" s="11">
        <f>IFERROR(G432/H432, 0)</f>
      </c>
      <c r="J432" s="10">
        <v>0</v>
      </c>
      <c r="K432" s="10">
        <v>0</v>
      </c>
      <c r="L432" s="10">
        <v>0</v>
      </c>
      <c r="M432" s="12">
        <f>IFERROR(L432/K432, 0)</f>
      </c>
      <c r="N432" s="13">
        <f>IFERROR(J432/K432, 0)</f>
      </c>
      <c r="O432" s="10">
        <v>0</v>
      </c>
      <c r="P432" s="10">
        <v>46528</v>
      </c>
      <c r="Q432" s="10">
        <v>290222.28074074077</v>
      </c>
      <c r="R432" s="11">
        <f>IFERROR(P432/Q432, 0)</f>
      </c>
      <c r="S432" s="10">
        <v>1400150</v>
      </c>
      <c r="T432" s="10">
        <v>3289648.730740741</v>
      </c>
      <c r="U432" s="11">
        <f>IFERROR(S432/T432, 0)</f>
      </c>
      <c r="V432" s="10">
        <f>IFERROR(S432/E432, 0)</f>
      </c>
      <c r="W432" s="10">
        <f>IFERROR(T432/F432, 0)</f>
      </c>
      <c r="X432" s="11">
        <f>IFERROR(V432/W432, 0)</f>
      </c>
    </row>
    <row r="433" spans="1:24" x14ac:dyDescent="0.25">
      <c r="A433" s="8" t="s">
        <v>472</v>
      </c>
      <c r="B433" s="8" t="s">
        <v>473</v>
      </c>
      <c r="C433" s="8" t="s">
        <v>24</v>
      </c>
      <c r="D433" s="8" t="s">
        <v>476</v>
      </c>
      <c r="E433" s="9">
        <v>371</v>
      </c>
      <c r="F433" s="9">
        <v>0</v>
      </c>
      <c r="G433" s="10">
        <v>16940</v>
      </c>
      <c r="H433" s="10">
        <v>0</v>
      </c>
      <c r="I433" s="11">
        <f>IFERROR(G433/H433, 0)</f>
      </c>
      <c r="J433" s="10">
        <v>31.25</v>
      </c>
      <c r="K433" s="10">
        <v>10</v>
      </c>
      <c r="L433" s="10">
        <v>16940</v>
      </c>
      <c r="M433" s="12">
        <f>IFERROR(L433/K433, 0)</f>
      </c>
      <c r="N433" s="13">
        <f>IFERROR(J433/K433, 0)</f>
      </c>
      <c r="O433" s="10">
        <v>0</v>
      </c>
      <c r="P433" s="10">
        <v>177860</v>
      </c>
      <c r="Q433" s="10">
        <v>0</v>
      </c>
      <c r="R433" s="11">
        <f>IFERROR(P433/Q433, 0)</f>
      </c>
      <c r="S433" s="10">
        <v>2045300</v>
      </c>
      <c r="T433" s="10">
        <v>0</v>
      </c>
      <c r="U433" s="11">
        <f>IFERROR(S433/T433, 0)</f>
      </c>
      <c r="V433" s="10">
        <f>IFERROR(S433/E433, 0)</f>
      </c>
      <c r="W433" s="10">
        <f>IFERROR(T433/F433, 0)</f>
      </c>
      <c r="X433" s="11">
        <f>IFERROR(V433/W433, 0)</f>
      </c>
    </row>
    <row r="434" spans="1:24" x14ac:dyDescent="0.25">
      <c r="A434" s="8" t="s">
        <v>472</v>
      </c>
      <c r="B434" s="8" t="s">
        <v>473</v>
      </c>
      <c r="C434" s="8" t="s">
        <v>24</v>
      </c>
      <c r="D434" s="8" t="s">
        <v>477</v>
      </c>
      <c r="E434" s="9">
        <v>35.89</v>
      </c>
      <c r="F434" s="9">
        <v>252.47</v>
      </c>
      <c r="G434" s="10">
        <v>0</v>
      </c>
      <c r="H434" s="10">
        <v>7550.634444444445</v>
      </c>
      <c r="I434" s="11">
        <f>IFERROR(G434/H434, 0)</f>
      </c>
      <c r="J434" s="10">
        <v>0</v>
      </c>
      <c r="K434" s="10">
        <v>0</v>
      </c>
      <c r="L434" s="10">
        <v>0</v>
      </c>
      <c r="M434" s="12">
        <f>IFERROR(L434/K434, 0)</f>
      </c>
      <c r="N434" s="13">
        <f>IFERROR(J434/K434, 0)</f>
      </c>
      <c r="O434" s="10">
        <v>0</v>
      </c>
      <c r="P434" s="10">
        <v>0</v>
      </c>
      <c r="Q434" s="10">
        <v>83056.97888888889</v>
      </c>
      <c r="R434" s="11">
        <f>IFERROR(P434/Q434, 0)</f>
      </c>
      <c r="S434" s="10">
        <v>42782</v>
      </c>
      <c r="T434" s="10">
        <v>941444.8788888889</v>
      </c>
      <c r="U434" s="11">
        <f>IFERROR(S434/T434, 0)</f>
      </c>
      <c r="V434" s="10">
        <f>IFERROR(S434/E434, 0)</f>
      </c>
      <c r="W434" s="10">
        <f>IFERROR(T434/F434, 0)</f>
      </c>
      <c r="X434" s="11">
        <f>IFERROR(V434/W434, 0)</f>
      </c>
    </row>
    <row r="435" spans="1:24" x14ac:dyDescent="0.25">
      <c r="A435" s="8" t="s">
        <v>472</v>
      </c>
      <c r="B435" s="8" t="s">
        <v>473</v>
      </c>
      <c r="C435" s="8" t="s">
        <v>24</v>
      </c>
      <c r="D435" s="8" t="s">
        <v>478</v>
      </c>
      <c r="E435" s="9">
        <v>284.77</v>
      </c>
      <c r="F435" s="9">
        <v>443.07</v>
      </c>
      <c r="G435" s="10">
        <v>3020</v>
      </c>
      <c r="H435" s="10">
        <v>13250.98074074074</v>
      </c>
      <c r="I435" s="11">
        <f>IFERROR(G435/H435, 0)</f>
      </c>
      <c r="J435" s="10">
        <v>10</v>
      </c>
      <c r="K435" s="10">
        <v>5</v>
      </c>
      <c r="L435" s="10">
        <v>3020</v>
      </c>
      <c r="M435" s="12">
        <f>IFERROR(L435/K435, 0)</f>
      </c>
      <c r="N435" s="13">
        <f>IFERROR(J435/K435, 0)</f>
      </c>
      <c r="O435" s="10">
        <v>0</v>
      </c>
      <c r="P435" s="10">
        <v>3020</v>
      </c>
      <c r="Q435" s="10">
        <v>145760.78814814816</v>
      </c>
      <c r="R435" s="11">
        <f>IFERROR(P435/Q435, 0)</f>
      </c>
      <c r="S435" s="10">
        <v>573713</v>
      </c>
      <c r="T435" s="10">
        <v>1652188.0581481482</v>
      </c>
      <c r="U435" s="11">
        <f>IFERROR(S435/T435, 0)</f>
      </c>
      <c r="V435" s="10">
        <f>IFERROR(S435/E435, 0)</f>
      </c>
      <c r="W435" s="10">
        <f>IFERROR(T435/F435, 0)</f>
      </c>
      <c r="X435" s="11">
        <f>IFERROR(V435/W435, 0)</f>
      </c>
    </row>
    <row r="436" spans="1:24" x14ac:dyDescent="0.25">
      <c r="A436" s="8" t="s">
        <v>472</v>
      </c>
      <c r="B436" s="8" t="s">
        <v>473</v>
      </c>
      <c r="C436" s="8" t="s">
        <v>24</v>
      </c>
      <c r="D436" s="8" t="s">
        <v>479</v>
      </c>
      <c r="E436" s="9">
        <v>0</v>
      </c>
      <c r="F436" s="9">
        <v>1029.2</v>
      </c>
      <c r="G436" s="10">
        <v>0</v>
      </c>
      <c r="H436" s="10">
        <v>30780.66925925926</v>
      </c>
      <c r="I436" s="11">
        <f>IFERROR(G436/H436, 0)</f>
      </c>
      <c r="J436" s="10">
        <v>0</v>
      </c>
      <c r="K436" s="10">
        <v>0</v>
      </c>
      <c r="L436" s="10">
        <v>0</v>
      </c>
      <c r="M436" s="12">
        <f>IFERROR(L436/K436, 0)</f>
      </c>
      <c r="N436" s="13">
        <f>IFERROR(J436/K436, 0)</f>
      </c>
      <c r="O436" s="10">
        <v>0</v>
      </c>
      <c r="P436" s="10">
        <v>0</v>
      </c>
      <c r="Q436" s="10">
        <v>338587.36185185186</v>
      </c>
      <c r="R436" s="11">
        <f>IFERROR(P436/Q436, 0)</f>
      </c>
      <c r="S436" s="10">
        <v>0</v>
      </c>
      <c r="T436" s="10">
        <v>3837863.421851852</v>
      </c>
      <c r="U436" s="11">
        <f>IFERROR(S436/T436, 0)</f>
      </c>
      <c r="V436" s="10">
        <f>IFERROR(S436/E436, 0)</f>
      </c>
      <c r="W436" s="10">
        <f>IFERROR(T436/F436, 0)</f>
      </c>
      <c r="X436" s="11">
        <f>IFERROR(V436/W436, 0)</f>
      </c>
    </row>
    <row r="437" spans="1:24" x14ac:dyDescent="0.25">
      <c r="A437" s="8" t="s">
        <v>472</v>
      </c>
      <c r="B437" s="8" t="s">
        <v>473</v>
      </c>
      <c r="C437" s="8" t="s">
        <v>24</v>
      </c>
      <c r="D437" s="8" t="s">
        <v>480</v>
      </c>
      <c r="E437" s="9">
        <v>3409.23</v>
      </c>
      <c r="F437" s="9">
        <v>4182.08</v>
      </c>
      <c r="G437" s="10">
        <v>61270</v>
      </c>
      <c r="H437" s="10">
        <v>125075.06592592593</v>
      </c>
      <c r="I437" s="11">
        <f>IFERROR(G437/H437, 0)</f>
      </c>
      <c r="J437" s="10">
        <v>125.38</v>
      </c>
      <c r="K437" s="10">
        <v>41</v>
      </c>
      <c r="L437" s="10">
        <v>61270</v>
      </c>
      <c r="M437" s="12">
        <f>IFERROR(L437/K437, 0)</f>
      </c>
      <c r="N437" s="13">
        <f>IFERROR(J437/K437, 0)</f>
      </c>
      <c r="O437" s="10">
        <v>0</v>
      </c>
      <c r="P437" s="10">
        <v>903210</v>
      </c>
      <c r="Q437" s="10">
        <v>1375825.7251851852</v>
      </c>
      <c r="R437" s="11">
        <f>IFERROR(P437/Q437, 0)</f>
      </c>
      <c r="S437" s="10">
        <v>17196820</v>
      </c>
      <c r="T437" s="10">
        <v>15594885.875185186</v>
      </c>
      <c r="U437" s="11">
        <f>IFERROR(S437/T437, 0)</f>
      </c>
      <c r="V437" s="10">
        <f>IFERROR(S437/E437, 0)</f>
      </c>
      <c r="W437" s="10">
        <f>IFERROR(T437/F437, 0)</f>
      </c>
      <c r="X437" s="11">
        <f>IFERROR(V437/W437, 0)</f>
      </c>
    </row>
    <row r="438" spans="1:24" x14ac:dyDescent="0.25">
      <c r="A438" s="14" t="s">
        <v>481</v>
      </c>
      <c r="B438" s="14"/>
      <c r="C438" s="14"/>
      <c r="D438" s="14"/>
      <c r="E438" s="15">
        <f>SUM(E431:E437)</f>
      </c>
      <c r="F438" s="15">
        <f>SUM(F431:F437)</f>
      </c>
      <c r="G438" s="16">
        <f>SUM(G431:G437)</f>
      </c>
      <c r="H438" s="16">
        <f>SUM(H431:H437)</f>
      </c>
      <c r="I438" s="17">
        <f>IFERROR(G438/H438, 0)</f>
      </c>
      <c r="J438" s="16">
        <f>SUM(J431:J437)</f>
      </c>
      <c r="K438" s="16">
        <f>SUM(K431:K437)</f>
      </c>
      <c r="L438" s="16">
        <f>SUM(L431:L437)</f>
      </c>
      <c r="M438" s="18">
        <f>IFERROR(L438/K438, 0)</f>
      </c>
      <c r="N438" s="19">
        <f>IFERROR(J438/K438, 0)</f>
      </c>
      <c r="O438" s="16">
        <f>SUM(O431:O437)</f>
      </c>
      <c r="P438" s="16">
        <f>SUM(P431:P437)</f>
      </c>
      <c r="Q438" s="16">
        <f>SUM(Q431:Q437)</f>
      </c>
      <c r="R438" s="17">
        <f>IFERROR(P438/Q438, 0)</f>
      </c>
      <c r="S438" s="16">
        <f>SUM(S431:S437)</f>
      </c>
      <c r="T438" s="16">
        <f>SUM(T431:T437)</f>
      </c>
      <c r="U438" s="17">
        <f>IFERROR(S438/T438, 0)</f>
      </c>
      <c r="V438" s="16">
        <f>IFERROR(S438/E438, 0)</f>
      </c>
      <c r="W438" s="16">
        <f>IFERROR(T438/F438, 0)</f>
      </c>
      <c r="X438" s="17">
        <f>IFERROR(V438/W438, 0)</f>
      </c>
    </row>
    <row r="439" spans="1:24" x14ac:dyDescent="0.25">
      <c r="A439" s="8" t="s">
        <v>472</v>
      </c>
      <c r="B439" s="8" t="s">
        <v>482</v>
      </c>
      <c r="C439" s="8" t="s">
        <v>24</v>
      </c>
      <c r="D439" s="8" t="s">
        <v>483</v>
      </c>
      <c r="E439" s="9">
        <v>0</v>
      </c>
      <c r="F439" s="9">
        <v>5272.88</v>
      </c>
      <c r="G439" s="10">
        <v>0</v>
      </c>
      <c r="H439" s="10">
        <v>157698.23777777777</v>
      </c>
      <c r="I439" s="11">
        <f>IFERROR(G439/H439, 0)</f>
      </c>
      <c r="J439" s="10">
        <v>0</v>
      </c>
      <c r="K439" s="10">
        <v>0</v>
      </c>
      <c r="L439" s="10">
        <v>0</v>
      </c>
      <c r="M439" s="12">
        <f>IFERROR(L439/K439, 0)</f>
      </c>
      <c r="N439" s="13">
        <f>IFERROR(J439/K439, 0)</f>
      </c>
      <c r="O439" s="10">
        <v>0</v>
      </c>
      <c r="P439" s="10">
        <v>0</v>
      </c>
      <c r="Q439" s="10">
        <v>1734680.6155555556</v>
      </c>
      <c r="R439" s="11">
        <f>IFERROR(P439/Q439, 0)</f>
      </c>
      <c r="S439" s="10">
        <v>0</v>
      </c>
      <c r="T439" s="10">
        <v>19662480.255555555</v>
      </c>
      <c r="U439" s="11">
        <f>IFERROR(S439/T439, 0)</f>
      </c>
      <c r="V439" s="10">
        <f>IFERROR(S439/E439, 0)</f>
      </c>
      <c r="W439" s="10">
        <f>IFERROR(T439/F439, 0)</f>
      </c>
      <c r="X439" s="11">
        <f>IFERROR(V439/W439, 0)</f>
      </c>
    </row>
    <row r="440" spans="1:24" x14ac:dyDescent="0.25">
      <c r="A440" s="8" t="s">
        <v>472</v>
      </c>
      <c r="B440" s="8" t="s">
        <v>482</v>
      </c>
      <c r="C440" s="8" t="s">
        <v>24</v>
      </c>
      <c r="D440" s="8" t="s">
        <v>484</v>
      </c>
      <c r="E440" s="9">
        <v>221</v>
      </c>
      <c r="F440" s="9">
        <v>870.96</v>
      </c>
      <c r="G440" s="10">
        <v>7980</v>
      </c>
      <c r="H440" s="10">
        <v>26048.175925925927</v>
      </c>
      <c r="I440" s="11">
        <f>IFERROR(G440/H440, 0)</f>
      </c>
      <c r="J440" s="10">
        <v>15</v>
      </c>
      <c r="K440" s="10">
        <v>6</v>
      </c>
      <c r="L440" s="10">
        <v>7980</v>
      </c>
      <c r="M440" s="12">
        <f>IFERROR(L440/K440, 0)</f>
      </c>
      <c r="N440" s="13">
        <f>IFERROR(J440/K440, 0)</f>
      </c>
      <c r="O440" s="10">
        <v>0</v>
      </c>
      <c r="P440" s="10">
        <v>124091</v>
      </c>
      <c r="Q440" s="10">
        <v>286529.93518518517</v>
      </c>
      <c r="R440" s="11">
        <f>IFERROR(P440/Q440, 0)</f>
      </c>
      <c r="S440" s="10">
        <v>1073292</v>
      </c>
      <c r="T440" s="10">
        <v>3247796.255185185</v>
      </c>
      <c r="U440" s="11">
        <f>IFERROR(S440/T440, 0)</f>
      </c>
      <c r="V440" s="10">
        <f>IFERROR(S440/E440, 0)</f>
      </c>
      <c r="W440" s="10">
        <f>IFERROR(T440/F440, 0)</f>
      </c>
      <c r="X440" s="11">
        <f>IFERROR(V440/W440, 0)</f>
      </c>
    </row>
    <row r="441" spans="1:24" x14ac:dyDescent="0.25">
      <c r="A441" s="8" t="s">
        <v>472</v>
      </c>
      <c r="B441" s="8" t="s">
        <v>482</v>
      </c>
      <c r="C441" s="8" t="s">
        <v>24</v>
      </c>
      <c r="D441" s="8" t="s">
        <v>485</v>
      </c>
      <c r="E441" s="9">
        <v>0</v>
      </c>
      <c r="F441" s="9">
        <v>399.84</v>
      </c>
      <c r="G441" s="10">
        <v>0</v>
      </c>
      <c r="H441" s="10">
        <v>11958.137037037037</v>
      </c>
      <c r="I441" s="11">
        <f>IFERROR(G441/H441, 0)</f>
      </c>
      <c r="J441" s="10">
        <v>0</v>
      </c>
      <c r="K441" s="10">
        <v>0</v>
      </c>
      <c r="L441" s="10">
        <v>0</v>
      </c>
      <c r="M441" s="12">
        <f>IFERROR(L441/K441, 0)</f>
      </c>
      <c r="N441" s="13">
        <f>IFERROR(J441/K441, 0)</f>
      </c>
      <c r="O441" s="10">
        <v>0</v>
      </c>
      <c r="P441" s="10">
        <v>0</v>
      </c>
      <c r="Q441" s="10">
        <v>131539.5074074074</v>
      </c>
      <c r="R441" s="11">
        <f>IFERROR(P441/Q441, 0)</f>
      </c>
      <c r="S441" s="10">
        <v>0</v>
      </c>
      <c r="T441" s="10">
        <v>1490990.8774074074</v>
      </c>
      <c r="U441" s="11">
        <f>IFERROR(S441/T441, 0)</f>
      </c>
      <c r="V441" s="10">
        <f>IFERROR(S441/E441, 0)</f>
      </c>
      <c r="W441" s="10">
        <f>IFERROR(T441/F441, 0)</f>
      </c>
      <c r="X441" s="11">
        <f>IFERROR(V441/W441, 0)</f>
      </c>
    </row>
    <row r="442" spans="1:24" x14ac:dyDescent="0.25">
      <c r="A442" s="8" t="s">
        <v>472</v>
      </c>
      <c r="B442" s="8" t="s">
        <v>482</v>
      </c>
      <c r="C442" s="8" t="s">
        <v>24</v>
      </c>
      <c r="D442" s="8" t="s">
        <v>486</v>
      </c>
      <c r="E442" s="9">
        <v>0</v>
      </c>
      <c r="F442" s="9">
        <v>864.27</v>
      </c>
      <c r="G442" s="10">
        <v>0</v>
      </c>
      <c r="H442" s="10">
        <v>25847.976666666666</v>
      </c>
      <c r="I442" s="11">
        <f>IFERROR(G442/H442, 0)</f>
      </c>
      <c r="J442" s="10">
        <v>0</v>
      </c>
      <c r="K442" s="10">
        <v>0</v>
      </c>
      <c r="L442" s="10">
        <v>0</v>
      </c>
      <c r="M442" s="12">
        <f>IFERROR(L442/K442, 0)</f>
      </c>
      <c r="N442" s="13">
        <f>IFERROR(J442/K442, 0)</f>
      </c>
      <c r="O442" s="10">
        <v>0</v>
      </c>
      <c r="P442" s="10">
        <v>0</v>
      </c>
      <c r="Q442" s="10">
        <v>284327.74333333335</v>
      </c>
      <c r="R442" s="11">
        <f>IFERROR(P442/Q442, 0)</f>
      </c>
      <c r="S442" s="10">
        <v>0</v>
      </c>
      <c r="T442" s="10">
        <v>3222834.553333333</v>
      </c>
      <c r="U442" s="11">
        <f>IFERROR(S442/T442, 0)</f>
      </c>
      <c r="V442" s="10">
        <f>IFERROR(S442/E442, 0)</f>
      </c>
      <c r="W442" s="10">
        <f>IFERROR(T442/F442, 0)</f>
      </c>
      <c r="X442" s="11">
        <f>IFERROR(V442/W442, 0)</f>
      </c>
    </row>
    <row r="443" spans="1:24" x14ac:dyDescent="0.25">
      <c r="A443" s="8" t="s">
        <v>472</v>
      </c>
      <c r="B443" s="8" t="s">
        <v>482</v>
      </c>
      <c r="C443" s="8" t="s">
        <v>24</v>
      </c>
      <c r="D443" s="8" t="s">
        <v>487</v>
      </c>
      <c r="E443" s="9">
        <v>441.38</v>
      </c>
      <c r="F443" s="9">
        <v>398.59</v>
      </c>
      <c r="G443" s="10">
        <v>18460</v>
      </c>
      <c r="H443" s="10">
        <v>11920.766296296297</v>
      </c>
      <c r="I443" s="11">
        <f>IFERROR(G443/H443, 0)</f>
      </c>
      <c r="J443" s="10">
        <v>49.1</v>
      </c>
      <c r="K443" s="10">
        <v>16</v>
      </c>
      <c r="L443" s="10">
        <v>18460</v>
      </c>
      <c r="M443" s="12">
        <f>IFERROR(L443/K443, 0)</f>
      </c>
      <c r="N443" s="13">
        <f>IFERROR(J443/K443, 0)</f>
      </c>
      <c r="O443" s="10">
        <v>0</v>
      </c>
      <c r="P443" s="10">
        <v>97460</v>
      </c>
      <c r="Q443" s="10">
        <v>131128.42925925925</v>
      </c>
      <c r="R443" s="11">
        <f>IFERROR(P443/Q443, 0)</f>
      </c>
      <c r="S443" s="10">
        <v>1489683</v>
      </c>
      <c r="T443" s="10">
        <v>1486331.3492592592</v>
      </c>
      <c r="U443" s="11">
        <f>IFERROR(S443/T443, 0)</f>
      </c>
      <c r="V443" s="10">
        <f>IFERROR(S443/E443, 0)</f>
      </c>
      <c r="W443" s="10">
        <f>IFERROR(T443/F443, 0)</f>
      </c>
      <c r="X443" s="11">
        <f>IFERROR(V443/W443, 0)</f>
      </c>
    </row>
    <row r="444" spans="1:24" x14ac:dyDescent="0.25">
      <c r="A444" s="8" t="s">
        <v>472</v>
      </c>
      <c r="B444" s="8" t="s">
        <v>482</v>
      </c>
      <c r="C444" s="8" t="s">
        <v>24</v>
      </c>
      <c r="D444" s="8" t="s">
        <v>488</v>
      </c>
      <c r="E444" s="9">
        <v>129.81</v>
      </c>
      <c r="F444" s="9">
        <v>96.55</v>
      </c>
      <c r="G444" s="10">
        <v>2150</v>
      </c>
      <c r="H444" s="10">
        <v>2887.5437037037036</v>
      </c>
      <c r="I444" s="11">
        <f>IFERROR(G444/H444, 0)</f>
      </c>
      <c r="J444" s="10">
        <v>20</v>
      </c>
      <c r="K444" s="10">
        <v>4</v>
      </c>
      <c r="L444" s="10">
        <v>2150</v>
      </c>
      <c r="M444" s="12">
        <f>IFERROR(L444/K444, 0)</f>
      </c>
      <c r="N444" s="13">
        <f>IFERROR(J444/K444, 0)</f>
      </c>
      <c r="O444" s="10">
        <v>0</v>
      </c>
      <c r="P444" s="10">
        <v>11050</v>
      </c>
      <c r="Q444" s="10">
        <v>31762.980740740742</v>
      </c>
      <c r="R444" s="11">
        <f>IFERROR(P444/Q444, 0)</f>
      </c>
      <c r="S444" s="10">
        <v>92650</v>
      </c>
      <c r="T444" s="10">
        <v>360031.1107407407</v>
      </c>
      <c r="U444" s="11">
        <f>IFERROR(S444/T444, 0)</f>
      </c>
      <c r="V444" s="10">
        <f>IFERROR(S444/E444, 0)</f>
      </c>
      <c r="W444" s="10">
        <f>IFERROR(T444/F444, 0)</f>
      </c>
      <c r="X444" s="11">
        <f>IFERROR(V444/W444, 0)</f>
      </c>
    </row>
    <row r="445" spans="1:24" x14ac:dyDescent="0.25">
      <c r="A445" s="8" t="s">
        <v>472</v>
      </c>
      <c r="B445" s="8" t="s">
        <v>482</v>
      </c>
      <c r="C445" s="8" t="s">
        <v>24</v>
      </c>
      <c r="D445" s="8" t="s">
        <v>489</v>
      </c>
      <c r="E445" s="9">
        <v>1009.79</v>
      </c>
      <c r="F445" s="9">
        <v>1009.79</v>
      </c>
      <c r="G445" s="10">
        <v>27377</v>
      </c>
      <c r="H445" s="10">
        <v>30200.312962962962</v>
      </c>
      <c r="I445" s="11">
        <f>IFERROR(G445/H445, 0)</f>
      </c>
      <c r="J445" s="10">
        <v>65</v>
      </c>
      <c r="K445" s="10">
        <v>31</v>
      </c>
      <c r="L445" s="10">
        <v>27377</v>
      </c>
      <c r="M445" s="12">
        <f>IFERROR(L445/K445, 0)</f>
      </c>
      <c r="N445" s="13">
        <f>IFERROR(J445/K445, 0)</f>
      </c>
      <c r="O445" s="10">
        <v>0</v>
      </c>
      <c r="P445" s="10">
        <v>341912</v>
      </c>
      <c r="Q445" s="10">
        <v>332203.4425925926</v>
      </c>
      <c r="R445" s="11">
        <f>IFERROR(P445/Q445, 0)</f>
      </c>
      <c r="S445" s="10">
        <v>2229290</v>
      </c>
      <c r="T445" s="10">
        <v>3765502.1825925927</v>
      </c>
      <c r="U445" s="11">
        <f>IFERROR(S445/T445, 0)</f>
      </c>
      <c r="V445" s="10">
        <f>IFERROR(S445/E445, 0)</f>
      </c>
      <c r="W445" s="10">
        <f>IFERROR(T445/F445, 0)</f>
      </c>
      <c r="X445" s="11">
        <f>IFERROR(V445/W445, 0)</f>
      </c>
    </row>
    <row r="446" spans="1:24" x14ac:dyDescent="0.25">
      <c r="A446" s="8" t="s">
        <v>472</v>
      </c>
      <c r="B446" s="8" t="s">
        <v>482</v>
      </c>
      <c r="C446" s="8" t="s">
        <v>24</v>
      </c>
      <c r="D446" s="8" t="s">
        <v>490</v>
      </c>
      <c r="E446" s="9">
        <v>8</v>
      </c>
      <c r="F446" s="9">
        <v>47.76</v>
      </c>
      <c r="G446" s="10">
        <v>0</v>
      </c>
      <c r="H446" s="10">
        <v>1428.3118518518518</v>
      </c>
      <c r="I446" s="11">
        <f>IFERROR(G446/H446, 0)</f>
      </c>
      <c r="J446" s="10">
        <v>0</v>
      </c>
      <c r="K446" s="10">
        <v>0</v>
      </c>
      <c r="L446" s="10">
        <v>0</v>
      </c>
      <c r="M446" s="12">
        <f>IFERROR(L446/K446, 0)</f>
      </c>
      <c r="N446" s="13">
        <f>IFERROR(J446/K446, 0)</f>
      </c>
      <c r="O446" s="10">
        <v>0</v>
      </c>
      <c r="P446" s="10">
        <v>0</v>
      </c>
      <c r="Q446" s="10">
        <v>15711.43037037037</v>
      </c>
      <c r="R446" s="11">
        <f>IFERROR(P446/Q446, 0)</f>
      </c>
      <c r="S446" s="10">
        <v>20610</v>
      </c>
      <c r="T446" s="10">
        <v>178087.96037037036</v>
      </c>
      <c r="U446" s="11">
        <f>IFERROR(S446/T446, 0)</f>
      </c>
      <c r="V446" s="10">
        <f>IFERROR(S446/E446, 0)</f>
      </c>
      <c r="W446" s="10">
        <f>IFERROR(T446/F446, 0)</f>
      </c>
      <c r="X446" s="11">
        <f>IFERROR(V446/W446, 0)</f>
      </c>
    </row>
    <row r="447" spans="1:24" x14ac:dyDescent="0.25">
      <c r="A447" s="8" t="s">
        <v>472</v>
      </c>
      <c r="B447" s="8" t="s">
        <v>482</v>
      </c>
      <c r="C447" s="8" t="s">
        <v>24</v>
      </c>
      <c r="D447" s="8" t="s">
        <v>491</v>
      </c>
      <c r="E447" s="9">
        <v>585</v>
      </c>
      <c r="F447" s="9">
        <v>536</v>
      </c>
      <c r="G447" s="10">
        <v>0</v>
      </c>
      <c r="H447" s="10">
        <v>16030.416666666668</v>
      </c>
      <c r="I447" s="11">
        <f>IFERROR(G447/H447, 0)</f>
      </c>
      <c r="J447" s="10">
        <v>15</v>
      </c>
      <c r="K447" s="10">
        <v>12</v>
      </c>
      <c r="L447" s="10">
        <v>13224</v>
      </c>
      <c r="M447" s="12">
        <f>IFERROR(L447/K447, 0)</f>
      </c>
      <c r="N447" s="13">
        <f>IFERROR(J447/K447, 0)</f>
      </c>
      <c r="O447" s="10">
        <v>13224</v>
      </c>
      <c r="P447" s="10">
        <v>66360</v>
      </c>
      <c r="Q447" s="10">
        <v>176334.58333333334</v>
      </c>
      <c r="R447" s="11">
        <f>IFERROR(P447/Q447, 0)</f>
      </c>
      <c r="S447" s="10">
        <v>692314</v>
      </c>
      <c r="T447" s="10">
        <v>1998739.8533333333</v>
      </c>
      <c r="U447" s="11">
        <f>IFERROR(S447/T447, 0)</f>
      </c>
      <c r="V447" s="10">
        <f>IFERROR(S447/E447, 0)</f>
      </c>
      <c r="W447" s="10">
        <f>IFERROR(T447/F447, 0)</f>
      </c>
      <c r="X447" s="11">
        <f>IFERROR(V447/W447, 0)</f>
      </c>
    </row>
    <row r="448" spans="1:24" x14ac:dyDescent="0.25">
      <c r="A448" s="8" t="s">
        <v>472</v>
      </c>
      <c r="B448" s="8" t="s">
        <v>482</v>
      </c>
      <c r="C448" s="8" t="s">
        <v>24</v>
      </c>
      <c r="D448" s="8" t="s">
        <v>492</v>
      </c>
      <c r="E448" s="9">
        <v>445.04</v>
      </c>
      <c r="F448" s="9">
        <v>348.13</v>
      </c>
      <c r="G448" s="10">
        <v>10720</v>
      </c>
      <c r="H448" s="10">
        <v>10411.707407407406</v>
      </c>
      <c r="I448" s="11">
        <f>IFERROR(G448/H448, 0)</f>
      </c>
      <c r="J448" s="10">
        <v>34.69</v>
      </c>
      <c r="K448" s="10">
        <v>10</v>
      </c>
      <c r="L448" s="10">
        <v>10720</v>
      </c>
      <c r="M448" s="12">
        <f>IFERROR(L448/K448, 0)</f>
      </c>
      <c r="N448" s="13">
        <f>IFERROR(J448/K448, 0)</f>
      </c>
      <c r="O448" s="10">
        <v>0</v>
      </c>
      <c r="P448" s="10">
        <v>90900</v>
      </c>
      <c r="Q448" s="10">
        <v>114528.78148148148</v>
      </c>
      <c r="R448" s="11">
        <f>IFERROR(P448/Q448, 0)</f>
      </c>
      <c r="S448" s="10">
        <v>542505</v>
      </c>
      <c r="T448" s="10">
        <v>1298175.5014814814</v>
      </c>
      <c r="U448" s="11">
        <f>IFERROR(S448/T448, 0)</f>
      </c>
      <c r="V448" s="10">
        <f>IFERROR(S448/E448, 0)</f>
      </c>
      <c r="W448" s="10">
        <f>IFERROR(T448/F448, 0)</f>
      </c>
      <c r="X448" s="11">
        <f>IFERROR(V448/W448, 0)</f>
      </c>
    </row>
    <row r="449" spans="1:24" x14ac:dyDescent="0.25">
      <c r="A449" s="8" t="s">
        <v>472</v>
      </c>
      <c r="B449" s="8" t="s">
        <v>482</v>
      </c>
      <c r="C449" s="8" t="s">
        <v>24</v>
      </c>
      <c r="D449" s="8" t="s">
        <v>493</v>
      </c>
      <c r="E449" s="9">
        <v>1.06</v>
      </c>
      <c r="F449" s="9">
        <v>0.79</v>
      </c>
      <c r="G449" s="10">
        <v>0</v>
      </c>
      <c r="H449" s="10">
        <v>23.57888888888889</v>
      </c>
      <c r="I449" s="11">
        <f>IFERROR(G449/H449, 0)</f>
      </c>
      <c r="J449" s="10">
        <v>0</v>
      </c>
      <c r="K449" s="10">
        <v>0</v>
      </c>
      <c r="L449" s="10">
        <v>0</v>
      </c>
      <c r="M449" s="12">
        <f>IFERROR(L449/K449, 0)</f>
      </c>
      <c r="N449" s="13">
        <f>IFERROR(J449/K449, 0)</f>
      </c>
      <c r="O449" s="10">
        <v>0</v>
      </c>
      <c r="P449" s="10">
        <v>0</v>
      </c>
      <c r="Q449" s="10">
        <v>259.3677777777778</v>
      </c>
      <c r="R449" s="11">
        <f>IFERROR(P449/Q449, 0)</f>
      </c>
      <c r="S449" s="10">
        <v>0</v>
      </c>
      <c r="T449" s="10">
        <v>2939.9377777777777</v>
      </c>
      <c r="U449" s="11">
        <f>IFERROR(S449/T449, 0)</f>
      </c>
      <c r="V449" s="10">
        <f>IFERROR(S449/E449, 0)</f>
      </c>
      <c r="W449" s="10">
        <f>IFERROR(T449/F449, 0)</f>
      </c>
      <c r="X449" s="11">
        <f>IFERROR(V449/W449, 0)</f>
      </c>
    </row>
    <row r="450" spans="1:24" x14ac:dyDescent="0.25">
      <c r="A450" s="8" t="s">
        <v>472</v>
      </c>
      <c r="B450" s="8" t="s">
        <v>482</v>
      </c>
      <c r="C450" s="8" t="s">
        <v>24</v>
      </c>
      <c r="D450" s="8" t="s">
        <v>494</v>
      </c>
      <c r="E450" s="9">
        <v>9.3</v>
      </c>
      <c r="F450" s="9">
        <v>18.67</v>
      </c>
      <c r="G450" s="10">
        <v>0</v>
      </c>
      <c r="H450" s="10">
        <v>558.3340740740741</v>
      </c>
      <c r="I450" s="11">
        <f>IFERROR(G450/H450, 0)</f>
      </c>
      <c r="J450" s="10">
        <v>0</v>
      </c>
      <c r="K450" s="10">
        <v>0</v>
      </c>
      <c r="L450" s="10">
        <v>0</v>
      </c>
      <c r="M450" s="12">
        <f>IFERROR(L450/K450, 0)</f>
      </c>
      <c r="N450" s="13">
        <f>IFERROR(J450/K450, 0)</f>
      </c>
      <c r="O450" s="10">
        <v>0</v>
      </c>
      <c r="P450" s="10">
        <v>0</v>
      </c>
      <c r="Q450" s="10">
        <v>6141.674814814814</v>
      </c>
      <c r="R450" s="11">
        <f>IFERROR(P450/Q450, 0)</f>
      </c>
      <c r="S450" s="10">
        <v>3100</v>
      </c>
      <c r="T450" s="10">
        <v>69615.45481481482</v>
      </c>
      <c r="U450" s="11">
        <f>IFERROR(S450/T450, 0)</f>
      </c>
      <c r="V450" s="10">
        <f>IFERROR(S450/E450, 0)</f>
      </c>
      <c r="W450" s="10">
        <f>IFERROR(T450/F450, 0)</f>
      </c>
      <c r="X450" s="11">
        <f>IFERROR(V450/W450, 0)</f>
      </c>
    </row>
    <row r="451" spans="1:24" x14ac:dyDescent="0.25">
      <c r="A451" s="14" t="s">
        <v>495</v>
      </c>
      <c r="B451" s="14"/>
      <c r="C451" s="14"/>
      <c r="D451" s="14"/>
      <c r="E451" s="15">
        <f>SUM(E439:E450)</f>
      </c>
      <c r="F451" s="15">
        <f>SUM(F439:F450)</f>
      </c>
      <c r="G451" s="16">
        <f>SUM(G439:G450)</f>
      </c>
      <c r="H451" s="16">
        <f>SUM(H439:H450)</f>
      </c>
      <c r="I451" s="17">
        <f>IFERROR(G451/H451, 0)</f>
      </c>
      <c r="J451" s="16">
        <f>SUM(J439:J450)</f>
      </c>
      <c r="K451" s="16">
        <f>SUM(K439:K450)</f>
      </c>
      <c r="L451" s="16">
        <f>SUM(L439:L450)</f>
      </c>
      <c r="M451" s="18">
        <f>IFERROR(L451/K451, 0)</f>
      </c>
      <c r="N451" s="19">
        <f>IFERROR(J451/K451, 0)</f>
      </c>
      <c r="O451" s="16">
        <f>SUM(O439:O450)</f>
      </c>
      <c r="P451" s="16">
        <f>SUM(P439:P450)</f>
      </c>
      <c r="Q451" s="16">
        <f>SUM(Q439:Q450)</f>
      </c>
      <c r="R451" s="17">
        <f>IFERROR(P451/Q451, 0)</f>
      </c>
      <c r="S451" s="16">
        <f>SUM(S439:S450)</f>
      </c>
      <c r="T451" s="16">
        <f>SUM(T439:T450)</f>
      </c>
      <c r="U451" s="17">
        <f>IFERROR(S451/T451, 0)</f>
      </c>
      <c r="V451" s="16">
        <f>IFERROR(S451/E451, 0)</f>
      </c>
      <c r="W451" s="16">
        <f>IFERROR(T451/F451, 0)</f>
      </c>
      <c r="X451" s="17">
        <f>IFERROR(V451/W451, 0)</f>
      </c>
    </row>
    <row r="452" spans="1:24" x14ac:dyDescent="0.25">
      <c r="A452" s="8" t="s">
        <v>472</v>
      </c>
      <c r="B452" s="8" t="s">
        <v>496</v>
      </c>
      <c r="C452" s="8" t="s">
        <v>24</v>
      </c>
      <c r="D452" s="8" t="s">
        <v>497</v>
      </c>
      <c r="E452" s="9">
        <v>699.59</v>
      </c>
      <c r="F452" s="9">
        <v>297.95</v>
      </c>
      <c r="G452" s="10">
        <v>0</v>
      </c>
      <c r="H452" s="10">
        <v>8910.878518518519</v>
      </c>
      <c r="I452" s="11">
        <f>IFERROR(G452/H452, 0)</f>
      </c>
      <c r="J452" s="10">
        <v>0</v>
      </c>
      <c r="K452" s="10">
        <v>0</v>
      </c>
      <c r="L452" s="10">
        <v>0</v>
      </c>
      <c r="M452" s="12">
        <f>IFERROR(L452/K452, 0)</f>
      </c>
      <c r="N452" s="13">
        <f>IFERROR(J452/K452, 0)</f>
      </c>
      <c r="O452" s="10">
        <v>0</v>
      </c>
      <c r="P452" s="10">
        <v>9817</v>
      </c>
      <c r="Q452" s="10">
        <v>98019.6637037037</v>
      </c>
      <c r="R452" s="11">
        <f>IFERROR(P452/Q452, 0)</f>
      </c>
      <c r="S452" s="10">
        <v>9817</v>
      </c>
      <c r="T452" s="10">
        <v>1111045.8537037037</v>
      </c>
      <c r="U452" s="11">
        <f>IFERROR(S452/T452, 0)</f>
      </c>
      <c r="V452" s="10">
        <f>IFERROR(S452/E452, 0)</f>
      </c>
      <c r="W452" s="10">
        <f>IFERROR(T452/F452, 0)</f>
      </c>
      <c r="X452" s="11">
        <f>IFERROR(V452/W452, 0)</f>
      </c>
    </row>
    <row r="453" spans="1:24" x14ac:dyDescent="0.25">
      <c r="A453" s="8" t="s">
        <v>472</v>
      </c>
      <c r="B453" s="8" t="s">
        <v>496</v>
      </c>
      <c r="C453" s="8" t="s">
        <v>24</v>
      </c>
      <c r="D453" s="8" t="s">
        <v>498</v>
      </c>
      <c r="E453" s="9">
        <v>227.4</v>
      </c>
      <c r="F453" s="9">
        <v>139.38</v>
      </c>
      <c r="G453" s="10">
        <v>0</v>
      </c>
      <c r="H453" s="10">
        <v>4168.597777777778</v>
      </c>
      <c r="I453" s="11">
        <f>IFERROR(G453/H453, 0)</f>
      </c>
      <c r="J453" s="10">
        <v>0</v>
      </c>
      <c r="K453" s="10">
        <v>0</v>
      </c>
      <c r="L453" s="10">
        <v>0</v>
      </c>
      <c r="M453" s="12">
        <f>IFERROR(L453/K453, 0)</f>
      </c>
      <c r="N453" s="13">
        <f>IFERROR(J453/K453, 0)</f>
      </c>
      <c r="O453" s="10">
        <v>0</v>
      </c>
      <c r="P453" s="10">
        <v>22417</v>
      </c>
      <c r="Q453" s="10">
        <v>45854.57555555556</v>
      </c>
      <c r="R453" s="11">
        <f>IFERROR(P453/Q453, 0)</f>
      </c>
      <c r="S453" s="10">
        <v>22417</v>
      </c>
      <c r="T453" s="10">
        <v>519758.33555555553</v>
      </c>
      <c r="U453" s="11">
        <f>IFERROR(S453/T453, 0)</f>
      </c>
      <c r="V453" s="10">
        <f>IFERROR(S453/E453, 0)</f>
      </c>
      <c r="W453" s="10">
        <f>IFERROR(T453/F453, 0)</f>
      </c>
      <c r="X453" s="11">
        <f>IFERROR(V453/W453, 0)</f>
      </c>
    </row>
    <row r="454" spans="1:24" x14ac:dyDescent="0.25">
      <c r="A454" s="8" t="s">
        <v>472</v>
      </c>
      <c r="B454" s="8" t="s">
        <v>496</v>
      </c>
      <c r="C454" s="8" t="s">
        <v>24</v>
      </c>
      <c r="D454" s="8" t="s">
        <v>499</v>
      </c>
      <c r="E454" s="9">
        <v>218.29</v>
      </c>
      <c r="F454" s="9">
        <v>141.76</v>
      </c>
      <c r="G454" s="10">
        <v>5300</v>
      </c>
      <c r="H454" s="10">
        <v>4239.5574074074075</v>
      </c>
      <c r="I454" s="11">
        <f>IFERROR(G454/H454, 0)</f>
      </c>
      <c r="J454" s="10">
        <v>8</v>
      </c>
      <c r="K454" s="10">
        <v>3</v>
      </c>
      <c r="L454" s="10">
        <v>4022</v>
      </c>
      <c r="M454" s="12">
        <f>IFERROR(L454/K454, 0)</f>
      </c>
      <c r="N454" s="13">
        <f>IFERROR(J454/K454, 0)</f>
      </c>
      <c r="O454" s="10">
        <v>0</v>
      </c>
      <c r="P454" s="10">
        <v>55520</v>
      </c>
      <c r="Q454" s="10">
        <v>46635.13148148148</v>
      </c>
      <c r="R454" s="11">
        <f>IFERROR(P454/Q454, 0)</f>
      </c>
      <c r="S454" s="10">
        <v>569618</v>
      </c>
      <c r="T454" s="10">
        <v>528605.8814814815</v>
      </c>
      <c r="U454" s="11">
        <f>IFERROR(S454/T454, 0)</f>
      </c>
      <c r="V454" s="10">
        <f>IFERROR(S454/E454, 0)</f>
      </c>
      <c r="W454" s="10">
        <f>IFERROR(T454/F454, 0)</f>
      </c>
      <c r="X454" s="11">
        <f>IFERROR(V454/W454, 0)</f>
      </c>
    </row>
    <row r="455" spans="1:24" x14ac:dyDescent="0.25">
      <c r="A455" s="14" t="s">
        <v>500</v>
      </c>
      <c r="B455" s="14"/>
      <c r="C455" s="14"/>
      <c r="D455" s="14"/>
      <c r="E455" s="15">
        <f>SUM(E452:E454)</f>
      </c>
      <c r="F455" s="15">
        <f>SUM(F452:F454)</f>
      </c>
      <c r="G455" s="16">
        <f>SUM(G452:G454)</f>
      </c>
      <c r="H455" s="16">
        <f>SUM(H452:H454)</f>
      </c>
      <c r="I455" s="17">
        <f>IFERROR(G455/H455, 0)</f>
      </c>
      <c r="J455" s="16">
        <f>SUM(J452:J454)</f>
      </c>
      <c r="K455" s="16">
        <f>SUM(K452:K454)</f>
      </c>
      <c r="L455" s="16">
        <f>SUM(L452:L454)</f>
      </c>
      <c r="M455" s="18">
        <f>IFERROR(L455/K455, 0)</f>
      </c>
      <c r="N455" s="19">
        <f>IFERROR(J455/K455, 0)</f>
      </c>
      <c r="O455" s="16">
        <f>SUM(O452:O454)</f>
      </c>
      <c r="P455" s="16">
        <f>SUM(P452:P454)</f>
      </c>
      <c r="Q455" s="16">
        <f>SUM(Q452:Q454)</f>
      </c>
      <c r="R455" s="17">
        <f>IFERROR(P455/Q455, 0)</f>
      </c>
      <c r="S455" s="16">
        <f>SUM(S452:S454)</f>
      </c>
      <c r="T455" s="16">
        <f>SUM(T452:T454)</f>
      </c>
      <c r="U455" s="17">
        <f>IFERROR(S455/T455, 0)</f>
      </c>
      <c r="V455" s="16">
        <f>IFERROR(S455/E455, 0)</f>
      </c>
      <c r="W455" s="16">
        <f>IFERROR(T455/F455, 0)</f>
      </c>
      <c r="X455" s="17">
        <f>IFERROR(V455/W455, 0)</f>
      </c>
    </row>
    <row r="456" spans="1:24" x14ac:dyDescent="0.25">
      <c r="A456" s="8" t="s">
        <v>472</v>
      </c>
      <c r="B456" s="8" t="s">
        <v>501</v>
      </c>
      <c r="C456" s="8" t="s">
        <v>24</v>
      </c>
      <c r="D456" s="8" t="s">
        <v>502</v>
      </c>
      <c r="E456" s="9">
        <v>0</v>
      </c>
      <c r="F456" s="9">
        <v>0</v>
      </c>
      <c r="G456" s="10">
        <v>0</v>
      </c>
      <c r="H456" s="10">
        <v>0</v>
      </c>
      <c r="I456" s="11">
        <f>IFERROR(G456/H456, 0)</f>
      </c>
      <c r="J456" s="10">
        <v>0</v>
      </c>
      <c r="K456" s="10">
        <v>0</v>
      </c>
      <c r="L456" s="10">
        <v>0</v>
      </c>
      <c r="M456" s="12">
        <f>IFERROR(L456/K456, 0)</f>
      </c>
      <c r="N456" s="13">
        <f>IFERROR(J456/K456, 0)</f>
      </c>
      <c r="O456" s="10">
        <v>0</v>
      </c>
      <c r="P456" s="10">
        <v>0</v>
      </c>
      <c r="Q456" s="10">
        <v>0</v>
      </c>
      <c r="R456" s="11">
        <f>IFERROR(P456/Q456, 0)</f>
      </c>
      <c r="S456" s="10">
        <v>0</v>
      </c>
      <c r="T456" s="10">
        <v>0</v>
      </c>
      <c r="U456" s="11">
        <f>IFERROR(S456/T456, 0)</f>
      </c>
      <c r="V456" s="10">
        <f>IFERROR(S456/E456, 0)</f>
      </c>
      <c r="W456" s="10">
        <f>IFERROR(T456/F456, 0)</f>
      </c>
      <c r="X456" s="11">
        <f>IFERROR(V456/W456, 0)</f>
      </c>
    </row>
    <row r="457" spans="1:24" x14ac:dyDescent="0.25">
      <c r="A457" s="8" t="s">
        <v>472</v>
      </c>
      <c r="B457" s="8" t="s">
        <v>501</v>
      </c>
      <c r="C457" s="8" t="s">
        <v>24</v>
      </c>
      <c r="D457" s="8" t="s">
        <v>503</v>
      </c>
      <c r="E457" s="9">
        <v>218.25</v>
      </c>
      <c r="F457" s="9">
        <v>218.25</v>
      </c>
      <c r="G457" s="10">
        <v>13130</v>
      </c>
      <c r="H457" s="10">
        <v>6527.17</v>
      </c>
      <c r="I457" s="11">
        <f>IFERROR(G457/H457, 0)</f>
      </c>
      <c r="J457" s="10">
        <v>13</v>
      </c>
      <c r="K457" s="10">
        <v>8</v>
      </c>
      <c r="L457" s="10">
        <v>13130</v>
      </c>
      <c r="M457" s="12">
        <f>IFERROR(L457/K457, 0)</f>
      </c>
      <c r="N457" s="13">
        <f>IFERROR(J457/K457, 0)</f>
      </c>
      <c r="O457" s="10">
        <v>0</v>
      </c>
      <c r="P457" s="10">
        <v>115090</v>
      </c>
      <c r="Q457" s="10">
        <v>71798.87</v>
      </c>
      <c r="R457" s="11">
        <f>IFERROR(P457/Q457, 0)</f>
      </c>
      <c r="S457" s="10">
        <v>443467</v>
      </c>
      <c r="T457" s="10">
        <v>813835.06</v>
      </c>
      <c r="U457" s="11">
        <f>IFERROR(S457/T457, 0)</f>
      </c>
      <c r="V457" s="10">
        <f>IFERROR(S457/E457, 0)</f>
      </c>
      <c r="W457" s="10">
        <f>IFERROR(T457/F457, 0)</f>
      </c>
      <c r="X457" s="11">
        <f>IFERROR(V457/W457, 0)</f>
      </c>
    </row>
    <row r="458" spans="1:24" x14ac:dyDescent="0.25">
      <c r="A458" s="8" t="s">
        <v>472</v>
      </c>
      <c r="B458" s="8" t="s">
        <v>501</v>
      </c>
      <c r="C458" s="8" t="s">
        <v>24</v>
      </c>
      <c r="D458" s="8" t="s">
        <v>504</v>
      </c>
      <c r="E458" s="9">
        <v>198.02</v>
      </c>
      <c r="F458" s="9">
        <v>198.02</v>
      </c>
      <c r="G458" s="10">
        <v>11088</v>
      </c>
      <c r="H458" s="10">
        <v>5922.345185185185</v>
      </c>
      <c r="I458" s="11">
        <f>IFERROR(G458/H458, 0)</f>
      </c>
      <c r="J458" s="10">
        <v>15.5</v>
      </c>
      <c r="K458" s="10">
        <v>6</v>
      </c>
      <c r="L458" s="10">
        <v>10848</v>
      </c>
      <c r="M458" s="12">
        <f>IFERROR(L458/K458, 0)</f>
      </c>
      <c r="N458" s="13">
        <f>IFERROR(J458/K458, 0)</f>
      </c>
      <c r="O458" s="10">
        <v>80</v>
      </c>
      <c r="P458" s="10">
        <v>66976</v>
      </c>
      <c r="Q458" s="10">
        <v>65145.79703703704</v>
      </c>
      <c r="R458" s="11">
        <f>IFERROR(P458/Q458, 0)</f>
      </c>
      <c r="S458" s="10">
        <v>604928</v>
      </c>
      <c r="T458" s="10">
        <v>738422.957037037</v>
      </c>
      <c r="U458" s="11">
        <f>IFERROR(S458/T458, 0)</f>
      </c>
      <c r="V458" s="10">
        <f>IFERROR(S458/E458, 0)</f>
      </c>
      <c r="W458" s="10">
        <f>IFERROR(T458/F458, 0)</f>
      </c>
      <c r="X458" s="11">
        <f>IFERROR(V458/W458, 0)</f>
      </c>
    </row>
    <row r="459" spans="1:24" x14ac:dyDescent="0.25">
      <c r="A459" s="8" t="s">
        <v>472</v>
      </c>
      <c r="B459" s="8" t="s">
        <v>501</v>
      </c>
      <c r="C459" s="8" t="s">
        <v>24</v>
      </c>
      <c r="D459" s="8" t="s">
        <v>505</v>
      </c>
      <c r="E459" s="9">
        <v>0</v>
      </c>
      <c r="F459" s="9">
        <v>0</v>
      </c>
      <c r="G459" s="10">
        <v>0</v>
      </c>
      <c r="H459" s="10">
        <v>0</v>
      </c>
      <c r="I459" s="11">
        <f>IFERROR(G459/H459, 0)</f>
      </c>
      <c r="J459" s="10">
        <v>0</v>
      </c>
      <c r="K459" s="10">
        <v>0</v>
      </c>
      <c r="L459" s="10">
        <v>0</v>
      </c>
      <c r="M459" s="12">
        <f>IFERROR(L459/K459, 0)</f>
      </c>
      <c r="N459" s="13">
        <f>IFERROR(J459/K459, 0)</f>
      </c>
      <c r="O459" s="10">
        <v>0</v>
      </c>
      <c r="P459" s="10">
        <v>0</v>
      </c>
      <c r="Q459" s="10">
        <v>0</v>
      </c>
      <c r="R459" s="11">
        <f>IFERROR(P459/Q459, 0)</f>
      </c>
      <c r="S459" s="10">
        <v>0</v>
      </c>
      <c r="T459" s="10">
        <v>0</v>
      </c>
      <c r="U459" s="11">
        <f>IFERROR(S459/T459, 0)</f>
      </c>
      <c r="V459" s="10">
        <f>IFERROR(S459/E459, 0)</f>
      </c>
      <c r="W459" s="10">
        <f>IFERROR(T459/F459, 0)</f>
      </c>
      <c r="X459" s="11">
        <f>IFERROR(V459/W459, 0)</f>
      </c>
    </row>
    <row r="460" spans="1:24" x14ac:dyDescent="0.25">
      <c r="A460" s="8" t="s">
        <v>472</v>
      </c>
      <c r="B460" s="8" t="s">
        <v>501</v>
      </c>
      <c r="C460" s="8" t="s">
        <v>24</v>
      </c>
      <c r="D460" s="8" t="s">
        <v>506</v>
      </c>
      <c r="E460" s="9">
        <v>0</v>
      </c>
      <c r="F460" s="9">
        <v>0</v>
      </c>
      <c r="G460" s="10">
        <v>0</v>
      </c>
      <c r="H460" s="10">
        <v>0</v>
      </c>
      <c r="I460" s="11">
        <f>IFERROR(G460/H460, 0)</f>
      </c>
      <c r="J460" s="10">
        <v>0</v>
      </c>
      <c r="K460" s="10">
        <v>0</v>
      </c>
      <c r="L460" s="10">
        <v>0</v>
      </c>
      <c r="M460" s="12">
        <f>IFERROR(L460/K460, 0)</f>
      </c>
      <c r="N460" s="13">
        <f>IFERROR(J460/K460, 0)</f>
      </c>
      <c r="O460" s="10">
        <v>0</v>
      </c>
      <c r="P460" s="10">
        <v>0</v>
      </c>
      <c r="Q460" s="10">
        <v>0</v>
      </c>
      <c r="R460" s="11">
        <f>IFERROR(P460/Q460, 0)</f>
      </c>
      <c r="S460" s="10">
        <v>0</v>
      </c>
      <c r="T460" s="10">
        <v>0</v>
      </c>
      <c r="U460" s="11">
        <f>IFERROR(S460/T460, 0)</f>
      </c>
      <c r="V460" s="10">
        <f>IFERROR(S460/E460, 0)</f>
      </c>
      <c r="W460" s="10">
        <f>IFERROR(T460/F460, 0)</f>
      </c>
      <c r="X460" s="11">
        <f>IFERROR(V460/W460, 0)</f>
      </c>
    </row>
    <row r="461" spans="1:24" x14ac:dyDescent="0.25">
      <c r="A461" s="8" t="s">
        <v>472</v>
      </c>
      <c r="B461" s="8" t="s">
        <v>501</v>
      </c>
      <c r="C461" s="8" t="s">
        <v>24</v>
      </c>
      <c r="D461" s="8" t="s">
        <v>507</v>
      </c>
      <c r="E461" s="9">
        <v>0</v>
      </c>
      <c r="F461" s="9">
        <v>0</v>
      </c>
      <c r="G461" s="10">
        <v>0</v>
      </c>
      <c r="H461" s="10">
        <v>0</v>
      </c>
      <c r="I461" s="11">
        <f>IFERROR(G461/H461, 0)</f>
      </c>
      <c r="J461" s="10">
        <v>0</v>
      </c>
      <c r="K461" s="10">
        <v>0</v>
      </c>
      <c r="L461" s="10">
        <v>0</v>
      </c>
      <c r="M461" s="12">
        <f>IFERROR(L461/K461, 0)</f>
      </c>
      <c r="N461" s="13">
        <f>IFERROR(J461/K461, 0)</f>
      </c>
      <c r="O461" s="10">
        <v>0</v>
      </c>
      <c r="P461" s="10">
        <v>0</v>
      </c>
      <c r="Q461" s="10">
        <v>0</v>
      </c>
      <c r="R461" s="11">
        <f>IFERROR(P461/Q461, 0)</f>
      </c>
      <c r="S461" s="10">
        <v>0</v>
      </c>
      <c r="T461" s="10">
        <v>0</v>
      </c>
      <c r="U461" s="11">
        <f>IFERROR(S461/T461, 0)</f>
      </c>
      <c r="V461" s="10">
        <f>IFERROR(S461/E461, 0)</f>
      </c>
      <c r="W461" s="10">
        <f>IFERROR(T461/F461, 0)</f>
      </c>
      <c r="X461" s="11">
        <f>IFERROR(V461/W461, 0)</f>
      </c>
    </row>
    <row r="462" spans="1:24" x14ac:dyDescent="0.25">
      <c r="A462" s="8" t="s">
        <v>472</v>
      </c>
      <c r="B462" s="8" t="s">
        <v>501</v>
      </c>
      <c r="C462" s="8" t="s">
        <v>24</v>
      </c>
      <c r="D462" s="8" t="s">
        <v>508</v>
      </c>
      <c r="E462" s="9">
        <v>0</v>
      </c>
      <c r="F462" s="9">
        <v>0</v>
      </c>
      <c r="G462" s="10">
        <v>0</v>
      </c>
      <c r="H462" s="10">
        <v>0</v>
      </c>
      <c r="I462" s="11">
        <f>IFERROR(G462/H462, 0)</f>
      </c>
      <c r="J462" s="10">
        <v>0</v>
      </c>
      <c r="K462" s="10">
        <v>0</v>
      </c>
      <c r="L462" s="10">
        <v>0</v>
      </c>
      <c r="M462" s="12">
        <f>IFERROR(L462/K462, 0)</f>
      </c>
      <c r="N462" s="13">
        <f>IFERROR(J462/K462, 0)</f>
      </c>
      <c r="O462" s="10">
        <v>0</v>
      </c>
      <c r="P462" s="10">
        <v>0</v>
      </c>
      <c r="Q462" s="10">
        <v>0</v>
      </c>
      <c r="R462" s="11">
        <f>IFERROR(P462/Q462, 0)</f>
      </c>
      <c r="S462" s="10">
        <v>0</v>
      </c>
      <c r="T462" s="10">
        <v>0</v>
      </c>
      <c r="U462" s="11">
        <f>IFERROR(S462/T462, 0)</f>
      </c>
      <c r="V462" s="10">
        <f>IFERROR(S462/E462, 0)</f>
      </c>
      <c r="W462" s="10">
        <f>IFERROR(T462/F462, 0)</f>
      </c>
      <c r="X462" s="11">
        <f>IFERROR(V462/W462, 0)</f>
      </c>
    </row>
    <row r="463" spans="1:24" x14ac:dyDescent="0.25">
      <c r="A463" s="8" t="s">
        <v>472</v>
      </c>
      <c r="B463" s="8" t="s">
        <v>501</v>
      </c>
      <c r="C463" s="8" t="s">
        <v>24</v>
      </c>
      <c r="D463" s="8" t="s">
        <v>509</v>
      </c>
      <c r="E463" s="9">
        <v>0</v>
      </c>
      <c r="F463" s="9">
        <v>0</v>
      </c>
      <c r="G463" s="10">
        <v>0</v>
      </c>
      <c r="H463" s="10">
        <v>0</v>
      </c>
      <c r="I463" s="11">
        <f>IFERROR(G463/H463, 0)</f>
      </c>
      <c r="J463" s="10">
        <v>0</v>
      </c>
      <c r="K463" s="10">
        <v>0</v>
      </c>
      <c r="L463" s="10">
        <v>0</v>
      </c>
      <c r="M463" s="12">
        <f>IFERROR(L463/K463, 0)</f>
      </c>
      <c r="N463" s="13">
        <f>IFERROR(J463/K463, 0)</f>
      </c>
      <c r="O463" s="10">
        <v>0</v>
      </c>
      <c r="P463" s="10">
        <v>0</v>
      </c>
      <c r="Q463" s="10">
        <v>0</v>
      </c>
      <c r="R463" s="11">
        <f>IFERROR(P463/Q463, 0)</f>
      </c>
      <c r="S463" s="10">
        <v>0</v>
      </c>
      <c r="T463" s="10">
        <v>0</v>
      </c>
      <c r="U463" s="11">
        <f>IFERROR(S463/T463, 0)</f>
      </c>
      <c r="V463" s="10">
        <f>IFERROR(S463/E463, 0)</f>
      </c>
      <c r="W463" s="10">
        <f>IFERROR(T463/F463, 0)</f>
      </c>
      <c r="X463" s="11">
        <f>IFERROR(V463/W463, 0)</f>
      </c>
    </row>
    <row r="464" spans="1:24" x14ac:dyDescent="0.25">
      <c r="A464" s="8" t="s">
        <v>472</v>
      </c>
      <c r="B464" s="8" t="s">
        <v>501</v>
      </c>
      <c r="C464" s="8" t="s">
        <v>24</v>
      </c>
      <c r="D464" s="8" t="s">
        <v>510</v>
      </c>
      <c r="E464" s="9">
        <v>0</v>
      </c>
      <c r="F464" s="9">
        <v>0</v>
      </c>
      <c r="G464" s="10">
        <v>0</v>
      </c>
      <c r="H464" s="10">
        <v>0</v>
      </c>
      <c r="I464" s="11">
        <f>IFERROR(G464/H464, 0)</f>
      </c>
      <c r="J464" s="10">
        <v>0</v>
      </c>
      <c r="K464" s="10">
        <v>0</v>
      </c>
      <c r="L464" s="10">
        <v>0</v>
      </c>
      <c r="M464" s="12">
        <f>IFERROR(L464/K464, 0)</f>
      </c>
      <c r="N464" s="13">
        <f>IFERROR(J464/K464, 0)</f>
      </c>
      <c r="O464" s="10">
        <v>0</v>
      </c>
      <c r="P464" s="10">
        <v>0</v>
      </c>
      <c r="Q464" s="10">
        <v>0</v>
      </c>
      <c r="R464" s="11">
        <f>IFERROR(P464/Q464, 0)</f>
      </c>
      <c r="S464" s="10">
        <v>0</v>
      </c>
      <c r="T464" s="10">
        <v>0</v>
      </c>
      <c r="U464" s="11">
        <f>IFERROR(S464/T464, 0)</f>
      </c>
      <c r="V464" s="10">
        <f>IFERROR(S464/E464, 0)</f>
      </c>
      <c r="W464" s="10">
        <f>IFERROR(T464/F464, 0)</f>
      </c>
      <c r="X464" s="11">
        <f>IFERROR(V464/W464, 0)</f>
      </c>
    </row>
    <row r="465" spans="1:24" x14ac:dyDescent="0.25">
      <c r="A465" s="8" t="s">
        <v>472</v>
      </c>
      <c r="B465" s="8" t="s">
        <v>501</v>
      </c>
      <c r="C465" s="8" t="s">
        <v>24</v>
      </c>
      <c r="D465" s="8" t="s">
        <v>511</v>
      </c>
      <c r="E465" s="9">
        <v>0</v>
      </c>
      <c r="F465" s="9">
        <v>0</v>
      </c>
      <c r="G465" s="10">
        <v>0</v>
      </c>
      <c r="H465" s="10">
        <v>0</v>
      </c>
      <c r="I465" s="11">
        <f>IFERROR(G465/H465, 0)</f>
      </c>
      <c r="J465" s="10">
        <v>0</v>
      </c>
      <c r="K465" s="10">
        <v>0</v>
      </c>
      <c r="L465" s="10">
        <v>0</v>
      </c>
      <c r="M465" s="12">
        <f>IFERROR(L465/K465, 0)</f>
      </c>
      <c r="N465" s="13">
        <f>IFERROR(J465/K465, 0)</f>
      </c>
      <c r="O465" s="10">
        <v>0</v>
      </c>
      <c r="P465" s="10">
        <v>0</v>
      </c>
      <c r="Q465" s="10">
        <v>0</v>
      </c>
      <c r="R465" s="11">
        <f>IFERROR(P465/Q465, 0)</f>
      </c>
      <c r="S465" s="10">
        <v>0</v>
      </c>
      <c r="T465" s="10">
        <v>0</v>
      </c>
      <c r="U465" s="11">
        <f>IFERROR(S465/T465, 0)</f>
      </c>
      <c r="V465" s="10">
        <f>IFERROR(S465/E465, 0)</f>
      </c>
      <c r="W465" s="10">
        <f>IFERROR(T465/F465, 0)</f>
      </c>
      <c r="X465" s="11">
        <f>IFERROR(V465/W465, 0)</f>
      </c>
    </row>
    <row r="466" spans="1:24" x14ac:dyDescent="0.25">
      <c r="A466" s="8" t="s">
        <v>472</v>
      </c>
      <c r="B466" s="8" t="s">
        <v>501</v>
      </c>
      <c r="C466" s="8" t="s">
        <v>24</v>
      </c>
      <c r="D466" s="8" t="s">
        <v>512</v>
      </c>
      <c r="E466" s="9">
        <v>191.89</v>
      </c>
      <c r="F466" s="9">
        <v>191.89</v>
      </c>
      <c r="G466" s="10">
        <v>4500</v>
      </c>
      <c r="H466" s="10">
        <v>5738.829259259259</v>
      </c>
      <c r="I466" s="11">
        <f>IFERROR(G466/H466, 0)</f>
      </c>
      <c r="J466" s="10">
        <v>10</v>
      </c>
      <c r="K466" s="10">
        <v>5</v>
      </c>
      <c r="L466" s="10">
        <v>4500</v>
      </c>
      <c r="M466" s="12">
        <f>IFERROR(L466/K466, 0)</f>
      </c>
      <c r="N466" s="13">
        <f>IFERROR(J466/K466, 0)</f>
      </c>
      <c r="O466" s="10">
        <v>0</v>
      </c>
      <c r="P466" s="10">
        <v>58519</v>
      </c>
      <c r="Q466" s="10">
        <v>63127.12185185185</v>
      </c>
      <c r="R466" s="11">
        <f>IFERROR(P466/Q466, 0)</f>
      </c>
      <c r="S466" s="10">
        <v>659964</v>
      </c>
      <c r="T466" s="10">
        <v>715541.3918518518</v>
      </c>
      <c r="U466" s="11">
        <f>IFERROR(S466/T466, 0)</f>
      </c>
      <c r="V466" s="10">
        <f>IFERROR(S466/E466, 0)</f>
      </c>
      <c r="W466" s="10">
        <f>IFERROR(T466/F466, 0)</f>
      </c>
      <c r="X466" s="11">
        <f>IFERROR(V466/W466, 0)</f>
      </c>
    </row>
    <row r="467" spans="1:24" x14ac:dyDescent="0.25">
      <c r="A467" s="8" t="s">
        <v>472</v>
      </c>
      <c r="B467" s="8" t="s">
        <v>501</v>
      </c>
      <c r="C467" s="8" t="s">
        <v>24</v>
      </c>
      <c r="D467" s="8" t="s">
        <v>513</v>
      </c>
      <c r="E467" s="9">
        <v>0</v>
      </c>
      <c r="F467" s="9">
        <v>0</v>
      </c>
      <c r="G467" s="10">
        <v>0</v>
      </c>
      <c r="H467" s="10">
        <v>0</v>
      </c>
      <c r="I467" s="11">
        <f>IFERROR(G467/H467, 0)</f>
      </c>
      <c r="J467" s="10">
        <v>0</v>
      </c>
      <c r="K467" s="10">
        <v>0</v>
      </c>
      <c r="L467" s="10">
        <v>0</v>
      </c>
      <c r="M467" s="12">
        <f>IFERROR(L467/K467, 0)</f>
      </c>
      <c r="N467" s="13">
        <f>IFERROR(J467/K467, 0)</f>
      </c>
      <c r="O467" s="10">
        <v>0</v>
      </c>
      <c r="P467" s="10">
        <v>0</v>
      </c>
      <c r="Q467" s="10">
        <v>0</v>
      </c>
      <c r="R467" s="11">
        <f>IFERROR(P467/Q467, 0)</f>
      </c>
      <c r="S467" s="10">
        <v>0</v>
      </c>
      <c r="T467" s="10">
        <v>0</v>
      </c>
      <c r="U467" s="11">
        <f>IFERROR(S467/T467, 0)</f>
      </c>
      <c r="V467" s="10">
        <f>IFERROR(S467/E467, 0)</f>
      </c>
      <c r="W467" s="10">
        <f>IFERROR(T467/F467, 0)</f>
      </c>
      <c r="X467" s="11">
        <f>IFERROR(V467/W467, 0)</f>
      </c>
    </row>
    <row r="468" spans="1:24" x14ac:dyDescent="0.25">
      <c r="A468" s="8" t="s">
        <v>472</v>
      </c>
      <c r="B468" s="8" t="s">
        <v>501</v>
      </c>
      <c r="C468" s="8" t="s">
        <v>24</v>
      </c>
      <c r="D468" s="8" t="s">
        <v>514</v>
      </c>
      <c r="E468" s="9">
        <v>0</v>
      </c>
      <c r="F468" s="9">
        <v>0</v>
      </c>
      <c r="G468" s="10">
        <v>0</v>
      </c>
      <c r="H468" s="10">
        <v>0</v>
      </c>
      <c r="I468" s="11">
        <f>IFERROR(G468/H468, 0)</f>
      </c>
      <c r="J468" s="10">
        <v>0</v>
      </c>
      <c r="K468" s="10">
        <v>0</v>
      </c>
      <c r="L468" s="10">
        <v>0</v>
      </c>
      <c r="M468" s="12">
        <f>IFERROR(L468/K468, 0)</f>
      </c>
      <c r="N468" s="13">
        <f>IFERROR(J468/K468, 0)</f>
      </c>
      <c r="O468" s="10">
        <v>0</v>
      </c>
      <c r="P468" s="10">
        <v>0</v>
      </c>
      <c r="Q468" s="10">
        <v>0</v>
      </c>
      <c r="R468" s="11">
        <f>IFERROR(P468/Q468, 0)</f>
      </c>
      <c r="S468" s="10">
        <v>0</v>
      </c>
      <c r="T468" s="10">
        <v>0</v>
      </c>
      <c r="U468" s="11">
        <f>IFERROR(S468/T468, 0)</f>
      </c>
      <c r="V468" s="10">
        <f>IFERROR(S468/E468, 0)</f>
      </c>
      <c r="W468" s="10">
        <f>IFERROR(T468/F468, 0)</f>
      </c>
      <c r="X468" s="11">
        <f>IFERROR(V468/W468, 0)</f>
      </c>
    </row>
    <row r="469" spans="1:24" x14ac:dyDescent="0.25">
      <c r="A469" s="8" t="s">
        <v>472</v>
      </c>
      <c r="B469" s="8" t="s">
        <v>501</v>
      </c>
      <c r="C469" s="8" t="s">
        <v>24</v>
      </c>
      <c r="D469" s="8" t="s">
        <v>515</v>
      </c>
      <c r="E469" s="9">
        <v>0</v>
      </c>
      <c r="F469" s="9">
        <v>0</v>
      </c>
      <c r="G469" s="10">
        <v>0</v>
      </c>
      <c r="H469" s="10">
        <v>0</v>
      </c>
      <c r="I469" s="11">
        <f>IFERROR(G469/H469, 0)</f>
      </c>
      <c r="J469" s="10">
        <v>0</v>
      </c>
      <c r="K469" s="10">
        <v>0</v>
      </c>
      <c r="L469" s="10">
        <v>0</v>
      </c>
      <c r="M469" s="12">
        <f>IFERROR(L469/K469, 0)</f>
      </c>
      <c r="N469" s="13">
        <f>IFERROR(J469/K469, 0)</f>
      </c>
      <c r="O469" s="10">
        <v>0</v>
      </c>
      <c r="P469" s="10">
        <v>0</v>
      </c>
      <c r="Q469" s="10">
        <v>0</v>
      </c>
      <c r="R469" s="11">
        <f>IFERROR(P469/Q469, 0)</f>
      </c>
      <c r="S469" s="10">
        <v>0</v>
      </c>
      <c r="T469" s="10">
        <v>0</v>
      </c>
      <c r="U469" s="11">
        <f>IFERROR(S469/T469, 0)</f>
      </c>
      <c r="V469" s="10">
        <f>IFERROR(S469/E469, 0)</f>
      </c>
      <c r="W469" s="10">
        <f>IFERROR(T469/F469, 0)</f>
      </c>
      <c r="X469" s="11">
        <f>IFERROR(V469/W469, 0)</f>
      </c>
    </row>
    <row r="470" spans="1:24" x14ac:dyDescent="0.25">
      <c r="A470" s="8" t="s">
        <v>472</v>
      </c>
      <c r="B470" s="8" t="s">
        <v>501</v>
      </c>
      <c r="C470" s="8" t="s">
        <v>24</v>
      </c>
      <c r="D470" s="8" t="s">
        <v>516</v>
      </c>
      <c r="E470" s="9">
        <v>231.81</v>
      </c>
      <c r="F470" s="9">
        <v>231.81</v>
      </c>
      <c r="G470" s="10">
        <v>1717</v>
      </c>
      <c r="H470" s="10">
        <v>6932.9077777777775</v>
      </c>
      <c r="I470" s="11">
        <f>IFERROR(G470/H470, 0)</f>
      </c>
      <c r="J470" s="10">
        <v>6</v>
      </c>
      <c r="K470" s="10">
        <v>4</v>
      </c>
      <c r="L470" s="10">
        <v>1717</v>
      </c>
      <c r="M470" s="12">
        <f>IFERROR(L470/K470, 0)</f>
      </c>
      <c r="N470" s="13">
        <f>IFERROR(J470/K470, 0)</f>
      </c>
      <c r="O470" s="10">
        <v>0</v>
      </c>
      <c r="P470" s="10">
        <v>5491</v>
      </c>
      <c r="Q470" s="10">
        <v>76261.98555555556</v>
      </c>
      <c r="R470" s="11">
        <f>IFERROR(P470/Q470, 0)</f>
      </c>
      <c r="S470" s="10">
        <v>20060</v>
      </c>
      <c r="T470" s="10">
        <v>864424.1355555556</v>
      </c>
      <c r="U470" s="11">
        <f>IFERROR(S470/T470, 0)</f>
      </c>
      <c r="V470" s="10">
        <f>IFERROR(S470/E470, 0)</f>
      </c>
      <c r="W470" s="10">
        <f>IFERROR(T470/F470, 0)</f>
      </c>
      <c r="X470" s="11">
        <f>IFERROR(V470/W470, 0)</f>
      </c>
    </row>
    <row r="471" spans="1:24" x14ac:dyDescent="0.25">
      <c r="A471" s="8" t="s">
        <v>472</v>
      </c>
      <c r="B471" s="8" t="s">
        <v>501</v>
      </c>
      <c r="C471" s="8" t="s">
        <v>24</v>
      </c>
      <c r="D471" s="8" t="s">
        <v>517</v>
      </c>
      <c r="E471" s="9">
        <v>0</v>
      </c>
      <c r="F471" s="9">
        <v>0</v>
      </c>
      <c r="G471" s="10">
        <v>30560</v>
      </c>
      <c r="H471" s="10">
        <v>0</v>
      </c>
      <c r="I471" s="11">
        <f>IFERROR(G471/H471, 0)</f>
      </c>
      <c r="J471" s="10">
        <v>14.03</v>
      </c>
      <c r="K471" s="10">
        <v>18</v>
      </c>
      <c r="L471" s="10">
        <v>32643</v>
      </c>
      <c r="M471" s="12">
        <f>IFERROR(L471/K471, 0)</f>
      </c>
      <c r="N471" s="13">
        <f>IFERROR(J471/K471, 0)</f>
      </c>
      <c r="O471" s="10">
        <v>2083</v>
      </c>
      <c r="P471" s="10">
        <v>315565</v>
      </c>
      <c r="Q471" s="10">
        <v>0</v>
      </c>
      <c r="R471" s="11">
        <f>IFERROR(P471/Q471, 0)</f>
      </c>
      <c r="S471" s="10">
        <v>5059302</v>
      </c>
      <c r="T471" s="10">
        <v>0</v>
      </c>
      <c r="U471" s="11">
        <f>IFERROR(S471/T471, 0)</f>
      </c>
      <c r="V471" s="10">
        <f>IFERROR(S471/E471, 0)</f>
      </c>
      <c r="W471" s="10">
        <f>IFERROR(T471/F471, 0)</f>
      </c>
      <c r="X471" s="11">
        <f>IFERROR(V471/W471, 0)</f>
      </c>
    </row>
    <row r="472" spans="1:24" x14ac:dyDescent="0.25">
      <c r="A472" s="8" t="s">
        <v>472</v>
      </c>
      <c r="B472" s="8" t="s">
        <v>501</v>
      </c>
      <c r="C472" s="8" t="s">
        <v>24</v>
      </c>
      <c r="D472" s="8" t="s">
        <v>518</v>
      </c>
      <c r="E472" s="9">
        <v>273.83</v>
      </c>
      <c r="F472" s="9">
        <v>273.83</v>
      </c>
      <c r="G472" s="10">
        <v>0</v>
      </c>
      <c r="H472" s="10">
        <v>8189.492962962963</v>
      </c>
      <c r="I472" s="11">
        <f>IFERROR(G472/H472, 0)</f>
      </c>
      <c r="J472" s="10">
        <v>0</v>
      </c>
      <c r="K472" s="10">
        <v>0</v>
      </c>
      <c r="L472" s="10">
        <v>0</v>
      </c>
      <c r="M472" s="12">
        <f>IFERROR(L472/K472, 0)</f>
      </c>
      <c r="N472" s="13">
        <f>IFERROR(J472/K472, 0)</f>
      </c>
      <c r="O472" s="10">
        <v>0</v>
      </c>
      <c r="P472" s="10">
        <v>0</v>
      </c>
      <c r="Q472" s="10">
        <v>90084.42259259259</v>
      </c>
      <c r="R472" s="11">
        <f>IFERROR(P472/Q472, 0)</f>
      </c>
      <c r="S472" s="10">
        <v>0</v>
      </c>
      <c r="T472" s="10">
        <v>1021100.4825925926</v>
      </c>
      <c r="U472" s="11">
        <f>IFERROR(S472/T472, 0)</f>
      </c>
      <c r="V472" s="10">
        <f>IFERROR(S472/E472, 0)</f>
      </c>
      <c r="W472" s="10">
        <f>IFERROR(T472/F472, 0)</f>
      </c>
      <c r="X472" s="11">
        <f>IFERROR(V472/W472, 0)</f>
      </c>
    </row>
    <row r="473" spans="1:24" x14ac:dyDescent="0.25">
      <c r="A473" s="8" t="s">
        <v>472</v>
      </c>
      <c r="B473" s="8" t="s">
        <v>501</v>
      </c>
      <c r="C473" s="8" t="s">
        <v>24</v>
      </c>
      <c r="D473" s="8" t="s">
        <v>519</v>
      </c>
      <c r="E473" s="9">
        <v>22.31</v>
      </c>
      <c r="F473" s="9">
        <v>22.31</v>
      </c>
      <c r="G473" s="10">
        <v>0</v>
      </c>
      <c r="H473" s="10">
        <v>667.3314814814814</v>
      </c>
      <c r="I473" s="11">
        <f>IFERROR(G473/H473, 0)</f>
      </c>
      <c r="J473" s="10">
        <v>0</v>
      </c>
      <c r="K473" s="10">
        <v>0</v>
      </c>
      <c r="L473" s="10">
        <v>0</v>
      </c>
      <c r="M473" s="12">
        <f>IFERROR(L473/K473, 0)</f>
      </c>
      <c r="N473" s="13">
        <f>IFERROR(J473/K473, 0)</f>
      </c>
      <c r="O473" s="10">
        <v>0</v>
      </c>
      <c r="P473" s="10">
        <v>0</v>
      </c>
      <c r="Q473" s="10">
        <v>7340.646296296296</v>
      </c>
      <c r="R473" s="11">
        <f>IFERROR(P473/Q473, 0)</f>
      </c>
      <c r="S473" s="10">
        <v>0</v>
      </c>
      <c r="T473" s="10">
        <v>83205.71629629629</v>
      </c>
      <c r="U473" s="11">
        <f>IFERROR(S473/T473, 0)</f>
      </c>
      <c r="V473" s="10">
        <f>IFERROR(S473/E473, 0)</f>
      </c>
      <c r="W473" s="10">
        <f>IFERROR(T473/F473, 0)</f>
      </c>
      <c r="X473" s="11">
        <f>IFERROR(V473/W473, 0)</f>
      </c>
    </row>
    <row r="474" spans="1:24" x14ac:dyDescent="0.25">
      <c r="A474" s="8" t="s">
        <v>472</v>
      </c>
      <c r="B474" s="8" t="s">
        <v>501</v>
      </c>
      <c r="C474" s="8" t="s">
        <v>24</v>
      </c>
      <c r="D474" s="8" t="s">
        <v>520</v>
      </c>
      <c r="E474" s="9">
        <v>0</v>
      </c>
      <c r="F474" s="9">
        <v>0</v>
      </c>
      <c r="G474" s="10">
        <v>0</v>
      </c>
      <c r="H474" s="10">
        <v>0</v>
      </c>
      <c r="I474" s="11">
        <f>IFERROR(G474/H474, 0)</f>
      </c>
      <c r="J474" s="10">
        <v>0</v>
      </c>
      <c r="K474" s="10">
        <v>0</v>
      </c>
      <c r="L474" s="10">
        <v>0</v>
      </c>
      <c r="M474" s="12">
        <f>IFERROR(L474/K474, 0)</f>
      </c>
      <c r="N474" s="13">
        <f>IFERROR(J474/K474, 0)</f>
      </c>
      <c r="O474" s="10">
        <v>0</v>
      </c>
      <c r="P474" s="10">
        <v>0</v>
      </c>
      <c r="Q474" s="10">
        <v>0</v>
      </c>
      <c r="R474" s="11">
        <f>IFERROR(P474/Q474, 0)</f>
      </c>
      <c r="S474" s="10">
        <v>0</v>
      </c>
      <c r="T474" s="10">
        <v>0</v>
      </c>
      <c r="U474" s="11">
        <f>IFERROR(S474/T474, 0)</f>
      </c>
      <c r="V474" s="10">
        <f>IFERROR(S474/E474, 0)</f>
      </c>
      <c r="W474" s="10">
        <f>IFERROR(T474/F474, 0)</f>
      </c>
      <c r="X474" s="11">
        <f>IFERROR(V474/W474, 0)</f>
      </c>
    </row>
    <row r="475" spans="1:24" x14ac:dyDescent="0.25">
      <c r="A475" s="8" t="s">
        <v>472</v>
      </c>
      <c r="B475" s="8" t="s">
        <v>501</v>
      </c>
      <c r="C475" s="8" t="s">
        <v>24</v>
      </c>
      <c r="D475" s="8" t="s">
        <v>521</v>
      </c>
      <c r="E475" s="9">
        <v>0</v>
      </c>
      <c r="F475" s="9">
        <v>0</v>
      </c>
      <c r="G475" s="10">
        <v>0</v>
      </c>
      <c r="H475" s="10">
        <v>0</v>
      </c>
      <c r="I475" s="11">
        <f>IFERROR(G475/H475, 0)</f>
      </c>
      <c r="J475" s="10">
        <v>0</v>
      </c>
      <c r="K475" s="10">
        <v>0</v>
      </c>
      <c r="L475" s="10">
        <v>0</v>
      </c>
      <c r="M475" s="12">
        <f>IFERROR(L475/K475, 0)</f>
      </c>
      <c r="N475" s="13">
        <f>IFERROR(J475/K475, 0)</f>
      </c>
      <c r="O475" s="10">
        <v>0</v>
      </c>
      <c r="P475" s="10">
        <v>0</v>
      </c>
      <c r="Q475" s="10">
        <v>0</v>
      </c>
      <c r="R475" s="11">
        <f>IFERROR(P475/Q475, 0)</f>
      </c>
      <c r="S475" s="10">
        <v>0</v>
      </c>
      <c r="T475" s="10">
        <v>0</v>
      </c>
      <c r="U475" s="11">
        <f>IFERROR(S475/T475, 0)</f>
      </c>
      <c r="V475" s="10">
        <f>IFERROR(S475/E475, 0)</f>
      </c>
      <c r="W475" s="10">
        <f>IFERROR(T475/F475, 0)</f>
      </c>
      <c r="X475" s="11">
        <f>IFERROR(V475/W475, 0)</f>
      </c>
    </row>
    <row r="476" spans="1:24" x14ac:dyDescent="0.25">
      <c r="A476" s="8" t="s">
        <v>472</v>
      </c>
      <c r="B476" s="8" t="s">
        <v>501</v>
      </c>
      <c r="C476" s="8" t="s">
        <v>24</v>
      </c>
      <c r="D476" s="8" t="s">
        <v>522</v>
      </c>
      <c r="E476" s="9">
        <v>13.72</v>
      </c>
      <c r="F476" s="9">
        <v>13.72</v>
      </c>
      <c r="G476" s="10">
        <v>0</v>
      </c>
      <c r="H476" s="10">
        <v>410.1862962962963</v>
      </c>
      <c r="I476" s="11">
        <f>IFERROR(G476/H476, 0)</f>
      </c>
      <c r="J476" s="10">
        <v>0</v>
      </c>
      <c r="K476" s="10">
        <v>0</v>
      </c>
      <c r="L476" s="10">
        <v>0</v>
      </c>
      <c r="M476" s="12">
        <f>IFERROR(L476/K476, 0)</f>
      </c>
      <c r="N476" s="13">
        <f>IFERROR(J476/K476, 0)</f>
      </c>
      <c r="O476" s="10">
        <v>0</v>
      </c>
      <c r="P476" s="10">
        <v>0</v>
      </c>
      <c r="Q476" s="10">
        <v>4512.049259259259</v>
      </c>
      <c r="R476" s="11">
        <f>IFERROR(P476/Q476, 0)</f>
      </c>
      <c r="S476" s="10">
        <v>0</v>
      </c>
      <c r="T476" s="10">
        <v>51143.77925925926</v>
      </c>
      <c r="U476" s="11">
        <f>IFERROR(S476/T476, 0)</f>
      </c>
      <c r="V476" s="10">
        <f>IFERROR(S476/E476, 0)</f>
      </c>
      <c r="W476" s="10">
        <f>IFERROR(T476/F476, 0)</f>
      </c>
      <c r="X476" s="11">
        <f>IFERROR(V476/W476, 0)</f>
      </c>
    </row>
    <row r="477" spans="1:24" x14ac:dyDescent="0.25">
      <c r="A477" s="8" t="s">
        <v>472</v>
      </c>
      <c r="B477" s="8" t="s">
        <v>501</v>
      </c>
      <c r="C477" s="8" t="s">
        <v>24</v>
      </c>
      <c r="D477" s="8" t="s">
        <v>523</v>
      </c>
      <c r="E477" s="9">
        <v>0</v>
      </c>
      <c r="F477" s="9">
        <v>0</v>
      </c>
      <c r="G477" s="10">
        <v>0</v>
      </c>
      <c r="H477" s="10">
        <v>0</v>
      </c>
      <c r="I477" s="11">
        <f>IFERROR(G477/H477, 0)</f>
      </c>
      <c r="J477" s="10">
        <v>0</v>
      </c>
      <c r="K477" s="10">
        <v>0</v>
      </c>
      <c r="L477" s="10">
        <v>0</v>
      </c>
      <c r="M477" s="12">
        <f>IFERROR(L477/K477, 0)</f>
      </c>
      <c r="N477" s="13">
        <f>IFERROR(J477/K477, 0)</f>
      </c>
      <c r="O477" s="10">
        <v>0</v>
      </c>
      <c r="P477" s="10">
        <v>0</v>
      </c>
      <c r="Q477" s="10">
        <v>0</v>
      </c>
      <c r="R477" s="11">
        <f>IFERROR(P477/Q477, 0)</f>
      </c>
      <c r="S477" s="10">
        <v>0</v>
      </c>
      <c r="T477" s="10">
        <v>0</v>
      </c>
      <c r="U477" s="11">
        <f>IFERROR(S477/T477, 0)</f>
      </c>
      <c r="V477" s="10">
        <f>IFERROR(S477/E477, 0)</f>
      </c>
      <c r="W477" s="10">
        <f>IFERROR(T477/F477, 0)</f>
      </c>
      <c r="X477" s="11">
        <f>IFERROR(V477/W477, 0)</f>
      </c>
    </row>
    <row r="478" spans="1:24" x14ac:dyDescent="0.25">
      <c r="A478" s="8" t="s">
        <v>472</v>
      </c>
      <c r="B478" s="8" t="s">
        <v>501</v>
      </c>
      <c r="C478" s="8" t="s">
        <v>24</v>
      </c>
      <c r="D478" s="8" t="s">
        <v>524</v>
      </c>
      <c r="E478" s="9">
        <v>0</v>
      </c>
      <c r="F478" s="9">
        <v>0</v>
      </c>
      <c r="G478" s="10">
        <v>0</v>
      </c>
      <c r="H478" s="10">
        <v>0</v>
      </c>
      <c r="I478" s="11">
        <f>IFERROR(G478/H478, 0)</f>
      </c>
      <c r="J478" s="10">
        <v>0</v>
      </c>
      <c r="K478" s="10">
        <v>0</v>
      </c>
      <c r="L478" s="10">
        <v>0</v>
      </c>
      <c r="M478" s="12">
        <f>IFERROR(L478/K478, 0)</f>
      </c>
      <c r="N478" s="13">
        <f>IFERROR(J478/K478, 0)</f>
      </c>
      <c r="O478" s="10">
        <v>0</v>
      </c>
      <c r="P478" s="10">
        <v>0</v>
      </c>
      <c r="Q478" s="10">
        <v>0</v>
      </c>
      <c r="R478" s="11">
        <f>IFERROR(P478/Q478, 0)</f>
      </c>
      <c r="S478" s="10">
        <v>0</v>
      </c>
      <c r="T478" s="10">
        <v>0</v>
      </c>
      <c r="U478" s="11">
        <f>IFERROR(S478/T478, 0)</f>
      </c>
      <c r="V478" s="10">
        <f>IFERROR(S478/E478, 0)</f>
      </c>
      <c r="W478" s="10">
        <f>IFERROR(T478/F478, 0)</f>
      </c>
      <c r="X478" s="11">
        <f>IFERROR(V478/W478, 0)</f>
      </c>
    </row>
    <row r="479" spans="1:24" x14ac:dyDescent="0.25">
      <c r="A479" s="8" t="s">
        <v>472</v>
      </c>
      <c r="B479" s="8" t="s">
        <v>501</v>
      </c>
      <c r="C479" s="8" t="s">
        <v>24</v>
      </c>
      <c r="D479" s="8" t="s">
        <v>525</v>
      </c>
      <c r="E479" s="9">
        <v>0</v>
      </c>
      <c r="F479" s="9">
        <v>0</v>
      </c>
      <c r="G479" s="10">
        <v>0</v>
      </c>
      <c r="H479" s="10">
        <v>0</v>
      </c>
      <c r="I479" s="11">
        <f>IFERROR(G479/H479, 0)</f>
      </c>
      <c r="J479" s="10">
        <v>0</v>
      </c>
      <c r="K479" s="10">
        <v>0</v>
      </c>
      <c r="L479" s="10">
        <v>0</v>
      </c>
      <c r="M479" s="12">
        <f>IFERROR(L479/K479, 0)</f>
      </c>
      <c r="N479" s="13">
        <f>IFERROR(J479/K479, 0)</f>
      </c>
      <c r="O479" s="10">
        <v>0</v>
      </c>
      <c r="P479" s="10">
        <v>0</v>
      </c>
      <c r="Q479" s="10">
        <v>0</v>
      </c>
      <c r="R479" s="11">
        <f>IFERROR(P479/Q479, 0)</f>
      </c>
      <c r="S479" s="10">
        <v>0</v>
      </c>
      <c r="T479" s="10">
        <v>0</v>
      </c>
      <c r="U479" s="11">
        <f>IFERROR(S479/T479, 0)</f>
      </c>
      <c r="V479" s="10">
        <f>IFERROR(S479/E479, 0)</f>
      </c>
      <c r="W479" s="10">
        <f>IFERROR(T479/F479, 0)</f>
      </c>
      <c r="X479" s="11">
        <f>IFERROR(V479/W479, 0)</f>
      </c>
    </row>
    <row r="480" spans="1:24" x14ac:dyDescent="0.25">
      <c r="A480" s="8" t="s">
        <v>472</v>
      </c>
      <c r="B480" s="8" t="s">
        <v>501</v>
      </c>
      <c r="C480" s="8" t="s">
        <v>24</v>
      </c>
      <c r="D480" s="8" t="s">
        <v>526</v>
      </c>
      <c r="E480" s="9">
        <v>7.59</v>
      </c>
      <c r="F480" s="9">
        <v>7.59</v>
      </c>
      <c r="G480" s="10">
        <v>0</v>
      </c>
      <c r="H480" s="10">
        <v>227.1151851851852</v>
      </c>
      <c r="I480" s="11">
        <f>IFERROR(G480/H480, 0)</f>
      </c>
      <c r="J480" s="10">
        <v>0</v>
      </c>
      <c r="K480" s="10">
        <v>0</v>
      </c>
      <c r="L480" s="10">
        <v>0</v>
      </c>
      <c r="M480" s="12">
        <f>IFERROR(L480/K480, 0)</f>
      </c>
      <c r="N480" s="13">
        <f>IFERROR(J480/K480, 0)</f>
      </c>
      <c r="O480" s="10">
        <v>0</v>
      </c>
      <c r="P480" s="10">
        <v>0</v>
      </c>
      <c r="Q480" s="10">
        <v>2498.267037037037</v>
      </c>
      <c r="R480" s="11">
        <f>IFERROR(P480/Q480, 0)</f>
      </c>
      <c r="S480" s="10">
        <v>0</v>
      </c>
      <c r="T480" s="10">
        <v>28317.677037037036</v>
      </c>
      <c r="U480" s="11">
        <f>IFERROR(S480/T480, 0)</f>
      </c>
      <c r="V480" s="10">
        <f>IFERROR(S480/E480, 0)</f>
      </c>
      <c r="W480" s="10">
        <f>IFERROR(T480/F480, 0)</f>
      </c>
      <c r="X480" s="11">
        <f>IFERROR(V480/W480, 0)</f>
      </c>
    </row>
    <row r="481" spans="1:24" x14ac:dyDescent="0.25">
      <c r="A481" s="8" t="s">
        <v>472</v>
      </c>
      <c r="B481" s="8" t="s">
        <v>501</v>
      </c>
      <c r="C481" s="8" t="s">
        <v>24</v>
      </c>
      <c r="D481" s="8" t="s">
        <v>527</v>
      </c>
      <c r="E481" s="9">
        <v>0</v>
      </c>
      <c r="F481" s="9">
        <v>0</v>
      </c>
      <c r="G481" s="10">
        <v>0</v>
      </c>
      <c r="H481" s="10">
        <v>0</v>
      </c>
      <c r="I481" s="11">
        <f>IFERROR(G481/H481, 0)</f>
      </c>
      <c r="J481" s="10">
        <v>0</v>
      </c>
      <c r="K481" s="10">
        <v>0</v>
      </c>
      <c r="L481" s="10">
        <v>0</v>
      </c>
      <c r="M481" s="12">
        <f>IFERROR(L481/K481, 0)</f>
      </c>
      <c r="N481" s="13">
        <f>IFERROR(J481/K481, 0)</f>
      </c>
      <c r="O481" s="10">
        <v>0</v>
      </c>
      <c r="P481" s="10">
        <v>0</v>
      </c>
      <c r="Q481" s="10">
        <v>0</v>
      </c>
      <c r="R481" s="11">
        <f>IFERROR(P481/Q481, 0)</f>
      </c>
      <c r="S481" s="10">
        <v>0</v>
      </c>
      <c r="T481" s="10">
        <v>0</v>
      </c>
      <c r="U481" s="11">
        <f>IFERROR(S481/T481, 0)</f>
      </c>
      <c r="V481" s="10">
        <f>IFERROR(S481/E481, 0)</f>
      </c>
      <c r="W481" s="10">
        <f>IFERROR(T481/F481, 0)</f>
      </c>
      <c r="X481" s="11">
        <f>IFERROR(V481/W481, 0)</f>
      </c>
    </row>
    <row r="482" spans="1:24" x14ac:dyDescent="0.25">
      <c r="A482" s="8" t="s">
        <v>472</v>
      </c>
      <c r="B482" s="8" t="s">
        <v>501</v>
      </c>
      <c r="C482" s="8" t="s">
        <v>24</v>
      </c>
      <c r="D482" s="8" t="s">
        <v>528</v>
      </c>
      <c r="E482" s="9">
        <v>0</v>
      </c>
      <c r="F482" s="9">
        <v>0</v>
      </c>
      <c r="G482" s="10">
        <v>0</v>
      </c>
      <c r="H482" s="10">
        <v>0</v>
      </c>
      <c r="I482" s="11">
        <f>IFERROR(G482/H482, 0)</f>
      </c>
      <c r="J482" s="10">
        <v>0</v>
      </c>
      <c r="K482" s="10">
        <v>0</v>
      </c>
      <c r="L482" s="10">
        <v>0</v>
      </c>
      <c r="M482" s="12">
        <f>IFERROR(L482/K482, 0)</f>
      </c>
      <c r="N482" s="13">
        <f>IFERROR(J482/K482, 0)</f>
      </c>
      <c r="O482" s="10">
        <v>0</v>
      </c>
      <c r="P482" s="10">
        <v>0</v>
      </c>
      <c r="Q482" s="10">
        <v>0</v>
      </c>
      <c r="R482" s="11">
        <f>IFERROR(P482/Q482, 0)</f>
      </c>
      <c r="S482" s="10">
        <v>0</v>
      </c>
      <c r="T482" s="10">
        <v>0</v>
      </c>
      <c r="U482" s="11">
        <f>IFERROR(S482/T482, 0)</f>
      </c>
      <c r="V482" s="10">
        <f>IFERROR(S482/E482, 0)</f>
      </c>
      <c r="W482" s="10">
        <f>IFERROR(T482/F482, 0)</f>
      </c>
      <c r="X482" s="11">
        <f>IFERROR(V482/W482, 0)</f>
      </c>
    </row>
    <row r="483" spans="1:24" x14ac:dyDescent="0.25">
      <c r="A483" s="8" t="s">
        <v>472</v>
      </c>
      <c r="B483" s="8" t="s">
        <v>501</v>
      </c>
      <c r="C483" s="8" t="s">
        <v>24</v>
      </c>
      <c r="D483" s="8" t="s">
        <v>529</v>
      </c>
      <c r="E483" s="9">
        <v>152.34</v>
      </c>
      <c r="F483" s="9">
        <v>152.34</v>
      </c>
      <c r="G483" s="10">
        <v>0</v>
      </c>
      <c r="H483" s="10">
        <v>4556.095185185185</v>
      </c>
      <c r="I483" s="11">
        <f>IFERROR(G483/H483, 0)</f>
      </c>
      <c r="J483" s="10">
        <v>0</v>
      </c>
      <c r="K483" s="10">
        <v>0</v>
      </c>
      <c r="L483" s="10">
        <v>0</v>
      </c>
      <c r="M483" s="12">
        <f>IFERROR(L483/K483, 0)</f>
      </c>
      <c r="N483" s="13">
        <f>IFERROR(J483/K483, 0)</f>
      </c>
      <c r="O483" s="10">
        <v>0</v>
      </c>
      <c r="P483" s="10">
        <v>0</v>
      </c>
      <c r="Q483" s="10">
        <v>50117.04703703704</v>
      </c>
      <c r="R483" s="11">
        <f>IFERROR(P483/Q483, 0)</f>
      </c>
      <c r="S483" s="10">
        <v>0</v>
      </c>
      <c r="T483" s="10">
        <v>568073.117037037</v>
      </c>
      <c r="U483" s="11">
        <f>IFERROR(S483/T483, 0)</f>
      </c>
      <c r="V483" s="10">
        <f>IFERROR(S483/E483, 0)</f>
      </c>
      <c r="W483" s="10">
        <f>IFERROR(T483/F483, 0)</f>
      </c>
      <c r="X483" s="11">
        <f>IFERROR(V483/W483, 0)</f>
      </c>
    </row>
    <row r="484" spans="1:24" x14ac:dyDescent="0.25">
      <c r="A484" s="8" t="s">
        <v>472</v>
      </c>
      <c r="B484" s="8" t="s">
        <v>501</v>
      </c>
      <c r="C484" s="8" t="s">
        <v>24</v>
      </c>
      <c r="D484" s="8" t="s">
        <v>530</v>
      </c>
      <c r="E484" s="9">
        <v>22.31</v>
      </c>
      <c r="F484" s="9">
        <v>22.31</v>
      </c>
      <c r="G484" s="10">
        <v>0</v>
      </c>
      <c r="H484" s="10">
        <v>667.3314814814814</v>
      </c>
      <c r="I484" s="11">
        <f>IFERROR(G484/H484, 0)</f>
      </c>
      <c r="J484" s="10">
        <v>0</v>
      </c>
      <c r="K484" s="10">
        <v>0</v>
      </c>
      <c r="L484" s="10">
        <v>0</v>
      </c>
      <c r="M484" s="12">
        <f>IFERROR(L484/K484, 0)</f>
      </c>
      <c r="N484" s="13">
        <f>IFERROR(J484/K484, 0)</f>
      </c>
      <c r="O484" s="10">
        <v>0</v>
      </c>
      <c r="P484" s="10">
        <v>0</v>
      </c>
      <c r="Q484" s="10">
        <v>7340.646296296296</v>
      </c>
      <c r="R484" s="11">
        <f>IFERROR(P484/Q484, 0)</f>
      </c>
      <c r="S484" s="10">
        <v>0</v>
      </c>
      <c r="T484" s="10">
        <v>83205.71629629629</v>
      </c>
      <c r="U484" s="11">
        <f>IFERROR(S484/T484, 0)</f>
      </c>
      <c r="V484" s="10">
        <f>IFERROR(S484/E484, 0)</f>
      </c>
      <c r="W484" s="10">
        <f>IFERROR(T484/F484, 0)</f>
      </c>
      <c r="X484" s="11">
        <f>IFERROR(V484/W484, 0)</f>
      </c>
    </row>
    <row r="485" spans="1:24" x14ac:dyDescent="0.25">
      <c r="A485" s="8" t="s">
        <v>472</v>
      </c>
      <c r="B485" s="8" t="s">
        <v>501</v>
      </c>
      <c r="C485" s="8" t="s">
        <v>24</v>
      </c>
      <c r="D485" s="8" t="s">
        <v>531</v>
      </c>
      <c r="E485" s="9">
        <v>0</v>
      </c>
      <c r="F485" s="9">
        <v>0</v>
      </c>
      <c r="G485" s="10">
        <v>0</v>
      </c>
      <c r="H485" s="10">
        <v>0</v>
      </c>
      <c r="I485" s="11">
        <f>IFERROR(G485/H485, 0)</f>
      </c>
      <c r="J485" s="10">
        <v>0</v>
      </c>
      <c r="K485" s="10">
        <v>0</v>
      </c>
      <c r="L485" s="10">
        <v>0</v>
      </c>
      <c r="M485" s="12">
        <f>IFERROR(L485/K485, 0)</f>
      </c>
      <c r="N485" s="13">
        <f>IFERROR(J485/K485, 0)</f>
      </c>
      <c r="O485" s="10">
        <v>0</v>
      </c>
      <c r="P485" s="10">
        <v>0</v>
      </c>
      <c r="Q485" s="10">
        <v>0</v>
      </c>
      <c r="R485" s="11">
        <f>IFERROR(P485/Q485, 0)</f>
      </c>
      <c r="S485" s="10">
        <v>0</v>
      </c>
      <c r="T485" s="10">
        <v>0</v>
      </c>
      <c r="U485" s="11">
        <f>IFERROR(S485/T485, 0)</f>
      </c>
      <c r="V485" s="10">
        <f>IFERROR(S485/E485, 0)</f>
      </c>
      <c r="W485" s="10">
        <f>IFERROR(T485/F485, 0)</f>
      </c>
      <c r="X485" s="11">
        <f>IFERROR(V485/W485, 0)</f>
      </c>
    </row>
    <row r="486" spans="1:24" x14ac:dyDescent="0.25">
      <c r="A486" s="8" t="s">
        <v>472</v>
      </c>
      <c r="B486" s="8" t="s">
        <v>501</v>
      </c>
      <c r="C486" s="8" t="s">
        <v>24</v>
      </c>
      <c r="D486" s="8" t="s">
        <v>532</v>
      </c>
      <c r="E486" s="9">
        <v>396.41</v>
      </c>
      <c r="F486" s="9">
        <v>396.41</v>
      </c>
      <c r="G486" s="10">
        <v>0</v>
      </c>
      <c r="H486" s="10">
        <v>11855.59037037037</v>
      </c>
      <c r="I486" s="11">
        <f>IFERROR(G486/H486, 0)</f>
      </c>
      <c r="J486" s="10">
        <v>0</v>
      </c>
      <c r="K486" s="10">
        <v>0</v>
      </c>
      <c r="L486" s="10">
        <v>0</v>
      </c>
      <c r="M486" s="12">
        <f>IFERROR(L486/K486, 0)</f>
      </c>
      <c r="N486" s="13">
        <f>IFERROR(J486/K486, 0)</f>
      </c>
      <c r="O486" s="10">
        <v>0</v>
      </c>
      <c r="P486" s="10">
        <v>0</v>
      </c>
      <c r="Q486" s="10">
        <v>130411.49407407407</v>
      </c>
      <c r="R486" s="11">
        <f>IFERROR(P486/Q486, 0)</f>
      </c>
      <c r="S486" s="10">
        <v>0</v>
      </c>
      <c r="T486" s="10">
        <v>1478204.924074074</v>
      </c>
      <c r="U486" s="11">
        <f>IFERROR(S486/T486, 0)</f>
      </c>
      <c r="V486" s="10">
        <f>IFERROR(S486/E486, 0)</f>
      </c>
      <c r="W486" s="10">
        <f>IFERROR(T486/F486, 0)</f>
      </c>
      <c r="X486" s="11">
        <f>IFERROR(V486/W486, 0)</f>
      </c>
    </row>
    <row r="487" spans="1:24" x14ac:dyDescent="0.25">
      <c r="A487" s="8" t="s">
        <v>472</v>
      </c>
      <c r="B487" s="8" t="s">
        <v>501</v>
      </c>
      <c r="C487" s="8" t="s">
        <v>24</v>
      </c>
      <c r="D487" s="8" t="s">
        <v>533</v>
      </c>
      <c r="E487" s="9">
        <v>0</v>
      </c>
      <c r="F487" s="9">
        <v>0</v>
      </c>
      <c r="G487" s="10">
        <v>0</v>
      </c>
      <c r="H487" s="10">
        <v>0</v>
      </c>
      <c r="I487" s="11">
        <f>IFERROR(G487/H487, 0)</f>
      </c>
      <c r="J487" s="10">
        <v>0</v>
      </c>
      <c r="K487" s="10">
        <v>0</v>
      </c>
      <c r="L487" s="10">
        <v>0</v>
      </c>
      <c r="M487" s="12">
        <f>IFERROR(L487/K487, 0)</f>
      </c>
      <c r="N487" s="13">
        <f>IFERROR(J487/K487, 0)</f>
      </c>
      <c r="O487" s="10">
        <v>0</v>
      </c>
      <c r="P487" s="10">
        <v>0</v>
      </c>
      <c r="Q487" s="10">
        <v>0</v>
      </c>
      <c r="R487" s="11">
        <f>IFERROR(P487/Q487, 0)</f>
      </c>
      <c r="S487" s="10">
        <v>0</v>
      </c>
      <c r="T487" s="10">
        <v>0</v>
      </c>
      <c r="U487" s="11">
        <f>IFERROR(S487/T487, 0)</f>
      </c>
      <c r="V487" s="10">
        <f>IFERROR(S487/E487, 0)</f>
      </c>
      <c r="W487" s="10">
        <f>IFERROR(T487/F487, 0)</f>
      </c>
      <c r="X487" s="11">
        <f>IFERROR(V487/W487, 0)</f>
      </c>
    </row>
    <row r="488" spans="1:24" x14ac:dyDescent="0.25">
      <c r="A488" s="8" t="s">
        <v>472</v>
      </c>
      <c r="B488" s="8" t="s">
        <v>501</v>
      </c>
      <c r="C488" s="8" t="s">
        <v>24</v>
      </c>
      <c r="D488" s="8" t="s">
        <v>534</v>
      </c>
      <c r="E488" s="9">
        <v>14.04</v>
      </c>
      <c r="F488" s="9">
        <v>14.04</v>
      </c>
      <c r="G488" s="10">
        <v>0</v>
      </c>
      <c r="H488" s="10">
        <v>419.7514814814815</v>
      </c>
      <c r="I488" s="11">
        <f>IFERROR(G488/H488, 0)</f>
      </c>
      <c r="J488" s="10">
        <v>0</v>
      </c>
      <c r="K488" s="10">
        <v>0</v>
      </c>
      <c r="L488" s="10">
        <v>0</v>
      </c>
      <c r="M488" s="12">
        <f>IFERROR(L488/K488, 0)</f>
      </c>
      <c r="N488" s="13">
        <f>IFERROR(J488/K488, 0)</f>
      </c>
      <c r="O488" s="10">
        <v>0</v>
      </c>
      <c r="P488" s="10">
        <v>0</v>
      </c>
      <c r="Q488" s="10">
        <v>4617.266296296296</v>
      </c>
      <c r="R488" s="11">
        <f>IFERROR(P488/Q488, 0)</f>
      </c>
      <c r="S488" s="10">
        <v>0</v>
      </c>
      <c r="T488" s="10">
        <v>52336.3962962963</v>
      </c>
      <c r="U488" s="11">
        <f>IFERROR(S488/T488, 0)</f>
      </c>
      <c r="V488" s="10">
        <f>IFERROR(S488/E488, 0)</f>
      </c>
      <c r="W488" s="10">
        <f>IFERROR(T488/F488, 0)</f>
      </c>
      <c r="X488" s="11">
        <f>IFERROR(V488/W488, 0)</f>
      </c>
    </row>
    <row r="489" spans="1:24" x14ac:dyDescent="0.25">
      <c r="A489" s="8" t="s">
        <v>472</v>
      </c>
      <c r="B489" s="8" t="s">
        <v>501</v>
      </c>
      <c r="C489" s="8" t="s">
        <v>24</v>
      </c>
      <c r="D489" s="8" t="s">
        <v>535</v>
      </c>
      <c r="E489" s="9">
        <v>0</v>
      </c>
      <c r="F489" s="9">
        <v>0</v>
      </c>
      <c r="G489" s="10">
        <v>0</v>
      </c>
      <c r="H489" s="10">
        <v>0</v>
      </c>
      <c r="I489" s="11">
        <f>IFERROR(G489/H489, 0)</f>
      </c>
      <c r="J489" s="10">
        <v>0</v>
      </c>
      <c r="K489" s="10">
        <v>0</v>
      </c>
      <c r="L489" s="10">
        <v>0</v>
      </c>
      <c r="M489" s="12">
        <f>IFERROR(L489/K489, 0)</f>
      </c>
      <c r="N489" s="13">
        <f>IFERROR(J489/K489, 0)</f>
      </c>
      <c r="O489" s="10">
        <v>0</v>
      </c>
      <c r="P489" s="10">
        <v>0</v>
      </c>
      <c r="Q489" s="10">
        <v>0</v>
      </c>
      <c r="R489" s="11">
        <f>IFERROR(P489/Q489, 0)</f>
      </c>
      <c r="S489" s="10">
        <v>0</v>
      </c>
      <c r="T489" s="10">
        <v>0</v>
      </c>
      <c r="U489" s="11">
        <f>IFERROR(S489/T489, 0)</f>
      </c>
      <c r="V489" s="10">
        <f>IFERROR(S489/E489, 0)</f>
      </c>
      <c r="W489" s="10">
        <f>IFERROR(T489/F489, 0)</f>
      </c>
      <c r="X489" s="11">
        <f>IFERROR(V489/W489, 0)</f>
      </c>
    </row>
    <row r="490" spans="1:24" x14ac:dyDescent="0.25">
      <c r="A490" s="8" t="s">
        <v>472</v>
      </c>
      <c r="B490" s="8" t="s">
        <v>501</v>
      </c>
      <c r="C490" s="8" t="s">
        <v>24</v>
      </c>
      <c r="D490" s="8" t="s">
        <v>536</v>
      </c>
      <c r="E490" s="9">
        <v>128.95</v>
      </c>
      <c r="F490" s="9">
        <v>128.95</v>
      </c>
      <c r="G490" s="10">
        <v>0</v>
      </c>
      <c r="H490" s="10">
        <v>3856.509259259259</v>
      </c>
      <c r="I490" s="11">
        <f>IFERROR(G490/H490, 0)</f>
      </c>
      <c r="J490" s="10">
        <v>0</v>
      </c>
      <c r="K490" s="10">
        <v>0</v>
      </c>
      <c r="L490" s="10">
        <v>0</v>
      </c>
      <c r="M490" s="12">
        <f>IFERROR(L490/K490, 0)</f>
      </c>
      <c r="N490" s="13">
        <f>IFERROR(J490/K490, 0)</f>
      </c>
      <c r="O490" s="10">
        <v>0</v>
      </c>
      <c r="P490" s="10">
        <v>0</v>
      </c>
      <c r="Q490" s="10">
        <v>42421.601851851854</v>
      </c>
      <c r="R490" s="11">
        <f>IFERROR(P490/Q490, 0)</f>
      </c>
      <c r="S490" s="10">
        <v>0</v>
      </c>
      <c r="T490" s="10">
        <v>480845.80185185187</v>
      </c>
      <c r="U490" s="11">
        <f>IFERROR(S490/T490, 0)</f>
      </c>
      <c r="V490" s="10">
        <f>IFERROR(S490/E490, 0)</f>
      </c>
      <c r="W490" s="10">
        <f>IFERROR(T490/F490, 0)</f>
      </c>
      <c r="X490" s="11">
        <f>IFERROR(V490/W490, 0)</f>
      </c>
    </row>
    <row r="491" spans="1:24" x14ac:dyDescent="0.25">
      <c r="A491" s="8" t="s">
        <v>472</v>
      </c>
      <c r="B491" s="8" t="s">
        <v>501</v>
      </c>
      <c r="C491" s="8" t="s">
        <v>24</v>
      </c>
      <c r="D491" s="8" t="s">
        <v>537</v>
      </c>
      <c r="E491" s="9">
        <v>228.82</v>
      </c>
      <c r="F491" s="9">
        <v>228.82</v>
      </c>
      <c r="G491" s="10">
        <v>0</v>
      </c>
      <c r="H491" s="10">
        <v>6843.485185185185</v>
      </c>
      <c r="I491" s="11">
        <f>IFERROR(G491/H491, 0)</f>
      </c>
      <c r="J491" s="10">
        <v>0</v>
      </c>
      <c r="K491" s="10">
        <v>0</v>
      </c>
      <c r="L491" s="10">
        <v>0</v>
      </c>
      <c r="M491" s="12">
        <f>IFERROR(L491/K491, 0)</f>
      </c>
      <c r="N491" s="13">
        <f>IFERROR(J491/K491, 0)</f>
      </c>
      <c r="O491" s="10">
        <v>0</v>
      </c>
      <c r="P491" s="10">
        <v>0</v>
      </c>
      <c r="Q491" s="10">
        <v>75278.33703703704</v>
      </c>
      <c r="R491" s="11">
        <f>IFERROR(P491/Q491, 0)</f>
      </c>
      <c r="S491" s="10">
        <v>0</v>
      </c>
      <c r="T491" s="10">
        <v>853274.557037037</v>
      </c>
      <c r="U491" s="11">
        <f>IFERROR(S491/T491, 0)</f>
      </c>
      <c r="V491" s="10">
        <f>IFERROR(S491/E491, 0)</f>
      </c>
      <c r="W491" s="10">
        <f>IFERROR(T491/F491, 0)</f>
      </c>
      <c r="X491" s="11">
        <f>IFERROR(V491/W491, 0)</f>
      </c>
    </row>
    <row r="492" spans="1:24" x14ac:dyDescent="0.25">
      <c r="A492" s="8" t="s">
        <v>472</v>
      </c>
      <c r="B492" s="8" t="s">
        <v>501</v>
      </c>
      <c r="C492" s="8" t="s">
        <v>24</v>
      </c>
      <c r="D492" s="8" t="s">
        <v>538</v>
      </c>
      <c r="E492" s="9">
        <v>0</v>
      </c>
      <c r="F492" s="9">
        <v>0</v>
      </c>
      <c r="G492" s="10">
        <v>0</v>
      </c>
      <c r="H492" s="10">
        <v>0</v>
      </c>
      <c r="I492" s="11">
        <f>IFERROR(G492/H492, 0)</f>
      </c>
      <c r="J492" s="10">
        <v>0</v>
      </c>
      <c r="K492" s="10">
        <v>0</v>
      </c>
      <c r="L492" s="10">
        <v>0</v>
      </c>
      <c r="M492" s="12">
        <f>IFERROR(L492/K492, 0)</f>
      </c>
      <c r="N492" s="13">
        <f>IFERROR(J492/K492, 0)</f>
      </c>
      <c r="O492" s="10">
        <v>0</v>
      </c>
      <c r="P492" s="10">
        <v>0</v>
      </c>
      <c r="Q492" s="10">
        <v>0</v>
      </c>
      <c r="R492" s="11">
        <f>IFERROR(P492/Q492, 0)</f>
      </c>
      <c r="S492" s="10">
        <v>0</v>
      </c>
      <c r="T492" s="10">
        <v>0</v>
      </c>
      <c r="U492" s="11">
        <f>IFERROR(S492/T492, 0)</f>
      </c>
      <c r="V492" s="10">
        <f>IFERROR(S492/E492, 0)</f>
      </c>
      <c r="W492" s="10">
        <f>IFERROR(T492/F492, 0)</f>
      </c>
      <c r="X492" s="11">
        <f>IFERROR(V492/W492, 0)</f>
      </c>
    </row>
    <row r="493" spans="1:24" x14ac:dyDescent="0.25">
      <c r="A493" s="8" t="s">
        <v>472</v>
      </c>
      <c r="B493" s="8" t="s">
        <v>501</v>
      </c>
      <c r="C493" s="8" t="s">
        <v>24</v>
      </c>
      <c r="D493" s="8" t="s">
        <v>539</v>
      </c>
      <c r="E493" s="9">
        <v>0</v>
      </c>
      <c r="F493" s="9">
        <v>0</v>
      </c>
      <c r="G493" s="10">
        <v>0</v>
      </c>
      <c r="H493" s="10">
        <v>0</v>
      </c>
      <c r="I493" s="11">
        <f>IFERROR(G493/H493, 0)</f>
      </c>
      <c r="J493" s="10">
        <v>0</v>
      </c>
      <c r="K493" s="10">
        <v>0</v>
      </c>
      <c r="L493" s="10">
        <v>0</v>
      </c>
      <c r="M493" s="12">
        <f>IFERROR(L493/K493, 0)</f>
      </c>
      <c r="N493" s="13">
        <f>IFERROR(J493/K493, 0)</f>
      </c>
      <c r="O493" s="10">
        <v>0</v>
      </c>
      <c r="P493" s="10">
        <v>0</v>
      </c>
      <c r="Q493" s="10">
        <v>0</v>
      </c>
      <c r="R493" s="11">
        <f>IFERROR(P493/Q493, 0)</f>
      </c>
      <c r="S493" s="10">
        <v>0</v>
      </c>
      <c r="T493" s="10">
        <v>0</v>
      </c>
      <c r="U493" s="11">
        <f>IFERROR(S493/T493, 0)</f>
      </c>
      <c r="V493" s="10">
        <f>IFERROR(S493/E493, 0)</f>
      </c>
      <c r="W493" s="10">
        <f>IFERROR(T493/F493, 0)</f>
      </c>
      <c r="X493" s="11">
        <f>IFERROR(V493/W493, 0)</f>
      </c>
    </row>
    <row r="494" spans="1:24" x14ac:dyDescent="0.25">
      <c r="A494" s="8" t="s">
        <v>472</v>
      </c>
      <c r="B494" s="8" t="s">
        <v>501</v>
      </c>
      <c r="C494" s="8" t="s">
        <v>24</v>
      </c>
      <c r="D494" s="8" t="s">
        <v>540</v>
      </c>
      <c r="E494" s="9">
        <v>0</v>
      </c>
      <c r="F494" s="9">
        <v>0</v>
      </c>
      <c r="G494" s="10">
        <v>0</v>
      </c>
      <c r="H494" s="10">
        <v>0</v>
      </c>
      <c r="I494" s="11">
        <f>IFERROR(G494/H494, 0)</f>
      </c>
      <c r="J494" s="10">
        <v>0</v>
      </c>
      <c r="K494" s="10">
        <v>0</v>
      </c>
      <c r="L494" s="10">
        <v>0</v>
      </c>
      <c r="M494" s="12">
        <f>IFERROR(L494/K494, 0)</f>
      </c>
      <c r="N494" s="13">
        <f>IFERROR(J494/K494, 0)</f>
      </c>
      <c r="O494" s="10">
        <v>0</v>
      </c>
      <c r="P494" s="10">
        <v>0</v>
      </c>
      <c r="Q494" s="10">
        <v>0</v>
      </c>
      <c r="R494" s="11">
        <f>IFERROR(P494/Q494, 0)</f>
      </c>
      <c r="S494" s="10">
        <v>0</v>
      </c>
      <c r="T494" s="10">
        <v>0</v>
      </c>
      <c r="U494" s="11">
        <f>IFERROR(S494/T494, 0)</f>
      </c>
      <c r="V494" s="10">
        <f>IFERROR(S494/E494, 0)</f>
      </c>
      <c r="W494" s="10">
        <f>IFERROR(T494/F494, 0)</f>
      </c>
      <c r="X494" s="11">
        <f>IFERROR(V494/W494, 0)</f>
      </c>
    </row>
    <row r="495" spans="1:24" x14ac:dyDescent="0.25">
      <c r="A495" s="8" t="s">
        <v>472</v>
      </c>
      <c r="B495" s="8" t="s">
        <v>501</v>
      </c>
      <c r="C495" s="8" t="s">
        <v>24</v>
      </c>
      <c r="D495" s="8" t="s">
        <v>541</v>
      </c>
      <c r="E495" s="9">
        <v>0</v>
      </c>
      <c r="F495" s="9">
        <v>0</v>
      </c>
      <c r="G495" s="10">
        <v>0</v>
      </c>
      <c r="H495" s="10">
        <v>0</v>
      </c>
      <c r="I495" s="11">
        <f>IFERROR(G495/H495, 0)</f>
      </c>
      <c r="J495" s="10">
        <v>0</v>
      </c>
      <c r="K495" s="10">
        <v>0</v>
      </c>
      <c r="L495" s="10">
        <v>0</v>
      </c>
      <c r="M495" s="12">
        <f>IFERROR(L495/K495, 0)</f>
      </c>
      <c r="N495" s="13">
        <f>IFERROR(J495/K495, 0)</f>
      </c>
      <c r="O495" s="10">
        <v>0</v>
      </c>
      <c r="P495" s="10">
        <v>0</v>
      </c>
      <c r="Q495" s="10">
        <v>0</v>
      </c>
      <c r="R495" s="11">
        <f>IFERROR(P495/Q495, 0)</f>
      </c>
      <c r="S495" s="10">
        <v>0</v>
      </c>
      <c r="T495" s="10">
        <v>0</v>
      </c>
      <c r="U495" s="11">
        <f>IFERROR(S495/T495, 0)</f>
      </c>
      <c r="V495" s="10">
        <f>IFERROR(S495/E495, 0)</f>
      </c>
      <c r="W495" s="10">
        <f>IFERROR(T495/F495, 0)</f>
      </c>
      <c r="X495" s="11">
        <f>IFERROR(V495/W495, 0)</f>
      </c>
    </row>
    <row r="496" spans="1:24" x14ac:dyDescent="0.25">
      <c r="A496" s="8" t="s">
        <v>472</v>
      </c>
      <c r="B496" s="8" t="s">
        <v>501</v>
      </c>
      <c r="C496" s="8" t="s">
        <v>24</v>
      </c>
      <c r="D496" s="8" t="s">
        <v>542</v>
      </c>
      <c r="E496" s="9">
        <v>50.87</v>
      </c>
      <c r="F496" s="9">
        <v>50.87</v>
      </c>
      <c r="G496" s="10">
        <v>0</v>
      </c>
      <c r="H496" s="10">
        <v>1521.2937037037036</v>
      </c>
      <c r="I496" s="11">
        <f>IFERROR(G496/H496, 0)</f>
      </c>
      <c r="J496" s="10">
        <v>0</v>
      </c>
      <c r="K496" s="10">
        <v>0</v>
      </c>
      <c r="L496" s="10">
        <v>0</v>
      </c>
      <c r="M496" s="12">
        <f>IFERROR(L496/K496, 0)</f>
      </c>
      <c r="N496" s="13">
        <f>IFERROR(J496/K496, 0)</f>
      </c>
      <c r="O496" s="10">
        <v>0</v>
      </c>
      <c r="P496" s="10">
        <v>0</v>
      </c>
      <c r="Q496" s="10">
        <v>16734.230740740742</v>
      </c>
      <c r="R496" s="11">
        <f>IFERROR(P496/Q496, 0)</f>
      </c>
      <c r="S496" s="10">
        <v>0</v>
      </c>
      <c r="T496" s="10">
        <v>189681.29074074075</v>
      </c>
      <c r="U496" s="11">
        <f>IFERROR(S496/T496, 0)</f>
      </c>
      <c r="V496" s="10">
        <f>IFERROR(S496/E496, 0)</f>
      </c>
      <c r="W496" s="10">
        <f>IFERROR(T496/F496, 0)</f>
      </c>
      <c r="X496" s="11">
        <f>IFERROR(V496/W496, 0)</f>
      </c>
    </row>
    <row r="497" spans="1:24" x14ac:dyDescent="0.25">
      <c r="A497" s="8" t="s">
        <v>472</v>
      </c>
      <c r="B497" s="8" t="s">
        <v>501</v>
      </c>
      <c r="C497" s="8" t="s">
        <v>24</v>
      </c>
      <c r="D497" s="8" t="s">
        <v>543</v>
      </c>
      <c r="E497" s="9">
        <v>0</v>
      </c>
      <c r="F497" s="9">
        <v>0</v>
      </c>
      <c r="G497" s="10">
        <v>0</v>
      </c>
      <c r="H497" s="10">
        <v>0</v>
      </c>
      <c r="I497" s="11">
        <f>IFERROR(G497/H497, 0)</f>
      </c>
      <c r="J497" s="10">
        <v>0</v>
      </c>
      <c r="K497" s="10">
        <v>0</v>
      </c>
      <c r="L497" s="10">
        <v>0</v>
      </c>
      <c r="M497" s="12">
        <f>IFERROR(L497/K497, 0)</f>
      </c>
      <c r="N497" s="13">
        <f>IFERROR(J497/K497, 0)</f>
      </c>
      <c r="O497" s="10">
        <v>0</v>
      </c>
      <c r="P497" s="10">
        <v>0</v>
      </c>
      <c r="Q497" s="10">
        <v>0</v>
      </c>
      <c r="R497" s="11">
        <f>IFERROR(P497/Q497, 0)</f>
      </c>
      <c r="S497" s="10">
        <v>0</v>
      </c>
      <c r="T497" s="10">
        <v>0</v>
      </c>
      <c r="U497" s="11">
        <f>IFERROR(S497/T497, 0)</f>
      </c>
      <c r="V497" s="10">
        <f>IFERROR(S497/E497, 0)</f>
      </c>
      <c r="W497" s="10">
        <f>IFERROR(T497/F497, 0)</f>
      </c>
      <c r="X497" s="11">
        <f>IFERROR(V497/W497, 0)</f>
      </c>
    </row>
    <row r="498" spans="1:24" x14ac:dyDescent="0.25">
      <c r="A498" s="8" t="s">
        <v>472</v>
      </c>
      <c r="B498" s="8" t="s">
        <v>501</v>
      </c>
      <c r="C498" s="8" t="s">
        <v>24</v>
      </c>
      <c r="D498" s="8" t="s">
        <v>544</v>
      </c>
      <c r="E498" s="9">
        <v>49.09</v>
      </c>
      <c r="F498" s="9">
        <v>49.09</v>
      </c>
      <c r="G498" s="10">
        <v>0</v>
      </c>
      <c r="H498" s="10">
        <v>1468.1296296296296</v>
      </c>
      <c r="I498" s="11">
        <f>IFERROR(G498/H498, 0)</f>
      </c>
      <c r="J498" s="10">
        <v>0</v>
      </c>
      <c r="K498" s="10">
        <v>0</v>
      </c>
      <c r="L498" s="10">
        <v>0</v>
      </c>
      <c r="M498" s="12">
        <f>IFERROR(L498/K498, 0)</f>
      </c>
      <c r="N498" s="13">
        <f>IFERROR(J498/K498, 0)</f>
      </c>
      <c r="O498" s="10">
        <v>0</v>
      </c>
      <c r="P498" s="10">
        <v>0</v>
      </c>
      <c r="Q498" s="10">
        <v>16149.425925925925</v>
      </c>
      <c r="R498" s="11">
        <f>IFERROR(P498/Q498, 0)</f>
      </c>
      <c r="S498" s="10">
        <v>0</v>
      </c>
      <c r="T498" s="10">
        <v>183052.5659259259</v>
      </c>
      <c r="U498" s="11">
        <f>IFERROR(S498/T498, 0)</f>
      </c>
      <c r="V498" s="10">
        <f>IFERROR(S498/E498, 0)</f>
      </c>
      <c r="W498" s="10">
        <f>IFERROR(T498/F498, 0)</f>
      </c>
      <c r="X498" s="11">
        <f>IFERROR(V498/W498, 0)</f>
      </c>
    </row>
    <row r="499" spans="1:24" x14ac:dyDescent="0.25">
      <c r="A499" s="8" t="s">
        <v>472</v>
      </c>
      <c r="B499" s="8" t="s">
        <v>501</v>
      </c>
      <c r="C499" s="8" t="s">
        <v>24</v>
      </c>
      <c r="D499" s="8" t="s">
        <v>545</v>
      </c>
      <c r="E499" s="9">
        <v>0</v>
      </c>
      <c r="F499" s="9">
        <v>0</v>
      </c>
      <c r="G499" s="10">
        <v>0</v>
      </c>
      <c r="H499" s="10">
        <v>0</v>
      </c>
      <c r="I499" s="11">
        <f>IFERROR(G499/H499, 0)</f>
      </c>
      <c r="J499" s="10">
        <v>0</v>
      </c>
      <c r="K499" s="10">
        <v>0</v>
      </c>
      <c r="L499" s="10">
        <v>0</v>
      </c>
      <c r="M499" s="12">
        <f>IFERROR(L499/K499, 0)</f>
      </c>
      <c r="N499" s="13">
        <f>IFERROR(J499/K499, 0)</f>
      </c>
      <c r="O499" s="10">
        <v>0</v>
      </c>
      <c r="P499" s="10">
        <v>0</v>
      </c>
      <c r="Q499" s="10">
        <v>0</v>
      </c>
      <c r="R499" s="11">
        <f>IFERROR(P499/Q499, 0)</f>
      </c>
      <c r="S499" s="10">
        <v>0</v>
      </c>
      <c r="T499" s="10">
        <v>0</v>
      </c>
      <c r="U499" s="11">
        <f>IFERROR(S499/T499, 0)</f>
      </c>
      <c r="V499" s="10">
        <f>IFERROR(S499/E499, 0)</f>
      </c>
      <c r="W499" s="10">
        <f>IFERROR(T499/F499, 0)</f>
      </c>
      <c r="X499" s="11">
        <f>IFERROR(V499/W499, 0)</f>
      </c>
    </row>
    <row r="500" spans="1:24" x14ac:dyDescent="0.25">
      <c r="A500" s="8" t="s">
        <v>472</v>
      </c>
      <c r="B500" s="8" t="s">
        <v>501</v>
      </c>
      <c r="C500" s="8" t="s">
        <v>24</v>
      </c>
      <c r="D500" s="8" t="s">
        <v>546</v>
      </c>
      <c r="E500" s="9">
        <v>312.23</v>
      </c>
      <c r="F500" s="9">
        <v>312.23</v>
      </c>
      <c r="G500" s="10">
        <v>22717</v>
      </c>
      <c r="H500" s="10">
        <v>9337.97074074074</v>
      </c>
      <c r="I500" s="11">
        <f>IFERROR(G500/H500, 0)</f>
      </c>
      <c r="J500" s="10">
        <v>28</v>
      </c>
      <c r="K500" s="10">
        <v>16</v>
      </c>
      <c r="L500" s="10">
        <v>22717</v>
      </c>
      <c r="M500" s="12">
        <f>IFERROR(L500/K500, 0)</f>
      </c>
      <c r="N500" s="13">
        <f>IFERROR(J500/K500, 0)</f>
      </c>
      <c r="O500" s="10">
        <v>0</v>
      </c>
      <c r="P500" s="10">
        <v>161047</v>
      </c>
      <c r="Q500" s="10">
        <v>102717.67814814814</v>
      </c>
      <c r="R500" s="11">
        <f>IFERROR(P500/Q500, 0)</f>
      </c>
      <c r="S500" s="10">
        <v>2860624</v>
      </c>
      <c r="T500" s="10">
        <v>1164297.5181481482</v>
      </c>
      <c r="U500" s="11">
        <f>IFERROR(S500/T500, 0)</f>
      </c>
      <c r="V500" s="10">
        <f>IFERROR(S500/E500, 0)</f>
      </c>
      <c r="W500" s="10">
        <f>IFERROR(T500/F500, 0)</f>
      </c>
      <c r="X500" s="11">
        <f>IFERROR(V500/W500, 0)</f>
      </c>
    </row>
    <row r="501" spans="1:24" x14ac:dyDescent="0.25">
      <c r="A501" s="8" t="s">
        <v>472</v>
      </c>
      <c r="B501" s="8" t="s">
        <v>501</v>
      </c>
      <c r="C501" s="8" t="s">
        <v>24</v>
      </c>
      <c r="D501" s="8" t="s">
        <v>547</v>
      </c>
      <c r="E501" s="9">
        <v>0</v>
      </c>
      <c r="F501" s="9">
        <v>0</v>
      </c>
      <c r="G501" s="10">
        <v>0</v>
      </c>
      <c r="H501" s="10">
        <v>0</v>
      </c>
      <c r="I501" s="11">
        <f>IFERROR(G501/H501, 0)</f>
      </c>
      <c r="J501" s="10">
        <v>0</v>
      </c>
      <c r="K501" s="10">
        <v>0</v>
      </c>
      <c r="L501" s="10">
        <v>0</v>
      </c>
      <c r="M501" s="12">
        <f>IFERROR(L501/K501, 0)</f>
      </c>
      <c r="N501" s="13">
        <f>IFERROR(J501/K501, 0)</f>
      </c>
      <c r="O501" s="10">
        <v>0</v>
      </c>
      <c r="P501" s="10">
        <v>0</v>
      </c>
      <c r="Q501" s="10">
        <v>0</v>
      </c>
      <c r="R501" s="11">
        <f>IFERROR(P501/Q501, 0)</f>
      </c>
      <c r="S501" s="10">
        <v>0</v>
      </c>
      <c r="T501" s="10">
        <v>0</v>
      </c>
      <c r="U501" s="11">
        <f>IFERROR(S501/T501, 0)</f>
      </c>
      <c r="V501" s="10">
        <f>IFERROR(S501/E501, 0)</f>
      </c>
      <c r="W501" s="10">
        <f>IFERROR(T501/F501, 0)</f>
      </c>
      <c r="X501" s="11">
        <f>IFERROR(V501/W501, 0)</f>
      </c>
    </row>
    <row r="502" spans="1:24" x14ac:dyDescent="0.25">
      <c r="A502" s="8" t="s">
        <v>472</v>
      </c>
      <c r="B502" s="8" t="s">
        <v>501</v>
      </c>
      <c r="C502" s="8" t="s">
        <v>24</v>
      </c>
      <c r="D502" s="8" t="s">
        <v>548</v>
      </c>
      <c r="E502" s="9">
        <v>0</v>
      </c>
      <c r="F502" s="9">
        <v>0</v>
      </c>
      <c r="G502" s="10">
        <v>0</v>
      </c>
      <c r="H502" s="10">
        <v>0</v>
      </c>
      <c r="I502" s="11">
        <f>IFERROR(G502/H502, 0)</f>
      </c>
      <c r="J502" s="10">
        <v>0</v>
      </c>
      <c r="K502" s="10">
        <v>0</v>
      </c>
      <c r="L502" s="10">
        <v>0</v>
      </c>
      <c r="M502" s="12">
        <f>IFERROR(L502/K502, 0)</f>
      </c>
      <c r="N502" s="13">
        <f>IFERROR(J502/K502, 0)</f>
      </c>
      <c r="O502" s="10">
        <v>0</v>
      </c>
      <c r="P502" s="10">
        <v>0</v>
      </c>
      <c r="Q502" s="10">
        <v>0</v>
      </c>
      <c r="R502" s="11">
        <f>IFERROR(P502/Q502, 0)</f>
      </c>
      <c r="S502" s="10">
        <v>0</v>
      </c>
      <c r="T502" s="10">
        <v>0</v>
      </c>
      <c r="U502" s="11">
        <f>IFERROR(S502/T502, 0)</f>
      </c>
      <c r="V502" s="10">
        <f>IFERROR(S502/E502, 0)</f>
      </c>
      <c r="W502" s="10">
        <f>IFERROR(T502/F502, 0)</f>
      </c>
      <c r="X502" s="11">
        <f>IFERROR(V502/W502, 0)</f>
      </c>
    </row>
    <row r="503" spans="1:24" x14ac:dyDescent="0.25">
      <c r="A503" s="8" t="s">
        <v>472</v>
      </c>
      <c r="B503" s="8" t="s">
        <v>501</v>
      </c>
      <c r="C503" s="8" t="s">
        <v>24</v>
      </c>
      <c r="D503" s="8" t="s">
        <v>549</v>
      </c>
      <c r="E503" s="9">
        <v>1028.22</v>
      </c>
      <c r="F503" s="9">
        <v>1028.22</v>
      </c>
      <c r="G503" s="10">
        <v>22630</v>
      </c>
      <c r="H503" s="10">
        <v>30751.52888888889</v>
      </c>
      <c r="I503" s="11">
        <f>IFERROR(G503/H503, 0)</f>
      </c>
      <c r="J503" s="10">
        <v>33</v>
      </c>
      <c r="K503" s="10">
        <v>22</v>
      </c>
      <c r="L503" s="10">
        <v>22701</v>
      </c>
      <c r="M503" s="12">
        <f>IFERROR(L503/K503, 0)</f>
      </c>
      <c r="N503" s="13">
        <f>IFERROR(J503/K503, 0)</f>
      </c>
      <c r="O503" s="10">
        <v>71</v>
      </c>
      <c r="P503" s="10">
        <v>563310</v>
      </c>
      <c r="Q503" s="10">
        <v>338266.8177777778</v>
      </c>
      <c r="R503" s="11">
        <f>IFERROR(P503/Q503, 0)</f>
      </c>
      <c r="S503" s="10">
        <v>6542336</v>
      </c>
      <c r="T503" s="10">
        <v>3834230.097777778</v>
      </c>
      <c r="U503" s="11">
        <f>IFERROR(S503/T503, 0)</f>
      </c>
      <c r="V503" s="10">
        <f>IFERROR(S503/E503, 0)</f>
      </c>
      <c r="W503" s="10">
        <f>IFERROR(T503/F503, 0)</f>
      </c>
      <c r="X503" s="11">
        <f>IFERROR(V503/W503, 0)</f>
      </c>
    </row>
    <row r="504" spans="1:24" x14ac:dyDescent="0.25">
      <c r="A504" s="8" t="s">
        <v>472</v>
      </c>
      <c r="B504" s="8" t="s">
        <v>501</v>
      </c>
      <c r="C504" s="8" t="s">
        <v>24</v>
      </c>
      <c r="D504" s="8" t="s">
        <v>550</v>
      </c>
      <c r="E504" s="9">
        <v>0</v>
      </c>
      <c r="F504" s="9">
        <v>0</v>
      </c>
      <c r="G504" s="10">
        <v>0</v>
      </c>
      <c r="H504" s="10">
        <v>0</v>
      </c>
      <c r="I504" s="11">
        <f>IFERROR(G504/H504, 0)</f>
      </c>
      <c r="J504" s="10">
        <v>0</v>
      </c>
      <c r="K504" s="10">
        <v>0</v>
      </c>
      <c r="L504" s="10">
        <v>0</v>
      </c>
      <c r="M504" s="12">
        <f>IFERROR(L504/K504, 0)</f>
      </c>
      <c r="N504" s="13">
        <f>IFERROR(J504/K504, 0)</f>
      </c>
      <c r="O504" s="10">
        <v>0</v>
      </c>
      <c r="P504" s="10">
        <v>0</v>
      </c>
      <c r="Q504" s="10">
        <v>0</v>
      </c>
      <c r="R504" s="11">
        <f>IFERROR(P504/Q504, 0)</f>
      </c>
      <c r="S504" s="10">
        <v>0</v>
      </c>
      <c r="T504" s="10">
        <v>0</v>
      </c>
      <c r="U504" s="11">
        <f>IFERROR(S504/T504, 0)</f>
      </c>
      <c r="V504" s="10">
        <f>IFERROR(S504/E504, 0)</f>
      </c>
      <c r="W504" s="10">
        <f>IFERROR(T504/F504, 0)</f>
      </c>
      <c r="X504" s="11">
        <f>IFERROR(V504/W504, 0)</f>
      </c>
    </row>
    <row r="505" spans="1:24" x14ac:dyDescent="0.25">
      <c r="A505" s="8" t="s">
        <v>472</v>
      </c>
      <c r="B505" s="8" t="s">
        <v>501</v>
      </c>
      <c r="C505" s="8" t="s">
        <v>24</v>
      </c>
      <c r="D505" s="8" t="s">
        <v>551</v>
      </c>
      <c r="E505" s="9">
        <v>21.51</v>
      </c>
      <c r="F505" s="9">
        <v>21.51</v>
      </c>
      <c r="G505" s="10">
        <v>0</v>
      </c>
      <c r="H505" s="10">
        <v>643.3077777777778</v>
      </c>
      <c r="I505" s="11">
        <f>IFERROR(G505/H505, 0)</f>
      </c>
      <c r="J505" s="10">
        <v>0</v>
      </c>
      <c r="K505" s="10">
        <v>0</v>
      </c>
      <c r="L505" s="10">
        <v>0</v>
      </c>
      <c r="M505" s="12">
        <f>IFERROR(L505/K505, 0)</f>
      </c>
      <c r="N505" s="13">
        <f>IFERROR(J505/K505, 0)</f>
      </c>
      <c r="O505" s="10">
        <v>0</v>
      </c>
      <c r="P505" s="10">
        <v>0</v>
      </c>
      <c r="Q505" s="10">
        <v>7076.385555555556</v>
      </c>
      <c r="R505" s="11">
        <f>IFERROR(P505/Q505, 0)</f>
      </c>
      <c r="S505" s="10">
        <v>0</v>
      </c>
      <c r="T505" s="10">
        <v>80210.31555555556</v>
      </c>
      <c r="U505" s="11">
        <f>IFERROR(S505/T505, 0)</f>
      </c>
      <c r="V505" s="10">
        <f>IFERROR(S505/E505, 0)</f>
      </c>
      <c r="W505" s="10">
        <f>IFERROR(T505/F505, 0)</f>
      </c>
      <c r="X505" s="11">
        <f>IFERROR(V505/W505, 0)</f>
      </c>
    </row>
    <row r="506" spans="1:24" x14ac:dyDescent="0.25">
      <c r="A506" s="14" t="s">
        <v>552</v>
      </c>
      <c r="B506" s="14"/>
      <c r="C506" s="14"/>
      <c r="D506" s="14"/>
      <c r="E506" s="15">
        <f>SUM(E456:E505)</f>
      </c>
      <c r="F506" s="15">
        <f>SUM(F456:F505)</f>
      </c>
      <c r="G506" s="16">
        <f>SUM(G456:G505)</f>
      </c>
      <c r="H506" s="16">
        <f>SUM(H456:H505)</f>
      </c>
      <c r="I506" s="17">
        <f>IFERROR(G506/H506, 0)</f>
      </c>
      <c r="J506" s="16">
        <f>SUM(J456:J505)</f>
      </c>
      <c r="K506" s="16">
        <f>SUM(K456:K505)</f>
      </c>
      <c r="L506" s="16">
        <f>SUM(L456:L505)</f>
      </c>
      <c r="M506" s="18">
        <f>IFERROR(L506/K506, 0)</f>
      </c>
      <c r="N506" s="19">
        <f>IFERROR(J506/K506, 0)</f>
      </c>
      <c r="O506" s="16">
        <f>SUM(O456:O505)</f>
      </c>
      <c r="P506" s="16">
        <f>SUM(P456:P505)</f>
      </c>
      <c r="Q506" s="16">
        <f>SUM(Q456:Q505)</f>
      </c>
      <c r="R506" s="17">
        <f>IFERROR(P506/Q506, 0)</f>
      </c>
      <c r="S506" s="16">
        <f>SUM(S456:S505)</f>
      </c>
      <c r="T506" s="16">
        <f>SUM(T456:T505)</f>
      </c>
      <c r="U506" s="17">
        <f>IFERROR(S506/T506, 0)</f>
      </c>
      <c r="V506" s="16">
        <f>IFERROR(S506/E506, 0)</f>
      </c>
      <c r="W506" s="16">
        <f>IFERROR(T506/F506, 0)</f>
      </c>
      <c r="X506" s="17">
        <f>IFERROR(V506/W506, 0)</f>
      </c>
    </row>
    <row r="507" spans="1:24" x14ac:dyDescent="0.25">
      <c r="A507" s="20" t="s">
        <v>553</v>
      </c>
      <c r="B507" s="20"/>
      <c r="C507" s="20"/>
      <c r="D507" s="20"/>
      <c r="E507" s="21">
        <f>SUM(E438,E451,E455,E506)</f>
      </c>
      <c r="F507" s="21">
        <f>SUM(F438,F451,F455,F506)</f>
      </c>
      <c r="G507" s="22">
        <f>SUM(G438,G451,G455,G506)</f>
      </c>
      <c r="H507" s="22">
        <f>SUM(H438,H451,H455,H506)</f>
      </c>
      <c r="I507" s="23">
        <f>IFERROR(G507/H507, 0)</f>
      </c>
      <c r="J507" s="22">
        <f>SUM(J438,J451,J455,J506)</f>
      </c>
      <c r="K507" s="22">
        <f>SUM(K438,K451,K455,K506)</f>
      </c>
      <c r="L507" s="22">
        <f>SUM(L438,L451,L455,L506)</f>
      </c>
      <c r="M507" s="24">
        <f>IFERROR(L507/K507, 0)</f>
      </c>
      <c r="N507" s="25">
        <f>IFERROR(J507/K507, 0)</f>
      </c>
      <c r="O507" s="22">
        <f>SUM(O438,O451,O455,O506)</f>
      </c>
      <c r="P507" s="22">
        <f>SUM(P438,P451,P455,P506)</f>
      </c>
      <c r="Q507" s="22">
        <f>SUM(Q438,Q451,Q455,Q506)</f>
      </c>
      <c r="R507" s="23">
        <f>IFERROR(P507/Q507, 0)</f>
      </c>
      <c r="S507" s="22">
        <f>SUM(S438,S451,S455,S506)</f>
      </c>
      <c r="T507" s="22">
        <f>SUM(T438,T451,T455,T506)</f>
      </c>
      <c r="U507" s="23">
        <f>IFERROR(S507/T507, 0)</f>
      </c>
      <c r="V507" s="22">
        <f>IFERROR(S507/E507, 0)</f>
      </c>
      <c r="W507" s="22">
        <f>IFERROR(T507/F507, 0)</f>
      </c>
      <c r="X507" s="23">
        <f>IFERROR(V507/W507, 0)</f>
      </c>
    </row>
    <row r="508" spans="1:24" x14ac:dyDescent="0.25">
      <c r="A508" s="8" t="s">
        <v>554</v>
      </c>
      <c r="B508" s="8" t="s">
        <v>555</v>
      </c>
      <c r="C508" s="8" t="s">
        <v>60</v>
      </c>
      <c r="D508" s="8" t="s">
        <v>556</v>
      </c>
      <c r="E508" s="9">
        <v>1.27</v>
      </c>
      <c r="F508" s="9">
        <v>0</v>
      </c>
      <c r="G508" s="10">
        <v>0</v>
      </c>
      <c r="H508" s="10">
        <v>0</v>
      </c>
      <c r="I508" s="11">
        <f>IFERROR(G508/H508, 0)</f>
      </c>
      <c r="J508" s="10">
        <v>0</v>
      </c>
      <c r="K508" s="10">
        <v>0</v>
      </c>
      <c r="L508" s="10">
        <v>0</v>
      </c>
      <c r="M508" s="12">
        <f>IFERROR(L508/K508, 0)</f>
      </c>
      <c r="N508" s="13">
        <f>IFERROR(J508/K508, 0)</f>
      </c>
      <c r="O508" s="10">
        <v>0</v>
      </c>
      <c r="P508" s="10">
        <v>0</v>
      </c>
      <c r="Q508" s="10">
        <v>0</v>
      </c>
      <c r="R508" s="11">
        <f>IFERROR(P508/Q508, 0)</f>
      </c>
      <c r="S508" s="10">
        <v>0</v>
      </c>
      <c r="T508" s="10">
        <v>0</v>
      </c>
      <c r="U508" s="11">
        <f>IFERROR(S508/T508, 0)</f>
      </c>
      <c r="V508" s="10">
        <f>IFERROR(S508/E508, 0)</f>
      </c>
      <c r="W508" s="10">
        <f>IFERROR(T508/F508, 0)</f>
      </c>
      <c r="X508" s="11">
        <f>IFERROR(V508/W508, 0)</f>
      </c>
    </row>
    <row r="509" spans="1:24" x14ac:dyDescent="0.25">
      <c r="A509" s="8" t="s">
        <v>554</v>
      </c>
      <c r="B509" s="8" t="s">
        <v>555</v>
      </c>
      <c r="C509" s="8" t="s">
        <v>60</v>
      </c>
      <c r="D509" s="8" t="s">
        <v>557</v>
      </c>
      <c r="E509" s="9">
        <v>835.93</v>
      </c>
      <c r="F509" s="9">
        <v>1021.78</v>
      </c>
      <c r="G509" s="10">
        <v>0</v>
      </c>
      <c r="H509" s="10">
        <v>30558.892592592594</v>
      </c>
      <c r="I509" s="11">
        <f>IFERROR(G509/H509, 0)</f>
      </c>
      <c r="J509" s="10">
        <v>0</v>
      </c>
      <c r="K509" s="10">
        <v>0</v>
      </c>
      <c r="L509" s="10">
        <v>0</v>
      </c>
      <c r="M509" s="12">
        <f>IFERROR(L509/K509, 0)</f>
      </c>
      <c r="N509" s="13">
        <f>IFERROR(J509/K509, 0)</f>
      </c>
      <c r="O509" s="10">
        <v>0</v>
      </c>
      <c r="P509" s="10">
        <v>29048</v>
      </c>
      <c r="Q509" s="10">
        <v>336147.8185185185</v>
      </c>
      <c r="R509" s="11">
        <f>IFERROR(P509/Q509, 0)</f>
      </c>
      <c r="S509" s="10">
        <v>171426</v>
      </c>
      <c r="T509" s="10">
        <v>3810211.3985185185</v>
      </c>
      <c r="U509" s="11">
        <f>IFERROR(S509/T509, 0)</f>
      </c>
      <c r="V509" s="10">
        <f>IFERROR(S509/E509, 0)</f>
      </c>
      <c r="W509" s="10">
        <f>IFERROR(T509/F509, 0)</f>
      </c>
      <c r="X509" s="11">
        <f>IFERROR(V509/W509, 0)</f>
      </c>
    </row>
    <row r="510" spans="1:24" x14ac:dyDescent="0.25">
      <c r="A510" s="8" t="s">
        <v>554</v>
      </c>
      <c r="B510" s="8" t="s">
        <v>555</v>
      </c>
      <c r="C510" s="8" t="s">
        <v>60</v>
      </c>
      <c r="D510" s="8" t="s">
        <v>558</v>
      </c>
      <c r="E510" s="9">
        <v>5.8</v>
      </c>
      <c r="F510" s="9">
        <v>5.8</v>
      </c>
      <c r="G510" s="10">
        <v>0</v>
      </c>
      <c r="H510" s="10">
        <v>173.50629629629628</v>
      </c>
      <c r="I510" s="11">
        <f>IFERROR(G510/H510, 0)</f>
      </c>
      <c r="J510" s="10">
        <v>0</v>
      </c>
      <c r="K510" s="10">
        <v>0</v>
      </c>
      <c r="L510" s="10">
        <v>0</v>
      </c>
      <c r="M510" s="12">
        <f>IFERROR(L510/K510, 0)</f>
      </c>
      <c r="N510" s="13">
        <f>IFERROR(J510/K510, 0)</f>
      </c>
      <c r="O510" s="10">
        <v>0</v>
      </c>
      <c r="P510" s="10">
        <v>0</v>
      </c>
      <c r="Q510" s="10">
        <v>1908.5692592592593</v>
      </c>
      <c r="R510" s="11">
        <f>IFERROR(P510/Q510, 0)</f>
      </c>
      <c r="S510" s="10">
        <v>0</v>
      </c>
      <c r="T510" s="10">
        <v>21633.48925925926</v>
      </c>
      <c r="U510" s="11">
        <f>IFERROR(S510/T510, 0)</f>
      </c>
      <c r="V510" s="10">
        <f>IFERROR(S510/E510, 0)</f>
      </c>
      <c r="W510" s="10">
        <f>IFERROR(T510/F510, 0)</f>
      </c>
      <c r="X510" s="11">
        <f>IFERROR(V510/W510, 0)</f>
      </c>
    </row>
    <row r="511" spans="1:24" x14ac:dyDescent="0.25">
      <c r="A511" s="8" t="s">
        <v>554</v>
      </c>
      <c r="B511" s="8" t="s">
        <v>555</v>
      </c>
      <c r="C511" s="8" t="s">
        <v>60</v>
      </c>
      <c r="D511" s="8" t="s">
        <v>559</v>
      </c>
      <c r="E511" s="9">
        <v>1312.42</v>
      </c>
      <c r="F511" s="9">
        <v>994.85</v>
      </c>
      <c r="G511" s="10">
        <v>4603</v>
      </c>
      <c r="H511" s="10">
        <v>29753.423333333332</v>
      </c>
      <c r="I511" s="11">
        <f>IFERROR(G511/H511, 0)</f>
      </c>
      <c r="J511" s="10">
        <v>18</v>
      </c>
      <c r="K511" s="10">
        <v>18</v>
      </c>
      <c r="L511" s="10">
        <v>4603</v>
      </c>
      <c r="M511" s="12">
        <f>IFERROR(L511/K511, 0)</f>
      </c>
      <c r="N511" s="13">
        <f>IFERROR(J511/K511, 0)</f>
      </c>
      <c r="O511" s="10">
        <v>0</v>
      </c>
      <c r="P511" s="10">
        <v>244801</v>
      </c>
      <c r="Q511" s="10">
        <v>327287.6566666667</v>
      </c>
      <c r="R511" s="11">
        <f>IFERROR(P511/Q511, 0)</f>
      </c>
      <c r="S511" s="10">
        <v>1792263</v>
      </c>
      <c r="T511" s="10">
        <v>3709782.1166666667</v>
      </c>
      <c r="U511" s="11">
        <f>IFERROR(S511/T511, 0)</f>
      </c>
      <c r="V511" s="10">
        <f>IFERROR(S511/E511, 0)</f>
      </c>
      <c r="W511" s="10">
        <f>IFERROR(T511/F511, 0)</f>
      </c>
      <c r="X511" s="11">
        <f>IFERROR(V511/W511, 0)</f>
      </c>
    </row>
    <row r="512" spans="1:24" x14ac:dyDescent="0.25">
      <c r="A512" s="8" t="s">
        <v>554</v>
      </c>
      <c r="B512" s="8" t="s">
        <v>555</v>
      </c>
      <c r="C512" s="8" t="s">
        <v>60</v>
      </c>
      <c r="D512" s="8" t="s">
        <v>560</v>
      </c>
      <c r="E512" s="9">
        <v>0</v>
      </c>
      <c r="F512" s="9">
        <v>0</v>
      </c>
      <c r="G512" s="10">
        <v>0</v>
      </c>
      <c r="H512" s="10">
        <v>0</v>
      </c>
      <c r="I512" s="11">
        <f>IFERROR(G512/H512, 0)</f>
      </c>
      <c r="J512" s="10">
        <v>0</v>
      </c>
      <c r="K512" s="10">
        <v>0</v>
      </c>
      <c r="L512" s="10">
        <v>0</v>
      </c>
      <c r="M512" s="12">
        <f>IFERROR(L512/K512, 0)</f>
      </c>
      <c r="N512" s="13">
        <f>IFERROR(J512/K512, 0)</f>
      </c>
      <c r="O512" s="10">
        <v>0</v>
      </c>
      <c r="P512" s="10">
        <v>0</v>
      </c>
      <c r="Q512" s="10">
        <v>0</v>
      </c>
      <c r="R512" s="11">
        <f>IFERROR(P512/Q512, 0)</f>
      </c>
      <c r="S512" s="10">
        <v>0</v>
      </c>
      <c r="T512" s="10">
        <v>0</v>
      </c>
      <c r="U512" s="11">
        <f>IFERROR(S512/T512, 0)</f>
      </c>
      <c r="V512" s="10">
        <f>IFERROR(S512/E512, 0)</f>
      </c>
      <c r="W512" s="10">
        <f>IFERROR(T512/F512, 0)</f>
      </c>
      <c r="X512" s="11">
        <f>IFERROR(V512/W512, 0)</f>
      </c>
    </row>
    <row r="513" spans="1:24" x14ac:dyDescent="0.25">
      <c r="A513" s="8" t="s">
        <v>554</v>
      </c>
      <c r="B513" s="8" t="s">
        <v>555</v>
      </c>
      <c r="C513" s="8" t="s">
        <v>60</v>
      </c>
      <c r="D513" s="8" t="s">
        <v>561</v>
      </c>
      <c r="E513" s="9">
        <v>211.44</v>
      </c>
      <c r="F513" s="9">
        <v>167.89</v>
      </c>
      <c r="G513" s="10">
        <v>23664</v>
      </c>
      <c r="H513" s="10">
        <v>5021.225185185185</v>
      </c>
      <c r="I513" s="11">
        <f>IFERROR(G513/H513, 0)</f>
      </c>
      <c r="J513" s="10">
        <v>27.88</v>
      </c>
      <c r="K513" s="10">
        <v>15</v>
      </c>
      <c r="L513" s="10">
        <v>23664</v>
      </c>
      <c r="M513" s="12">
        <f>IFERROR(L513/K513, 0)</f>
      </c>
      <c r="N513" s="13">
        <f>IFERROR(J513/K513, 0)</f>
      </c>
      <c r="O513" s="10">
        <v>0</v>
      </c>
      <c r="P513" s="10">
        <v>198302</v>
      </c>
      <c r="Q513" s="10">
        <v>55233.47703703704</v>
      </c>
      <c r="R513" s="11">
        <f>IFERROR(P513/Q513, 0)</f>
      </c>
      <c r="S513" s="10">
        <v>2500657</v>
      </c>
      <c r="T513" s="10">
        <v>626067.497037037</v>
      </c>
      <c r="U513" s="11">
        <f>IFERROR(S513/T513, 0)</f>
      </c>
      <c r="V513" s="10">
        <f>IFERROR(S513/E513, 0)</f>
      </c>
      <c r="W513" s="10">
        <f>IFERROR(T513/F513, 0)</f>
      </c>
      <c r="X513" s="11">
        <f>IFERROR(V513/W513, 0)</f>
      </c>
    </row>
    <row r="514" spans="1:24" x14ac:dyDescent="0.25">
      <c r="A514" s="8" t="s">
        <v>554</v>
      </c>
      <c r="B514" s="8" t="s">
        <v>555</v>
      </c>
      <c r="C514" s="8" t="s">
        <v>60</v>
      </c>
      <c r="D514" s="8" t="s">
        <v>562</v>
      </c>
      <c r="E514" s="9">
        <v>8.15</v>
      </c>
      <c r="F514" s="9">
        <v>6.06</v>
      </c>
      <c r="G514" s="10">
        <v>0</v>
      </c>
      <c r="H514" s="10">
        <v>181.29185185185185</v>
      </c>
      <c r="I514" s="11">
        <f>IFERROR(G514/H514, 0)</f>
      </c>
      <c r="J514" s="10">
        <v>0</v>
      </c>
      <c r="K514" s="10">
        <v>0</v>
      </c>
      <c r="L514" s="10">
        <v>0</v>
      </c>
      <c r="M514" s="12">
        <f>IFERROR(L514/K514, 0)</f>
      </c>
      <c r="N514" s="13">
        <f>IFERROR(J514/K514, 0)</f>
      </c>
      <c r="O514" s="10">
        <v>0</v>
      </c>
      <c r="P514" s="10">
        <v>0</v>
      </c>
      <c r="Q514" s="10">
        <v>1994.2103703703704</v>
      </c>
      <c r="R514" s="11">
        <f>IFERROR(P514/Q514, 0)</f>
      </c>
      <c r="S514" s="10">
        <v>31456</v>
      </c>
      <c r="T514" s="10">
        <v>22604.22037037037</v>
      </c>
      <c r="U514" s="11">
        <f>IFERROR(S514/T514, 0)</f>
      </c>
      <c r="V514" s="10">
        <f>IFERROR(S514/E514, 0)</f>
      </c>
      <c r="W514" s="10">
        <f>IFERROR(T514/F514, 0)</f>
      </c>
      <c r="X514" s="11">
        <f>IFERROR(V514/W514, 0)</f>
      </c>
    </row>
    <row r="515" spans="1:24" x14ac:dyDescent="0.25">
      <c r="A515" s="8" t="s">
        <v>554</v>
      </c>
      <c r="B515" s="8" t="s">
        <v>555</v>
      </c>
      <c r="C515" s="8" t="s">
        <v>60</v>
      </c>
      <c r="D515" s="8" t="s">
        <v>563</v>
      </c>
      <c r="E515" s="9">
        <v>2.47</v>
      </c>
      <c r="F515" s="9">
        <v>1.84</v>
      </c>
      <c r="G515" s="10">
        <v>0</v>
      </c>
      <c r="H515" s="10">
        <v>54.943703703703704</v>
      </c>
      <c r="I515" s="11">
        <f>IFERROR(G515/H515, 0)</f>
      </c>
      <c r="J515" s="10">
        <v>0</v>
      </c>
      <c r="K515" s="10">
        <v>0</v>
      </c>
      <c r="L515" s="10">
        <v>0</v>
      </c>
      <c r="M515" s="12">
        <f>IFERROR(L515/K515, 0)</f>
      </c>
      <c r="N515" s="13">
        <f>IFERROR(J515/K515, 0)</f>
      </c>
      <c r="O515" s="10">
        <v>0</v>
      </c>
      <c r="P515" s="10">
        <v>0</v>
      </c>
      <c r="Q515" s="10">
        <v>604.3807407407407</v>
      </c>
      <c r="R515" s="11">
        <f>IFERROR(P515/Q515, 0)</f>
      </c>
      <c r="S515" s="10">
        <v>17678</v>
      </c>
      <c r="T515" s="10">
        <v>6850.600740740741</v>
      </c>
      <c r="U515" s="11">
        <f>IFERROR(S515/T515, 0)</f>
      </c>
      <c r="V515" s="10">
        <f>IFERROR(S515/E515, 0)</f>
      </c>
      <c r="W515" s="10">
        <f>IFERROR(T515/F515, 0)</f>
      </c>
      <c r="X515" s="11">
        <f>IFERROR(V515/W515, 0)</f>
      </c>
    </row>
    <row r="516" spans="1:24" x14ac:dyDescent="0.25">
      <c r="A516" s="8" t="s">
        <v>554</v>
      </c>
      <c r="B516" s="8" t="s">
        <v>555</v>
      </c>
      <c r="C516" s="8" t="s">
        <v>60</v>
      </c>
      <c r="D516" s="8" t="s">
        <v>564</v>
      </c>
      <c r="E516" s="9">
        <v>1761.74</v>
      </c>
      <c r="F516" s="9">
        <v>1190.98</v>
      </c>
      <c r="G516" s="10">
        <v>19528</v>
      </c>
      <c r="H516" s="10">
        <v>35619.26777777778</v>
      </c>
      <c r="I516" s="11">
        <f>IFERROR(G516/H516, 0)</f>
      </c>
      <c r="J516" s="10">
        <v>0</v>
      </c>
      <c r="K516" s="10">
        <v>0</v>
      </c>
      <c r="L516" s="10">
        <v>19528</v>
      </c>
      <c r="M516" s="12">
        <f>IFERROR(L516/K516, 0)</f>
      </c>
      <c r="N516" s="13">
        <f>IFERROR(J516/K516, 0)</f>
      </c>
      <c r="O516" s="10">
        <v>0</v>
      </c>
      <c r="P516" s="10">
        <v>309256</v>
      </c>
      <c r="Q516" s="10">
        <v>391811.9455555556</v>
      </c>
      <c r="R516" s="11">
        <f>IFERROR(P516/Q516, 0)</f>
      </c>
      <c r="S516" s="10">
        <v>2547544</v>
      </c>
      <c r="T516" s="10">
        <v>4441160.295555555</v>
      </c>
      <c r="U516" s="11">
        <f>IFERROR(S516/T516, 0)</f>
      </c>
      <c r="V516" s="10">
        <f>IFERROR(S516/E516, 0)</f>
      </c>
      <c r="W516" s="10">
        <f>IFERROR(T516/F516, 0)</f>
      </c>
      <c r="X516" s="11">
        <f>IFERROR(V516/W516, 0)</f>
      </c>
    </row>
    <row r="517" spans="1:24" x14ac:dyDescent="0.25">
      <c r="A517" s="8" t="s">
        <v>554</v>
      </c>
      <c r="B517" s="8" t="s">
        <v>555</v>
      </c>
      <c r="C517" s="8" t="s">
        <v>60</v>
      </c>
      <c r="D517" s="8" t="s">
        <v>565</v>
      </c>
      <c r="E517" s="9">
        <v>4.58</v>
      </c>
      <c r="F517" s="9">
        <v>3.41</v>
      </c>
      <c r="G517" s="10">
        <v>0</v>
      </c>
      <c r="H517" s="10">
        <v>101.87925925925926</v>
      </c>
      <c r="I517" s="11">
        <f>IFERROR(G517/H517, 0)</f>
      </c>
      <c r="J517" s="10">
        <v>0</v>
      </c>
      <c r="K517" s="10">
        <v>0</v>
      </c>
      <c r="L517" s="10">
        <v>0</v>
      </c>
      <c r="M517" s="12">
        <f>IFERROR(L517/K517, 0)</f>
      </c>
      <c r="N517" s="13">
        <f>IFERROR(J517/K517, 0)</f>
      </c>
      <c r="O517" s="10">
        <v>0</v>
      </c>
      <c r="P517" s="10">
        <v>0</v>
      </c>
      <c r="Q517" s="10">
        <v>1120.671851851852</v>
      </c>
      <c r="R517" s="11">
        <f>IFERROR(P517/Q517, 0)</f>
      </c>
      <c r="S517" s="10">
        <v>28271</v>
      </c>
      <c r="T517" s="10">
        <v>12702.741851851852</v>
      </c>
      <c r="U517" s="11">
        <f>IFERROR(S517/T517, 0)</f>
      </c>
      <c r="V517" s="10">
        <f>IFERROR(S517/E517, 0)</f>
      </c>
      <c r="W517" s="10">
        <f>IFERROR(T517/F517, 0)</f>
      </c>
      <c r="X517" s="11">
        <f>IFERROR(V517/W517, 0)</f>
      </c>
    </row>
    <row r="518" spans="1:24" x14ac:dyDescent="0.25">
      <c r="A518" s="8" t="s">
        <v>554</v>
      </c>
      <c r="B518" s="8" t="s">
        <v>555</v>
      </c>
      <c r="C518" s="8" t="s">
        <v>60</v>
      </c>
      <c r="D518" s="8" t="s">
        <v>566</v>
      </c>
      <c r="E518" s="9">
        <v>1527</v>
      </c>
      <c r="F518" s="9">
        <v>1193.26</v>
      </c>
      <c r="G518" s="10">
        <v>7390</v>
      </c>
      <c r="H518" s="10">
        <v>35687.33555555555</v>
      </c>
      <c r="I518" s="11">
        <f>IFERROR(G518/H518, 0)</f>
      </c>
      <c r="J518" s="10">
        <v>92.5</v>
      </c>
      <c r="K518" s="10">
        <v>43</v>
      </c>
      <c r="L518" s="10">
        <v>7390</v>
      </c>
      <c r="M518" s="12">
        <f>IFERROR(L518/K518, 0)</f>
      </c>
      <c r="N518" s="13">
        <f>IFERROR(J518/K518, 0)</f>
      </c>
      <c r="O518" s="10">
        <v>0</v>
      </c>
      <c r="P518" s="10">
        <v>288867</v>
      </c>
      <c r="Q518" s="10">
        <v>392560.69111111114</v>
      </c>
      <c r="R518" s="11">
        <f>IFERROR(P518/Q518, 0)</f>
      </c>
      <c r="S518" s="10">
        <v>4558495</v>
      </c>
      <c r="T518" s="10">
        <v>4449647.281111111</v>
      </c>
      <c r="U518" s="11">
        <f>IFERROR(S518/T518, 0)</f>
      </c>
      <c r="V518" s="10">
        <f>IFERROR(S518/E518, 0)</f>
      </c>
      <c r="W518" s="10">
        <f>IFERROR(T518/F518, 0)</f>
      </c>
      <c r="X518" s="11">
        <f>IFERROR(V518/W518, 0)</f>
      </c>
    </row>
    <row r="519" spans="1:24" x14ac:dyDescent="0.25">
      <c r="A519" s="8" t="s">
        <v>554</v>
      </c>
      <c r="B519" s="8" t="s">
        <v>555</v>
      </c>
      <c r="C519" s="8" t="s">
        <v>60</v>
      </c>
      <c r="D519" s="8" t="s">
        <v>567</v>
      </c>
      <c r="E519" s="9">
        <v>1623.3</v>
      </c>
      <c r="F519" s="9">
        <v>1623.3</v>
      </c>
      <c r="G519" s="10">
        <v>0</v>
      </c>
      <c r="H519" s="10">
        <v>48548.817407407405</v>
      </c>
      <c r="I519" s="11">
        <f>IFERROR(G519/H519, 0)</f>
      </c>
      <c r="J519" s="10">
        <v>0</v>
      </c>
      <c r="K519" s="10">
        <v>0</v>
      </c>
      <c r="L519" s="10">
        <v>0</v>
      </c>
      <c r="M519" s="12">
        <f>IFERROR(L519/K519, 0)</f>
      </c>
      <c r="N519" s="13">
        <f>IFERROR(J519/K519, 0)</f>
      </c>
      <c r="O519" s="10">
        <v>0</v>
      </c>
      <c r="P519" s="10">
        <v>0</v>
      </c>
      <c r="Q519" s="10">
        <v>534036.9914814815</v>
      </c>
      <c r="R519" s="11">
        <f>IFERROR(P519/Q519, 0)</f>
      </c>
      <c r="S519" s="10">
        <v>0</v>
      </c>
      <c r="T519" s="10">
        <v>6053270.951481481</v>
      </c>
      <c r="U519" s="11">
        <f>IFERROR(S519/T519, 0)</f>
      </c>
      <c r="V519" s="10">
        <f>IFERROR(S519/E519, 0)</f>
      </c>
      <c r="W519" s="10">
        <f>IFERROR(T519/F519, 0)</f>
      </c>
      <c r="X519" s="11">
        <f>IFERROR(V519/W519, 0)</f>
      </c>
    </row>
    <row r="520" spans="1:24" x14ac:dyDescent="0.25">
      <c r="A520" s="8" t="s">
        <v>554</v>
      </c>
      <c r="B520" s="8" t="s">
        <v>555</v>
      </c>
      <c r="C520" s="8" t="s">
        <v>60</v>
      </c>
      <c r="D520" s="8" t="s">
        <v>568</v>
      </c>
      <c r="E520" s="9">
        <v>1463.81</v>
      </c>
      <c r="F520" s="9">
        <v>1463.81</v>
      </c>
      <c r="G520" s="10">
        <v>0</v>
      </c>
      <c r="H520" s="10">
        <v>43778.73111111111</v>
      </c>
      <c r="I520" s="11">
        <f>IFERROR(G520/H520, 0)</f>
      </c>
      <c r="J520" s="10">
        <v>0</v>
      </c>
      <c r="K520" s="10">
        <v>0</v>
      </c>
      <c r="L520" s="10">
        <v>0</v>
      </c>
      <c r="M520" s="12">
        <f>IFERROR(L520/K520, 0)</f>
      </c>
      <c r="N520" s="13">
        <f>IFERROR(J520/K520, 0)</f>
      </c>
      <c r="O520" s="10">
        <v>0</v>
      </c>
      <c r="P520" s="10">
        <v>0</v>
      </c>
      <c r="Q520" s="10">
        <v>481566.0422222222</v>
      </c>
      <c r="R520" s="11">
        <f>IFERROR(P520/Q520, 0)</f>
      </c>
      <c r="S520" s="10">
        <v>0</v>
      </c>
      <c r="T520" s="10">
        <v>5458516.512222222</v>
      </c>
      <c r="U520" s="11">
        <f>IFERROR(S520/T520, 0)</f>
      </c>
      <c r="V520" s="10">
        <f>IFERROR(S520/E520, 0)</f>
      </c>
      <c r="W520" s="10">
        <f>IFERROR(T520/F520, 0)</f>
      </c>
      <c r="X520" s="11">
        <f>IFERROR(V520/W520, 0)</f>
      </c>
    </row>
    <row r="521" spans="1:24" x14ac:dyDescent="0.25">
      <c r="A521" s="8" t="s">
        <v>554</v>
      </c>
      <c r="B521" s="8" t="s">
        <v>555</v>
      </c>
      <c r="C521" s="8" t="s">
        <v>60</v>
      </c>
      <c r="D521" s="8" t="s">
        <v>569</v>
      </c>
      <c r="E521" s="9">
        <v>6.46</v>
      </c>
      <c r="F521" s="9">
        <v>4.8</v>
      </c>
      <c r="G521" s="10">
        <v>0</v>
      </c>
      <c r="H521" s="10">
        <v>143.6988888888889</v>
      </c>
      <c r="I521" s="11">
        <f>IFERROR(G521/H521, 0)</f>
      </c>
      <c r="J521" s="10">
        <v>0</v>
      </c>
      <c r="K521" s="10">
        <v>0</v>
      </c>
      <c r="L521" s="10">
        <v>0</v>
      </c>
      <c r="M521" s="12">
        <f>IFERROR(L521/K521, 0)</f>
      </c>
      <c r="N521" s="13">
        <f>IFERROR(J521/K521, 0)</f>
      </c>
      <c r="O521" s="10">
        <v>0</v>
      </c>
      <c r="P521" s="10">
        <v>0</v>
      </c>
      <c r="Q521" s="10">
        <v>1580.6877777777777</v>
      </c>
      <c r="R521" s="11">
        <f>IFERROR(P521/Q521, 0)</f>
      </c>
      <c r="S521" s="10">
        <v>57615</v>
      </c>
      <c r="T521" s="10">
        <v>17916.967777777776</v>
      </c>
      <c r="U521" s="11">
        <f>IFERROR(S521/T521, 0)</f>
      </c>
      <c r="V521" s="10">
        <f>IFERROR(S521/E521, 0)</f>
      </c>
      <c r="W521" s="10">
        <f>IFERROR(T521/F521, 0)</f>
      </c>
      <c r="X521" s="11">
        <f>IFERROR(V521/W521, 0)</f>
      </c>
    </row>
    <row r="522" spans="1:24" x14ac:dyDescent="0.25">
      <c r="A522" s="8" t="s">
        <v>554</v>
      </c>
      <c r="B522" s="8" t="s">
        <v>555</v>
      </c>
      <c r="C522" s="8" t="s">
        <v>60</v>
      </c>
      <c r="D522" s="8" t="s">
        <v>570</v>
      </c>
      <c r="E522" s="9">
        <v>5463.88</v>
      </c>
      <c r="F522" s="9">
        <v>5463.88</v>
      </c>
      <c r="G522" s="10">
        <v>0</v>
      </c>
      <c r="H522" s="10">
        <v>163410.37333333332</v>
      </c>
      <c r="I522" s="11">
        <f>IFERROR(G522/H522, 0)</f>
      </c>
      <c r="J522" s="10">
        <v>0</v>
      </c>
      <c r="K522" s="10">
        <v>0</v>
      </c>
      <c r="L522" s="10">
        <v>0</v>
      </c>
      <c r="M522" s="12">
        <f>IFERROR(L522/K522, 0)</f>
      </c>
      <c r="N522" s="13">
        <f>IFERROR(J522/K522, 0)</f>
      </c>
      <c r="O522" s="10">
        <v>0</v>
      </c>
      <c r="P522" s="10">
        <v>0</v>
      </c>
      <c r="Q522" s="10">
        <v>1797514.1066666667</v>
      </c>
      <c r="R522" s="11">
        <f>IFERROR(P522/Q522, 0)</f>
      </c>
      <c r="S522" s="10">
        <v>0</v>
      </c>
      <c r="T522" s="10">
        <v>20374693.426666666</v>
      </c>
      <c r="U522" s="11">
        <f>IFERROR(S522/T522, 0)</f>
      </c>
      <c r="V522" s="10">
        <f>IFERROR(S522/E522, 0)</f>
      </c>
      <c r="W522" s="10">
        <f>IFERROR(T522/F522, 0)</f>
      </c>
      <c r="X522" s="11">
        <f>IFERROR(V522/W522, 0)</f>
      </c>
    </row>
    <row r="523" spans="1:24" x14ac:dyDescent="0.25">
      <c r="A523" s="8" t="s">
        <v>554</v>
      </c>
      <c r="B523" s="8" t="s">
        <v>555</v>
      </c>
      <c r="C523" s="8" t="s">
        <v>60</v>
      </c>
      <c r="D523" s="8" t="s">
        <v>571</v>
      </c>
      <c r="E523" s="9">
        <v>213.6</v>
      </c>
      <c r="F523" s="9">
        <v>213.6</v>
      </c>
      <c r="G523" s="10">
        <v>0</v>
      </c>
      <c r="H523" s="10">
        <v>6388.142592592592</v>
      </c>
      <c r="I523" s="11">
        <f>IFERROR(G523/H523, 0)</f>
      </c>
      <c r="J523" s="10">
        <v>0</v>
      </c>
      <c r="K523" s="10">
        <v>0</v>
      </c>
      <c r="L523" s="10">
        <v>0</v>
      </c>
      <c r="M523" s="12">
        <f>IFERROR(L523/K523, 0)</f>
      </c>
      <c r="N523" s="13">
        <f>IFERROR(J523/K523, 0)</f>
      </c>
      <c r="O523" s="10">
        <v>0</v>
      </c>
      <c r="P523" s="10">
        <v>0</v>
      </c>
      <c r="Q523" s="10">
        <v>70269.56851851851</v>
      </c>
      <c r="R523" s="11">
        <f>IFERROR(P523/Q523, 0)</f>
      </c>
      <c r="S523" s="10">
        <v>0</v>
      </c>
      <c r="T523" s="10">
        <v>796500.5485185186</v>
      </c>
      <c r="U523" s="11">
        <f>IFERROR(S523/T523, 0)</f>
      </c>
      <c r="V523" s="10">
        <f>IFERROR(S523/E523, 0)</f>
      </c>
      <c r="W523" s="10">
        <f>IFERROR(T523/F523, 0)</f>
      </c>
      <c r="X523" s="11">
        <f>IFERROR(V523/W523, 0)</f>
      </c>
    </row>
    <row r="524" spans="1:24" x14ac:dyDescent="0.25">
      <c r="A524" s="8" t="s">
        <v>554</v>
      </c>
      <c r="B524" s="8" t="s">
        <v>555</v>
      </c>
      <c r="C524" s="8" t="s">
        <v>60</v>
      </c>
      <c r="D524" s="8" t="s">
        <v>572</v>
      </c>
      <c r="E524" s="9">
        <v>1655.71</v>
      </c>
      <c r="F524" s="9">
        <v>0</v>
      </c>
      <c r="G524" s="10">
        <v>21821</v>
      </c>
      <c r="H524" s="10">
        <v>0</v>
      </c>
      <c r="I524" s="11">
        <f>IFERROR(G524/H524, 0)</f>
      </c>
      <c r="J524" s="10">
        <v>0</v>
      </c>
      <c r="K524" s="10">
        <v>0</v>
      </c>
      <c r="L524" s="10">
        <v>21821</v>
      </c>
      <c r="M524" s="12">
        <f>IFERROR(L524/K524, 0)</f>
      </c>
      <c r="N524" s="13">
        <f>IFERROR(J524/K524, 0)</f>
      </c>
      <c r="O524" s="10">
        <v>0</v>
      </c>
      <c r="P524" s="10">
        <v>202098</v>
      </c>
      <c r="Q524" s="10">
        <v>0</v>
      </c>
      <c r="R524" s="11">
        <f>IFERROR(P524/Q524, 0)</f>
      </c>
      <c r="S524" s="10">
        <v>845935</v>
      </c>
      <c r="T524" s="10">
        <v>0</v>
      </c>
      <c r="U524" s="11">
        <f>IFERROR(S524/T524, 0)</f>
      </c>
      <c r="V524" s="10">
        <f>IFERROR(S524/E524, 0)</f>
      </c>
      <c r="W524" s="10">
        <f>IFERROR(T524/F524, 0)</f>
      </c>
      <c r="X524" s="11">
        <f>IFERROR(V524/W524, 0)</f>
      </c>
    </row>
    <row r="525" spans="1:24" x14ac:dyDescent="0.25">
      <c r="A525" s="8" t="s">
        <v>554</v>
      </c>
      <c r="B525" s="8" t="s">
        <v>555</v>
      </c>
      <c r="C525" s="8" t="s">
        <v>60</v>
      </c>
      <c r="D525" s="8" t="s">
        <v>573</v>
      </c>
      <c r="E525" s="9">
        <v>646.31</v>
      </c>
      <c r="F525" s="9">
        <v>2120.26</v>
      </c>
      <c r="G525" s="10">
        <v>6301</v>
      </c>
      <c r="H525" s="10">
        <v>63411.626296296294</v>
      </c>
      <c r="I525" s="11">
        <f>IFERROR(G525/H525, 0)</f>
      </c>
      <c r="J525" s="10">
        <v>0</v>
      </c>
      <c r="K525" s="10">
        <v>0</v>
      </c>
      <c r="L525" s="10">
        <v>6301</v>
      </c>
      <c r="M525" s="12">
        <f>IFERROR(L525/K525, 0)</f>
      </c>
      <c r="N525" s="13">
        <f>IFERROR(J525/K525, 0)</f>
      </c>
      <c r="O525" s="10">
        <v>0</v>
      </c>
      <c r="P525" s="10">
        <v>259030</v>
      </c>
      <c r="Q525" s="10">
        <v>697527.8892592592</v>
      </c>
      <c r="R525" s="11">
        <f>IFERROR(P525/Q525, 0)</f>
      </c>
      <c r="S525" s="10">
        <v>2473628</v>
      </c>
      <c r="T525" s="10">
        <v>7906428.559259259</v>
      </c>
      <c r="U525" s="11">
        <f>IFERROR(S525/T525, 0)</f>
      </c>
      <c r="V525" s="10">
        <f>IFERROR(S525/E525, 0)</f>
      </c>
      <c r="W525" s="10">
        <f>IFERROR(T525/F525, 0)</f>
      </c>
      <c r="X525" s="11">
        <f>IFERROR(V525/W525, 0)</f>
      </c>
    </row>
    <row r="526" spans="1:24" x14ac:dyDescent="0.25">
      <c r="A526" s="8" t="s">
        <v>554</v>
      </c>
      <c r="B526" s="8" t="s">
        <v>555</v>
      </c>
      <c r="C526" s="8" t="s">
        <v>60</v>
      </c>
      <c r="D526" s="8" t="s">
        <v>574</v>
      </c>
      <c r="E526" s="9">
        <v>10.21</v>
      </c>
      <c r="F526" s="9">
        <v>7.59</v>
      </c>
      <c r="G526" s="10">
        <v>0</v>
      </c>
      <c r="H526" s="10">
        <v>227.1151851851852</v>
      </c>
      <c r="I526" s="11">
        <f>IFERROR(G526/H526, 0)</f>
      </c>
      <c r="J526" s="10">
        <v>0</v>
      </c>
      <c r="K526" s="10">
        <v>0</v>
      </c>
      <c r="L526" s="10">
        <v>0</v>
      </c>
      <c r="M526" s="12">
        <f>IFERROR(L526/K526, 0)</f>
      </c>
      <c r="N526" s="13">
        <f>IFERROR(J526/K526, 0)</f>
      </c>
      <c r="O526" s="10">
        <v>0</v>
      </c>
      <c r="P526" s="10">
        <v>0</v>
      </c>
      <c r="Q526" s="10">
        <v>2498.267037037037</v>
      </c>
      <c r="R526" s="11">
        <f>IFERROR(P526/Q526, 0)</f>
      </c>
      <c r="S526" s="10">
        <v>41886</v>
      </c>
      <c r="T526" s="10">
        <v>28317.677037037036</v>
      </c>
      <c r="U526" s="11">
        <f>IFERROR(S526/T526, 0)</f>
      </c>
      <c r="V526" s="10">
        <f>IFERROR(S526/E526, 0)</f>
      </c>
      <c r="W526" s="10">
        <f>IFERROR(T526/F526, 0)</f>
      </c>
      <c r="X526" s="11">
        <f>IFERROR(V526/W526, 0)</f>
      </c>
    </row>
    <row r="527" spans="1:24" x14ac:dyDescent="0.25">
      <c r="A527" s="8" t="s">
        <v>554</v>
      </c>
      <c r="B527" s="8" t="s">
        <v>555</v>
      </c>
      <c r="C527" s="8" t="s">
        <v>60</v>
      </c>
      <c r="D527" s="8" t="s">
        <v>575</v>
      </c>
      <c r="E527" s="9">
        <v>0</v>
      </c>
      <c r="F527" s="9">
        <v>0</v>
      </c>
      <c r="G527" s="10">
        <v>0</v>
      </c>
      <c r="H527" s="10">
        <v>0</v>
      </c>
      <c r="I527" s="11">
        <f>IFERROR(G527/H527, 0)</f>
      </c>
      <c r="J527" s="10">
        <v>0</v>
      </c>
      <c r="K527" s="10">
        <v>0</v>
      </c>
      <c r="L527" s="10">
        <v>0</v>
      </c>
      <c r="M527" s="12">
        <f>IFERROR(L527/K527, 0)</f>
      </c>
      <c r="N527" s="13">
        <f>IFERROR(J527/K527, 0)</f>
      </c>
      <c r="O527" s="10">
        <v>0</v>
      </c>
      <c r="P527" s="10">
        <v>0</v>
      </c>
      <c r="Q527" s="10">
        <v>0</v>
      </c>
      <c r="R527" s="11">
        <f>IFERROR(P527/Q527, 0)</f>
      </c>
      <c r="S527" s="10">
        <v>0</v>
      </c>
      <c r="T527" s="10">
        <v>0</v>
      </c>
      <c r="U527" s="11">
        <f>IFERROR(S527/T527, 0)</f>
      </c>
      <c r="V527" s="10">
        <f>IFERROR(S527/E527, 0)</f>
      </c>
      <c r="W527" s="10">
        <f>IFERROR(T527/F527, 0)</f>
      </c>
      <c r="X527" s="11">
        <f>IFERROR(V527/W527, 0)</f>
      </c>
    </row>
    <row r="528" spans="1:24" x14ac:dyDescent="0.25">
      <c r="A528" s="8" t="s">
        <v>554</v>
      </c>
      <c r="B528" s="8" t="s">
        <v>555</v>
      </c>
      <c r="C528" s="8" t="s">
        <v>60</v>
      </c>
      <c r="D528" s="8" t="s">
        <v>576</v>
      </c>
      <c r="E528" s="9">
        <v>34.97</v>
      </c>
      <c r="F528" s="9">
        <v>26.01</v>
      </c>
      <c r="G528" s="10">
        <v>0</v>
      </c>
      <c r="H528" s="10">
        <v>777.8862962962963</v>
      </c>
      <c r="I528" s="11">
        <f>IFERROR(G528/H528, 0)</f>
      </c>
      <c r="J528" s="10">
        <v>0</v>
      </c>
      <c r="K528" s="10">
        <v>0</v>
      </c>
      <c r="L528" s="10">
        <v>0</v>
      </c>
      <c r="M528" s="12">
        <f>IFERROR(L528/K528, 0)</f>
      </c>
      <c r="N528" s="13">
        <f>IFERROR(J528/K528, 0)</f>
      </c>
      <c r="O528" s="10">
        <v>0</v>
      </c>
      <c r="P528" s="10">
        <v>0</v>
      </c>
      <c r="Q528" s="10">
        <v>8556.749259259259</v>
      </c>
      <c r="R528" s="11">
        <f>IFERROR(P528/Q528, 0)</f>
      </c>
      <c r="S528" s="10">
        <v>233168</v>
      </c>
      <c r="T528" s="10">
        <v>96990.11925925926</v>
      </c>
      <c r="U528" s="11">
        <f>IFERROR(S528/T528, 0)</f>
      </c>
      <c r="V528" s="10">
        <f>IFERROR(S528/E528, 0)</f>
      </c>
      <c r="W528" s="10">
        <f>IFERROR(T528/F528, 0)</f>
      </c>
      <c r="X528" s="11">
        <f>IFERROR(V528/W528, 0)</f>
      </c>
    </row>
    <row r="529" spans="1:24" x14ac:dyDescent="0.25">
      <c r="A529" s="8" t="s">
        <v>554</v>
      </c>
      <c r="B529" s="8" t="s">
        <v>555</v>
      </c>
      <c r="C529" s="8" t="s">
        <v>60</v>
      </c>
      <c r="D529" s="8" t="s">
        <v>577</v>
      </c>
      <c r="E529" s="9">
        <v>15.11</v>
      </c>
      <c r="F529" s="9">
        <v>0</v>
      </c>
      <c r="G529" s="10">
        <v>0</v>
      </c>
      <c r="H529" s="10">
        <v>0</v>
      </c>
      <c r="I529" s="11">
        <f>IFERROR(G529/H529, 0)</f>
      </c>
      <c r="J529" s="10">
        <v>0</v>
      </c>
      <c r="K529" s="10">
        <v>0</v>
      </c>
      <c r="L529" s="10">
        <v>0</v>
      </c>
      <c r="M529" s="12">
        <f>IFERROR(L529/K529, 0)</f>
      </c>
      <c r="N529" s="13">
        <f>IFERROR(J529/K529, 0)</f>
      </c>
      <c r="O529" s="10">
        <v>0</v>
      </c>
      <c r="P529" s="10">
        <v>0</v>
      </c>
      <c r="Q529" s="10">
        <v>0</v>
      </c>
      <c r="R529" s="11">
        <f>IFERROR(P529/Q529, 0)</f>
      </c>
      <c r="S529" s="10">
        <v>0</v>
      </c>
      <c r="T529" s="10">
        <v>0</v>
      </c>
      <c r="U529" s="11">
        <f>IFERROR(S529/T529, 0)</f>
      </c>
      <c r="V529" s="10">
        <f>IFERROR(S529/E529, 0)</f>
      </c>
      <c r="W529" s="10">
        <f>IFERROR(T529/F529, 0)</f>
      </c>
      <c r="X529" s="11">
        <f>IFERROR(V529/W529, 0)</f>
      </c>
    </row>
    <row r="530" spans="1:24" x14ac:dyDescent="0.25">
      <c r="A530" s="8" t="s">
        <v>554</v>
      </c>
      <c r="B530" s="8" t="s">
        <v>555</v>
      </c>
      <c r="C530" s="8" t="s">
        <v>60</v>
      </c>
      <c r="D530" s="8" t="s">
        <v>578</v>
      </c>
      <c r="E530" s="9">
        <v>335.29</v>
      </c>
      <c r="F530" s="9">
        <v>251.08</v>
      </c>
      <c r="G530" s="10">
        <v>4753</v>
      </c>
      <c r="H530" s="10">
        <v>7509.037407407407</v>
      </c>
      <c r="I530" s="11">
        <f>IFERROR(G530/H530, 0)</f>
      </c>
      <c r="J530" s="10">
        <v>9</v>
      </c>
      <c r="K530" s="10">
        <v>6</v>
      </c>
      <c r="L530" s="10">
        <v>4753</v>
      </c>
      <c r="M530" s="12">
        <f>IFERROR(L530/K530, 0)</f>
      </c>
      <c r="N530" s="13">
        <f>IFERROR(J530/K530, 0)</f>
      </c>
      <c r="O530" s="10">
        <v>0</v>
      </c>
      <c r="P530" s="10">
        <v>42923</v>
      </c>
      <c r="Q530" s="10">
        <v>82599.41148148148</v>
      </c>
      <c r="R530" s="11">
        <f>IFERROR(P530/Q530, 0)</f>
      </c>
      <c r="S530" s="10">
        <v>929019</v>
      </c>
      <c r="T530" s="10">
        <v>936258.4014814815</v>
      </c>
      <c r="U530" s="11">
        <f>IFERROR(S530/T530, 0)</f>
      </c>
      <c r="V530" s="10">
        <f>IFERROR(S530/E530, 0)</f>
      </c>
      <c r="W530" s="10">
        <f>IFERROR(T530/F530, 0)</f>
      </c>
      <c r="X530" s="11">
        <f>IFERROR(V530/W530, 0)</f>
      </c>
    </row>
    <row r="531" spans="1:24" x14ac:dyDescent="0.25">
      <c r="A531" s="8" t="s">
        <v>554</v>
      </c>
      <c r="B531" s="8" t="s">
        <v>555</v>
      </c>
      <c r="C531" s="8" t="s">
        <v>62</v>
      </c>
      <c r="D531" s="8" t="s">
        <v>579</v>
      </c>
      <c r="E531" s="9">
        <v>6466.2</v>
      </c>
      <c r="F531" s="9">
        <v>6466.2</v>
      </c>
      <c r="G531" s="10">
        <v>0</v>
      </c>
      <c r="H531" s="10">
        <v>193387.35296296296</v>
      </c>
      <c r="I531" s="11">
        <f>IFERROR(G531/H531, 0)</f>
      </c>
      <c r="J531" s="10">
        <v>0</v>
      </c>
      <c r="K531" s="10">
        <v>0</v>
      </c>
      <c r="L531" s="10">
        <v>0</v>
      </c>
      <c r="M531" s="12">
        <f>IFERROR(L531/K531, 0)</f>
      </c>
      <c r="N531" s="13">
        <f>IFERROR(J531/K531, 0)</f>
      </c>
      <c r="O531" s="10">
        <v>0</v>
      </c>
      <c r="P531" s="10">
        <v>0</v>
      </c>
      <c r="Q531" s="10">
        <v>2127260.8825925924</v>
      </c>
      <c r="R531" s="11">
        <f>IFERROR(P531/Q531, 0)</f>
      </c>
      <c r="S531" s="10">
        <v>0</v>
      </c>
      <c r="T531" s="10">
        <v>24112349.412592594</v>
      </c>
      <c r="U531" s="11">
        <f>IFERROR(S531/T531, 0)</f>
      </c>
      <c r="V531" s="10">
        <f>IFERROR(S531/E531, 0)</f>
      </c>
      <c r="W531" s="10">
        <f>IFERROR(T531/F531, 0)</f>
      </c>
      <c r="X531" s="11">
        <f>IFERROR(V531/W531, 0)</f>
      </c>
    </row>
    <row r="532" spans="1:24" x14ac:dyDescent="0.25">
      <c r="A532" s="8" t="s">
        <v>554</v>
      </c>
      <c r="B532" s="8" t="s">
        <v>555</v>
      </c>
      <c r="C532" s="8" t="s">
        <v>62</v>
      </c>
      <c r="D532" s="8" t="s">
        <v>580</v>
      </c>
      <c r="E532" s="9">
        <v>785.54</v>
      </c>
      <c r="F532" s="9">
        <v>785.54</v>
      </c>
      <c r="G532" s="10">
        <v>0</v>
      </c>
      <c r="H532" s="10">
        <v>23493.408148148148</v>
      </c>
      <c r="I532" s="11">
        <f>IFERROR(G532/H532, 0)</f>
      </c>
      <c r="J532" s="10">
        <v>0</v>
      </c>
      <c r="K532" s="10">
        <v>0</v>
      </c>
      <c r="L532" s="10">
        <v>0</v>
      </c>
      <c r="M532" s="12">
        <f>IFERROR(L532/K532, 0)</f>
      </c>
      <c r="N532" s="13">
        <f>IFERROR(J532/K532, 0)</f>
      </c>
      <c r="O532" s="10">
        <v>0</v>
      </c>
      <c r="P532" s="10">
        <v>0</v>
      </c>
      <c r="Q532" s="10">
        <v>258427.48962962962</v>
      </c>
      <c r="R532" s="11">
        <f>IFERROR(P532/Q532, 0)</f>
      </c>
      <c r="S532" s="10">
        <v>0</v>
      </c>
      <c r="T532" s="10">
        <v>2929257.0496296296</v>
      </c>
      <c r="U532" s="11">
        <f>IFERROR(S532/T532, 0)</f>
      </c>
      <c r="V532" s="10">
        <f>IFERROR(S532/E532, 0)</f>
      </c>
      <c r="W532" s="10">
        <f>IFERROR(T532/F532, 0)</f>
      </c>
      <c r="X532" s="11">
        <f>IFERROR(V532/W532, 0)</f>
      </c>
    </row>
    <row r="533" spans="1:24" x14ac:dyDescent="0.25">
      <c r="A533" s="8" t="s">
        <v>554</v>
      </c>
      <c r="B533" s="8" t="s">
        <v>555</v>
      </c>
      <c r="C533" s="8" t="s">
        <v>62</v>
      </c>
      <c r="D533" s="8" t="s">
        <v>581</v>
      </c>
      <c r="E533" s="9">
        <v>0</v>
      </c>
      <c r="F533" s="9">
        <v>0</v>
      </c>
      <c r="G533" s="10">
        <v>0</v>
      </c>
      <c r="H533" s="10">
        <v>0</v>
      </c>
      <c r="I533" s="11">
        <f>IFERROR(G533/H533, 0)</f>
      </c>
      <c r="J533" s="10">
        <v>0</v>
      </c>
      <c r="K533" s="10">
        <v>0</v>
      </c>
      <c r="L533" s="10">
        <v>0</v>
      </c>
      <c r="M533" s="12">
        <f>IFERROR(L533/K533, 0)</f>
      </c>
      <c r="N533" s="13">
        <f>IFERROR(J533/K533, 0)</f>
      </c>
      <c r="O533" s="10">
        <v>0</v>
      </c>
      <c r="P533" s="10">
        <v>0</v>
      </c>
      <c r="Q533" s="10">
        <v>0</v>
      </c>
      <c r="R533" s="11">
        <f>IFERROR(P533/Q533, 0)</f>
      </c>
      <c r="S533" s="10">
        <v>0</v>
      </c>
      <c r="T533" s="10">
        <v>0</v>
      </c>
      <c r="U533" s="11">
        <f>IFERROR(S533/T533, 0)</f>
      </c>
      <c r="V533" s="10">
        <f>IFERROR(S533/E533, 0)</f>
      </c>
      <c r="W533" s="10">
        <f>IFERROR(T533/F533, 0)</f>
      </c>
      <c r="X533" s="11">
        <f>IFERROR(V533/W533, 0)</f>
      </c>
    </row>
    <row r="534" spans="1:24" x14ac:dyDescent="0.25">
      <c r="A534" s="8" t="s">
        <v>554</v>
      </c>
      <c r="B534" s="8" t="s">
        <v>555</v>
      </c>
      <c r="C534" s="8" t="s">
        <v>62</v>
      </c>
      <c r="D534" s="8" t="s">
        <v>582</v>
      </c>
      <c r="E534" s="9">
        <v>5.28</v>
      </c>
      <c r="F534" s="9">
        <v>5.28</v>
      </c>
      <c r="G534" s="10">
        <v>0</v>
      </c>
      <c r="H534" s="10">
        <v>157.9351851851852</v>
      </c>
      <c r="I534" s="11">
        <f>IFERROR(G534/H534, 0)</f>
      </c>
      <c r="J534" s="10">
        <v>0</v>
      </c>
      <c r="K534" s="10">
        <v>0</v>
      </c>
      <c r="L534" s="10">
        <v>0</v>
      </c>
      <c r="M534" s="12">
        <f>IFERROR(L534/K534, 0)</f>
      </c>
      <c r="N534" s="13">
        <f>IFERROR(J534/K534, 0)</f>
      </c>
      <c r="O534" s="10">
        <v>0</v>
      </c>
      <c r="P534" s="10">
        <v>0</v>
      </c>
      <c r="Q534" s="10">
        <v>1737.287037037037</v>
      </c>
      <c r="R534" s="11">
        <f>IFERROR(P534/Q534, 0)</f>
      </c>
      <c r="S534" s="10">
        <v>0</v>
      </c>
      <c r="T534" s="10">
        <v>19692.017037037036</v>
      </c>
      <c r="U534" s="11">
        <f>IFERROR(S534/T534, 0)</f>
      </c>
      <c r="V534" s="10">
        <f>IFERROR(S534/E534, 0)</f>
      </c>
      <c r="W534" s="10">
        <f>IFERROR(T534/F534, 0)</f>
      </c>
      <c r="X534" s="11">
        <f>IFERROR(V534/W534, 0)</f>
      </c>
    </row>
    <row r="535" spans="1:24" x14ac:dyDescent="0.25">
      <c r="A535" s="8" t="s">
        <v>554</v>
      </c>
      <c r="B535" s="8" t="s">
        <v>555</v>
      </c>
      <c r="C535" s="8" t="s">
        <v>62</v>
      </c>
      <c r="D535" s="8" t="s">
        <v>583</v>
      </c>
      <c r="E535" s="9">
        <v>58.91</v>
      </c>
      <c r="F535" s="9">
        <v>0</v>
      </c>
      <c r="G535" s="10">
        <v>0</v>
      </c>
      <c r="H535" s="10">
        <v>0</v>
      </c>
      <c r="I535" s="11">
        <f>IFERROR(G535/H535, 0)</f>
      </c>
      <c r="J535" s="10">
        <v>0</v>
      </c>
      <c r="K535" s="10">
        <v>0</v>
      </c>
      <c r="L535" s="10">
        <v>0</v>
      </c>
      <c r="M535" s="12">
        <f>IFERROR(L535/K535, 0)</f>
      </c>
      <c r="N535" s="13">
        <f>IFERROR(J535/K535, 0)</f>
      </c>
      <c r="O535" s="10">
        <v>0</v>
      </c>
      <c r="P535" s="10">
        <v>0</v>
      </c>
      <c r="Q535" s="10">
        <v>0</v>
      </c>
      <c r="R535" s="11">
        <f>IFERROR(P535/Q535, 0)</f>
      </c>
      <c r="S535" s="10">
        <v>0</v>
      </c>
      <c r="T535" s="10">
        <v>0</v>
      </c>
      <c r="U535" s="11">
        <f>IFERROR(S535/T535, 0)</f>
      </c>
      <c r="V535" s="10">
        <f>IFERROR(S535/E535, 0)</f>
      </c>
      <c r="W535" s="10">
        <f>IFERROR(T535/F535, 0)</f>
      </c>
      <c r="X535" s="11">
        <f>IFERROR(V535/W535, 0)</f>
      </c>
    </row>
    <row r="536" spans="1:24" x14ac:dyDescent="0.25">
      <c r="A536" s="8" t="s">
        <v>554</v>
      </c>
      <c r="B536" s="8" t="s">
        <v>555</v>
      </c>
      <c r="C536" s="8" t="s">
        <v>62</v>
      </c>
      <c r="D536" s="8" t="s">
        <v>584</v>
      </c>
      <c r="E536" s="9">
        <v>0</v>
      </c>
      <c r="F536" s="9">
        <v>0</v>
      </c>
      <c r="G536" s="10">
        <v>0</v>
      </c>
      <c r="H536" s="10">
        <v>0</v>
      </c>
      <c r="I536" s="11">
        <f>IFERROR(G536/H536, 0)</f>
      </c>
      <c r="J536" s="10">
        <v>0</v>
      </c>
      <c r="K536" s="10">
        <v>0</v>
      </c>
      <c r="L536" s="10">
        <v>0</v>
      </c>
      <c r="M536" s="12">
        <f>IFERROR(L536/K536, 0)</f>
      </c>
      <c r="N536" s="13">
        <f>IFERROR(J536/K536, 0)</f>
      </c>
      <c r="O536" s="10">
        <v>0</v>
      </c>
      <c r="P536" s="10">
        <v>0</v>
      </c>
      <c r="Q536" s="10">
        <v>0</v>
      </c>
      <c r="R536" s="11">
        <f>IFERROR(P536/Q536, 0)</f>
      </c>
      <c r="S536" s="10">
        <v>0</v>
      </c>
      <c r="T536" s="10">
        <v>0</v>
      </c>
      <c r="U536" s="11">
        <f>IFERROR(S536/T536, 0)</f>
      </c>
      <c r="V536" s="10">
        <f>IFERROR(S536/E536, 0)</f>
      </c>
      <c r="W536" s="10">
        <f>IFERROR(T536/F536, 0)</f>
      </c>
      <c r="X536" s="11">
        <f>IFERROR(V536/W536, 0)</f>
      </c>
    </row>
    <row r="537" spans="1:24" x14ac:dyDescent="0.25">
      <c r="A537" s="8" t="s">
        <v>554</v>
      </c>
      <c r="B537" s="8" t="s">
        <v>555</v>
      </c>
      <c r="C537" s="8" t="s">
        <v>62</v>
      </c>
      <c r="D537" s="8" t="s">
        <v>585</v>
      </c>
      <c r="E537" s="9">
        <v>1009.98</v>
      </c>
      <c r="F537" s="9">
        <v>1009.98</v>
      </c>
      <c r="G537" s="10">
        <v>0</v>
      </c>
      <c r="H537" s="10">
        <v>30205.874074074072</v>
      </c>
      <c r="I537" s="11">
        <f>IFERROR(G537/H537, 0)</f>
      </c>
      <c r="J537" s="10">
        <v>0</v>
      </c>
      <c r="K537" s="10">
        <v>0</v>
      </c>
      <c r="L537" s="10">
        <v>0</v>
      </c>
      <c r="M537" s="12">
        <f>IFERROR(L537/K537, 0)</f>
      </c>
      <c r="N537" s="13">
        <f>IFERROR(J537/K537, 0)</f>
      </c>
      <c r="O537" s="10">
        <v>0</v>
      </c>
      <c r="P537" s="10">
        <v>0</v>
      </c>
      <c r="Q537" s="10">
        <v>332264.6148148148</v>
      </c>
      <c r="R537" s="11">
        <f>IFERROR(P537/Q537, 0)</f>
      </c>
      <c r="S537" s="10">
        <v>0</v>
      </c>
      <c r="T537" s="10">
        <v>3766195.564814815</v>
      </c>
      <c r="U537" s="11">
        <f>IFERROR(S537/T537, 0)</f>
      </c>
      <c r="V537" s="10">
        <f>IFERROR(S537/E537, 0)</f>
      </c>
      <c r="W537" s="10">
        <f>IFERROR(T537/F537, 0)</f>
      </c>
      <c r="X537" s="11">
        <f>IFERROR(V537/W537, 0)</f>
      </c>
    </row>
    <row r="538" spans="1:24" x14ac:dyDescent="0.25">
      <c r="A538" s="8" t="s">
        <v>554</v>
      </c>
      <c r="B538" s="8" t="s">
        <v>555</v>
      </c>
      <c r="C538" s="8" t="s">
        <v>62</v>
      </c>
      <c r="D538" s="8" t="s">
        <v>586</v>
      </c>
      <c r="E538" s="9">
        <v>1070.94</v>
      </c>
      <c r="F538" s="9">
        <v>2796.83</v>
      </c>
      <c r="G538" s="10">
        <v>9322</v>
      </c>
      <c r="H538" s="10">
        <v>83645.78703703704</v>
      </c>
      <c r="I538" s="11">
        <f>IFERROR(G538/H538, 0)</f>
      </c>
      <c r="J538" s="10">
        <v>76.3</v>
      </c>
      <c r="K538" s="10">
        <v>26</v>
      </c>
      <c r="L538" s="10">
        <v>9322</v>
      </c>
      <c r="M538" s="12">
        <f>IFERROR(L538/K538, 0)</f>
      </c>
      <c r="N538" s="13">
        <f>IFERROR(J538/K538, 0)</f>
      </c>
      <c r="O538" s="10">
        <v>0</v>
      </c>
      <c r="P538" s="10">
        <v>394066</v>
      </c>
      <c r="Q538" s="10">
        <v>920103.6574074074</v>
      </c>
      <c r="R538" s="11">
        <f>IFERROR(P538/Q538, 0)</f>
      </c>
      <c r="S538" s="10">
        <v>3798788</v>
      </c>
      <c r="T538" s="10">
        <v>10429308.917407406</v>
      </c>
      <c r="U538" s="11">
        <f>IFERROR(S538/T538, 0)</f>
      </c>
      <c r="V538" s="10">
        <f>IFERROR(S538/E538, 0)</f>
      </c>
      <c r="W538" s="10">
        <f>IFERROR(T538/F538, 0)</f>
      </c>
      <c r="X538" s="11">
        <f>IFERROR(V538/W538, 0)</f>
      </c>
    </row>
    <row r="539" spans="1:24" x14ac:dyDescent="0.25">
      <c r="A539" s="8" t="s">
        <v>554</v>
      </c>
      <c r="B539" s="8" t="s">
        <v>555</v>
      </c>
      <c r="C539" s="8" t="s">
        <v>62</v>
      </c>
      <c r="D539" s="8" t="s">
        <v>587</v>
      </c>
      <c r="E539" s="9">
        <v>0</v>
      </c>
      <c r="F539" s="9">
        <v>0</v>
      </c>
      <c r="G539" s="10">
        <v>0</v>
      </c>
      <c r="H539" s="10">
        <v>0</v>
      </c>
      <c r="I539" s="11">
        <f>IFERROR(G539/H539, 0)</f>
      </c>
      <c r="J539" s="10">
        <v>0</v>
      </c>
      <c r="K539" s="10">
        <v>0</v>
      </c>
      <c r="L539" s="10">
        <v>0</v>
      </c>
      <c r="M539" s="12">
        <f>IFERROR(L539/K539, 0)</f>
      </c>
      <c r="N539" s="13">
        <f>IFERROR(J539/K539, 0)</f>
      </c>
      <c r="O539" s="10">
        <v>0</v>
      </c>
      <c r="P539" s="10">
        <v>0</v>
      </c>
      <c r="Q539" s="10">
        <v>0</v>
      </c>
      <c r="R539" s="11">
        <f>IFERROR(P539/Q539, 0)</f>
      </c>
      <c r="S539" s="10">
        <v>0</v>
      </c>
      <c r="T539" s="10">
        <v>0</v>
      </c>
      <c r="U539" s="11">
        <f>IFERROR(S539/T539, 0)</f>
      </c>
      <c r="V539" s="10">
        <f>IFERROR(S539/E539, 0)</f>
      </c>
      <c r="W539" s="10">
        <f>IFERROR(T539/F539, 0)</f>
      </c>
      <c r="X539" s="11">
        <f>IFERROR(V539/W539, 0)</f>
      </c>
    </row>
    <row r="540" spans="1:24" x14ac:dyDescent="0.25">
      <c r="A540" s="8" t="s">
        <v>554</v>
      </c>
      <c r="B540" s="8" t="s">
        <v>555</v>
      </c>
      <c r="C540" s="8" t="s">
        <v>62</v>
      </c>
      <c r="D540" s="8" t="s">
        <v>588</v>
      </c>
      <c r="E540" s="9">
        <v>0</v>
      </c>
      <c r="F540" s="9">
        <v>0</v>
      </c>
      <c r="G540" s="10">
        <v>0</v>
      </c>
      <c r="H540" s="10">
        <v>0</v>
      </c>
      <c r="I540" s="11">
        <f>IFERROR(G540/H540, 0)</f>
      </c>
      <c r="J540" s="10">
        <v>0</v>
      </c>
      <c r="K540" s="10">
        <v>0</v>
      </c>
      <c r="L540" s="10">
        <v>0</v>
      </c>
      <c r="M540" s="12">
        <f>IFERROR(L540/K540, 0)</f>
      </c>
      <c r="N540" s="13">
        <f>IFERROR(J540/K540, 0)</f>
      </c>
      <c r="O540" s="10">
        <v>0</v>
      </c>
      <c r="P540" s="10">
        <v>0</v>
      </c>
      <c r="Q540" s="10">
        <v>0</v>
      </c>
      <c r="R540" s="11">
        <f>IFERROR(P540/Q540, 0)</f>
      </c>
      <c r="S540" s="10">
        <v>0</v>
      </c>
      <c r="T540" s="10">
        <v>0</v>
      </c>
      <c r="U540" s="11">
        <f>IFERROR(S540/T540, 0)</f>
      </c>
      <c r="V540" s="10">
        <f>IFERROR(S540/E540, 0)</f>
      </c>
      <c r="W540" s="10">
        <f>IFERROR(T540/F540, 0)</f>
      </c>
      <c r="X540" s="11">
        <f>IFERROR(V540/W540, 0)</f>
      </c>
    </row>
    <row r="541" spans="1:24" x14ac:dyDescent="0.25">
      <c r="A541" s="8" t="s">
        <v>554</v>
      </c>
      <c r="B541" s="8" t="s">
        <v>555</v>
      </c>
      <c r="C541" s="8" t="s">
        <v>62</v>
      </c>
      <c r="D541" s="8" t="s">
        <v>589</v>
      </c>
      <c r="E541" s="9">
        <v>0</v>
      </c>
      <c r="F541" s="9">
        <v>0</v>
      </c>
      <c r="G541" s="10">
        <v>0</v>
      </c>
      <c r="H541" s="10">
        <v>0</v>
      </c>
      <c r="I541" s="11">
        <f>IFERROR(G541/H541, 0)</f>
      </c>
      <c r="J541" s="10">
        <v>0</v>
      </c>
      <c r="K541" s="10">
        <v>0</v>
      </c>
      <c r="L541" s="10">
        <v>0</v>
      </c>
      <c r="M541" s="12">
        <f>IFERROR(L541/K541, 0)</f>
      </c>
      <c r="N541" s="13">
        <f>IFERROR(J541/K541, 0)</f>
      </c>
      <c r="O541" s="10">
        <v>0</v>
      </c>
      <c r="P541" s="10">
        <v>0</v>
      </c>
      <c r="Q541" s="10">
        <v>0</v>
      </c>
      <c r="R541" s="11">
        <f>IFERROR(P541/Q541, 0)</f>
      </c>
      <c r="S541" s="10">
        <v>0</v>
      </c>
      <c r="T541" s="10">
        <v>0</v>
      </c>
      <c r="U541" s="11">
        <f>IFERROR(S541/T541, 0)</f>
      </c>
      <c r="V541" s="10">
        <f>IFERROR(S541/E541, 0)</f>
      </c>
      <c r="W541" s="10">
        <f>IFERROR(T541/F541, 0)</f>
      </c>
      <c r="X541" s="11">
        <f>IFERROR(V541/W541, 0)</f>
      </c>
    </row>
    <row r="542" spans="1:24" x14ac:dyDescent="0.25">
      <c r="A542" s="8" t="s">
        <v>554</v>
      </c>
      <c r="B542" s="8" t="s">
        <v>555</v>
      </c>
      <c r="C542" s="8" t="s">
        <v>62</v>
      </c>
      <c r="D542" s="8" t="s">
        <v>590</v>
      </c>
      <c r="E542" s="9">
        <v>857.31</v>
      </c>
      <c r="F542" s="9">
        <v>857.31</v>
      </c>
      <c r="G542" s="10">
        <v>0</v>
      </c>
      <c r="H542" s="10">
        <v>25639.99148148148</v>
      </c>
      <c r="I542" s="11">
        <f>IFERROR(G542/H542, 0)</f>
      </c>
      <c r="J542" s="10">
        <v>0</v>
      </c>
      <c r="K542" s="10">
        <v>0</v>
      </c>
      <c r="L542" s="10">
        <v>0</v>
      </c>
      <c r="M542" s="12">
        <f>IFERROR(L542/K542, 0)</f>
      </c>
      <c r="N542" s="13">
        <f>IFERROR(J542/K542, 0)</f>
      </c>
      <c r="O542" s="10">
        <v>0</v>
      </c>
      <c r="P542" s="10">
        <v>0</v>
      </c>
      <c r="Q542" s="10">
        <v>282039.9062962963</v>
      </c>
      <c r="R542" s="11">
        <f>IFERROR(P542/Q542, 0)</f>
      </c>
      <c r="S542" s="10">
        <v>0</v>
      </c>
      <c r="T542" s="10">
        <v>3196902.0962962965</v>
      </c>
      <c r="U542" s="11">
        <f>IFERROR(S542/T542, 0)</f>
      </c>
      <c r="V542" s="10">
        <f>IFERROR(S542/E542, 0)</f>
      </c>
      <c r="W542" s="10">
        <f>IFERROR(T542/F542, 0)</f>
      </c>
      <c r="X542" s="11">
        <f>IFERROR(V542/W542, 0)</f>
      </c>
    </row>
    <row r="543" spans="1:24" x14ac:dyDescent="0.25">
      <c r="A543" s="8" t="s">
        <v>554</v>
      </c>
      <c r="B543" s="8" t="s">
        <v>555</v>
      </c>
      <c r="C543" s="8" t="s">
        <v>62</v>
      </c>
      <c r="D543" s="8" t="s">
        <v>591</v>
      </c>
      <c r="E543" s="9">
        <v>0</v>
      </c>
      <c r="F543" s="9">
        <v>0</v>
      </c>
      <c r="G543" s="10">
        <v>0</v>
      </c>
      <c r="H543" s="10">
        <v>0</v>
      </c>
      <c r="I543" s="11">
        <f>IFERROR(G543/H543, 0)</f>
      </c>
      <c r="J543" s="10">
        <v>0</v>
      </c>
      <c r="K543" s="10">
        <v>0</v>
      </c>
      <c r="L543" s="10">
        <v>0</v>
      </c>
      <c r="M543" s="12">
        <f>IFERROR(L543/K543, 0)</f>
      </c>
      <c r="N543" s="13">
        <f>IFERROR(J543/K543, 0)</f>
      </c>
      <c r="O543" s="10">
        <v>0</v>
      </c>
      <c r="P543" s="10">
        <v>0</v>
      </c>
      <c r="Q543" s="10">
        <v>0</v>
      </c>
      <c r="R543" s="11">
        <f>IFERROR(P543/Q543, 0)</f>
      </c>
      <c r="S543" s="10">
        <v>0</v>
      </c>
      <c r="T543" s="10">
        <v>0</v>
      </c>
      <c r="U543" s="11">
        <f>IFERROR(S543/T543, 0)</f>
      </c>
      <c r="V543" s="10">
        <f>IFERROR(S543/E543, 0)</f>
      </c>
      <c r="W543" s="10">
        <f>IFERROR(T543/F543, 0)</f>
      </c>
      <c r="X543" s="11">
        <f>IFERROR(V543/W543, 0)</f>
      </c>
    </row>
    <row r="544" spans="1:24" x14ac:dyDescent="0.25">
      <c r="A544" s="8" t="s">
        <v>554</v>
      </c>
      <c r="B544" s="8" t="s">
        <v>555</v>
      </c>
      <c r="C544" s="8" t="s">
        <v>62</v>
      </c>
      <c r="D544" s="8" t="s">
        <v>592</v>
      </c>
      <c r="E544" s="9">
        <v>2696.97</v>
      </c>
      <c r="F544" s="9">
        <v>2696.97</v>
      </c>
      <c r="G544" s="10">
        <v>0</v>
      </c>
      <c r="H544" s="10">
        <v>80659.25555555556</v>
      </c>
      <c r="I544" s="11">
        <f>IFERROR(G544/H544, 0)</f>
      </c>
      <c r="J544" s="10">
        <v>0</v>
      </c>
      <c r="K544" s="10">
        <v>0</v>
      </c>
      <c r="L544" s="10">
        <v>0</v>
      </c>
      <c r="M544" s="12">
        <f>IFERROR(L544/K544, 0)</f>
      </c>
      <c r="N544" s="13">
        <f>IFERROR(J544/K544, 0)</f>
      </c>
      <c r="O544" s="10">
        <v>0</v>
      </c>
      <c r="P544" s="10">
        <v>0</v>
      </c>
      <c r="Q544" s="10">
        <v>887251.8111111111</v>
      </c>
      <c r="R544" s="11">
        <f>IFERROR(P544/Q544, 0)</f>
      </c>
      <c r="S544" s="10">
        <v>0</v>
      </c>
      <c r="T544" s="10">
        <v>10056935.621111112</v>
      </c>
      <c r="U544" s="11">
        <f>IFERROR(S544/T544, 0)</f>
      </c>
      <c r="V544" s="10">
        <f>IFERROR(S544/E544, 0)</f>
      </c>
      <c r="W544" s="10">
        <f>IFERROR(T544/F544, 0)</f>
      </c>
      <c r="X544" s="11">
        <f>IFERROR(V544/W544, 0)</f>
      </c>
    </row>
    <row r="545" spans="1:24" x14ac:dyDescent="0.25">
      <c r="A545" s="8" t="s">
        <v>554</v>
      </c>
      <c r="B545" s="8" t="s">
        <v>555</v>
      </c>
      <c r="C545" s="8" t="s">
        <v>62</v>
      </c>
      <c r="D545" s="8" t="s">
        <v>593</v>
      </c>
      <c r="E545" s="9">
        <v>37.72</v>
      </c>
      <c r="F545" s="9">
        <v>0</v>
      </c>
      <c r="G545" s="10">
        <v>0</v>
      </c>
      <c r="H545" s="10">
        <v>0</v>
      </c>
      <c r="I545" s="11">
        <f>IFERROR(G545/H545, 0)</f>
      </c>
      <c r="J545" s="10">
        <v>0</v>
      </c>
      <c r="K545" s="10">
        <v>0</v>
      </c>
      <c r="L545" s="10">
        <v>0</v>
      </c>
      <c r="M545" s="12">
        <f>IFERROR(L545/K545, 0)</f>
      </c>
      <c r="N545" s="13">
        <f>IFERROR(J545/K545, 0)</f>
      </c>
      <c r="O545" s="10">
        <v>0</v>
      </c>
      <c r="P545" s="10">
        <v>0</v>
      </c>
      <c r="Q545" s="10">
        <v>0</v>
      </c>
      <c r="R545" s="11">
        <f>IFERROR(P545/Q545, 0)</f>
      </c>
      <c r="S545" s="10">
        <v>0</v>
      </c>
      <c r="T545" s="10">
        <v>0</v>
      </c>
      <c r="U545" s="11">
        <f>IFERROR(S545/T545, 0)</f>
      </c>
      <c r="V545" s="10">
        <f>IFERROR(S545/E545, 0)</f>
      </c>
      <c r="W545" s="10">
        <f>IFERROR(T545/F545, 0)</f>
      </c>
      <c r="X545" s="11">
        <f>IFERROR(V545/W545, 0)</f>
      </c>
    </row>
    <row r="546" spans="1:24" x14ac:dyDescent="0.25">
      <c r="A546" s="8" t="s">
        <v>554</v>
      </c>
      <c r="B546" s="8" t="s">
        <v>555</v>
      </c>
      <c r="C546" s="8" t="s">
        <v>62</v>
      </c>
      <c r="D546" s="8" t="s">
        <v>594</v>
      </c>
      <c r="E546" s="9">
        <v>34.9</v>
      </c>
      <c r="F546" s="9">
        <v>34.9</v>
      </c>
      <c r="G546" s="10">
        <v>0</v>
      </c>
      <c r="H546" s="10">
        <v>1043.7066666666667</v>
      </c>
      <c r="I546" s="11">
        <f>IFERROR(G546/H546, 0)</f>
      </c>
      <c r="J546" s="10">
        <v>0</v>
      </c>
      <c r="K546" s="10">
        <v>0</v>
      </c>
      <c r="L546" s="10">
        <v>0</v>
      </c>
      <c r="M546" s="12">
        <f>IFERROR(L546/K546, 0)</f>
      </c>
      <c r="N546" s="13">
        <f>IFERROR(J546/K546, 0)</f>
      </c>
      <c r="O546" s="10">
        <v>0</v>
      </c>
      <c r="P546" s="10">
        <v>0</v>
      </c>
      <c r="Q546" s="10">
        <v>11480.773333333333</v>
      </c>
      <c r="R546" s="11">
        <f>IFERROR(P546/Q546, 0)</f>
      </c>
      <c r="S546" s="10">
        <v>0</v>
      </c>
      <c r="T546" s="10">
        <v>130133.73333333334</v>
      </c>
      <c r="U546" s="11">
        <f>IFERROR(S546/T546, 0)</f>
      </c>
      <c r="V546" s="10">
        <f>IFERROR(S546/E546, 0)</f>
      </c>
      <c r="W546" s="10">
        <f>IFERROR(T546/F546, 0)</f>
      </c>
      <c r="X546" s="11">
        <f>IFERROR(V546/W546, 0)</f>
      </c>
    </row>
    <row r="547" spans="1:24" x14ac:dyDescent="0.25">
      <c r="A547" s="8" t="s">
        <v>554</v>
      </c>
      <c r="B547" s="8" t="s">
        <v>555</v>
      </c>
      <c r="C547" s="8" t="s">
        <v>62</v>
      </c>
      <c r="D547" s="8" t="s">
        <v>595</v>
      </c>
      <c r="E547" s="9">
        <v>0</v>
      </c>
      <c r="F547" s="9">
        <v>0</v>
      </c>
      <c r="G547" s="10">
        <v>0</v>
      </c>
      <c r="H547" s="10">
        <v>0</v>
      </c>
      <c r="I547" s="11">
        <f>IFERROR(G547/H547, 0)</f>
      </c>
      <c r="J547" s="10">
        <v>0</v>
      </c>
      <c r="K547" s="10">
        <v>0</v>
      </c>
      <c r="L547" s="10">
        <v>0</v>
      </c>
      <c r="M547" s="12">
        <f>IFERROR(L547/K547, 0)</f>
      </c>
      <c r="N547" s="13">
        <f>IFERROR(J547/K547, 0)</f>
      </c>
      <c r="O547" s="10">
        <v>0</v>
      </c>
      <c r="P547" s="10">
        <v>0</v>
      </c>
      <c r="Q547" s="10">
        <v>0</v>
      </c>
      <c r="R547" s="11">
        <f>IFERROR(P547/Q547, 0)</f>
      </c>
      <c r="S547" s="10">
        <v>0</v>
      </c>
      <c r="T547" s="10">
        <v>0</v>
      </c>
      <c r="U547" s="11">
        <f>IFERROR(S547/T547, 0)</f>
      </c>
      <c r="V547" s="10">
        <f>IFERROR(S547/E547, 0)</f>
      </c>
      <c r="W547" s="10">
        <f>IFERROR(T547/F547, 0)</f>
      </c>
      <c r="X547" s="11">
        <f>IFERROR(V547/W547, 0)</f>
      </c>
    </row>
    <row r="548" spans="1:24" x14ac:dyDescent="0.25">
      <c r="A548" s="8" t="s">
        <v>554</v>
      </c>
      <c r="B548" s="8" t="s">
        <v>555</v>
      </c>
      <c r="C548" s="8" t="s">
        <v>64</v>
      </c>
      <c r="D548" s="8" t="s">
        <v>596</v>
      </c>
      <c r="E548" s="9">
        <v>349.74</v>
      </c>
      <c r="F548" s="9">
        <v>0</v>
      </c>
      <c r="G548" s="10">
        <v>0</v>
      </c>
      <c r="H548" s="10">
        <v>0</v>
      </c>
      <c r="I548" s="11">
        <f>IFERROR(G548/H548, 0)</f>
      </c>
      <c r="J548" s="10">
        <v>0</v>
      </c>
      <c r="K548" s="10">
        <v>0</v>
      </c>
      <c r="L548" s="10">
        <v>0</v>
      </c>
      <c r="M548" s="12">
        <f>IFERROR(L548/K548, 0)</f>
      </c>
      <c r="N548" s="13">
        <f>IFERROR(J548/K548, 0)</f>
      </c>
      <c r="O548" s="10">
        <v>0</v>
      </c>
      <c r="P548" s="10">
        <v>19278</v>
      </c>
      <c r="Q548" s="10">
        <v>0</v>
      </c>
      <c r="R548" s="11">
        <f>IFERROR(P548/Q548, 0)</f>
      </c>
      <c r="S548" s="10">
        <v>1957753</v>
      </c>
      <c r="T548" s="10">
        <v>0</v>
      </c>
      <c r="U548" s="11">
        <f>IFERROR(S548/T548, 0)</f>
      </c>
      <c r="V548" s="10">
        <f>IFERROR(S548/E548, 0)</f>
      </c>
      <c r="W548" s="10">
        <f>IFERROR(T548/F548, 0)</f>
      </c>
      <c r="X548" s="11">
        <f>IFERROR(V548/W548, 0)</f>
      </c>
    </row>
    <row r="549" spans="1:24" x14ac:dyDescent="0.25">
      <c r="A549" s="8" t="s">
        <v>554</v>
      </c>
      <c r="B549" s="8" t="s">
        <v>555</v>
      </c>
      <c r="C549" s="8" t="s">
        <v>64</v>
      </c>
      <c r="D549" s="8" t="s">
        <v>597</v>
      </c>
      <c r="E549" s="9">
        <v>1374.81</v>
      </c>
      <c r="F549" s="9">
        <v>1374.81</v>
      </c>
      <c r="G549" s="10">
        <v>0</v>
      </c>
      <c r="H549" s="10">
        <v>41116.967777777776</v>
      </c>
      <c r="I549" s="11">
        <f>IFERROR(G549/H549, 0)</f>
      </c>
      <c r="J549" s="10">
        <v>0</v>
      </c>
      <c r="K549" s="10">
        <v>0</v>
      </c>
      <c r="L549" s="10">
        <v>0</v>
      </c>
      <c r="M549" s="12">
        <f>IFERROR(L549/K549, 0)</f>
      </c>
      <c r="N549" s="13">
        <f>IFERROR(J549/K549, 0)</f>
      </c>
      <c r="O549" s="10">
        <v>0</v>
      </c>
      <c r="P549" s="10">
        <v>0</v>
      </c>
      <c r="Q549" s="10">
        <v>452286.64555555553</v>
      </c>
      <c r="R549" s="11">
        <f>IFERROR(P549/Q549, 0)</f>
      </c>
      <c r="S549" s="10">
        <v>0</v>
      </c>
      <c r="T549" s="10">
        <v>5126636.685555556</v>
      </c>
      <c r="U549" s="11">
        <f>IFERROR(S549/T549, 0)</f>
      </c>
      <c r="V549" s="10">
        <f>IFERROR(S549/E549, 0)</f>
      </c>
      <c r="W549" s="10">
        <f>IFERROR(T549/F549, 0)</f>
      </c>
      <c r="X549" s="11">
        <f>IFERROR(V549/W549, 0)</f>
      </c>
    </row>
    <row r="550" spans="1:24" x14ac:dyDescent="0.25">
      <c r="A550" s="8" t="s">
        <v>554</v>
      </c>
      <c r="B550" s="8" t="s">
        <v>555</v>
      </c>
      <c r="C550" s="8" t="s">
        <v>64</v>
      </c>
      <c r="D550" s="8" t="s">
        <v>598</v>
      </c>
      <c r="E550" s="9">
        <v>581.47</v>
      </c>
      <c r="F550" s="9">
        <v>432.48</v>
      </c>
      <c r="G550" s="10">
        <v>0</v>
      </c>
      <c r="H550" s="10">
        <v>12934.442962962963</v>
      </c>
      <c r="I550" s="11">
        <f>IFERROR(G550/H550, 0)</f>
      </c>
      <c r="J550" s="10">
        <v>0</v>
      </c>
      <c r="K550" s="10">
        <v>0</v>
      </c>
      <c r="L550" s="10">
        <v>0</v>
      </c>
      <c r="M550" s="12">
        <f>IFERROR(L550/K550, 0)</f>
      </c>
      <c r="N550" s="13">
        <f>IFERROR(J550/K550, 0)</f>
      </c>
      <c r="O550" s="10">
        <v>0</v>
      </c>
      <c r="P550" s="10">
        <v>0</v>
      </c>
      <c r="Q550" s="10">
        <v>142278.87259259258</v>
      </c>
      <c r="R550" s="11">
        <f>IFERROR(P550/Q550, 0)</f>
      </c>
      <c r="S550" s="10">
        <v>0</v>
      </c>
      <c r="T550" s="10">
        <v>1612720.8325925926</v>
      </c>
      <c r="U550" s="11">
        <f>IFERROR(S550/T550, 0)</f>
      </c>
      <c r="V550" s="10">
        <f>IFERROR(S550/E550, 0)</f>
      </c>
      <c r="W550" s="10">
        <f>IFERROR(T550/F550, 0)</f>
      </c>
      <c r="X550" s="11">
        <f>IFERROR(V550/W550, 0)</f>
      </c>
    </row>
    <row r="551" spans="1:24" x14ac:dyDescent="0.25">
      <c r="A551" s="8" t="s">
        <v>554</v>
      </c>
      <c r="B551" s="8" t="s">
        <v>555</v>
      </c>
      <c r="C551" s="8" t="s">
        <v>64</v>
      </c>
      <c r="D551" s="8" t="s">
        <v>599</v>
      </c>
      <c r="E551" s="9">
        <v>129.61</v>
      </c>
      <c r="F551" s="9">
        <v>402.44</v>
      </c>
      <c r="G551" s="10">
        <v>4403</v>
      </c>
      <c r="H551" s="10">
        <v>12035.992222222221</v>
      </c>
      <c r="I551" s="11">
        <f>IFERROR(G551/H551, 0)</f>
      </c>
      <c r="J551" s="10">
        <v>10</v>
      </c>
      <c r="K551" s="10">
        <v>5</v>
      </c>
      <c r="L551" s="10">
        <v>4403</v>
      </c>
      <c r="M551" s="12">
        <f>IFERROR(L551/K551, 0)</f>
      </c>
      <c r="N551" s="13">
        <f>IFERROR(J551/K551, 0)</f>
      </c>
      <c r="O551" s="10">
        <v>0</v>
      </c>
      <c r="P551" s="10">
        <v>60189</v>
      </c>
      <c r="Q551" s="10">
        <v>132395.91444444444</v>
      </c>
      <c r="R551" s="11">
        <f>IFERROR(P551/Q551, 0)</f>
      </c>
      <c r="S551" s="10">
        <v>181913</v>
      </c>
      <c r="T551" s="10">
        <v>1500698.1944444445</v>
      </c>
      <c r="U551" s="11">
        <f>IFERROR(S551/T551, 0)</f>
      </c>
      <c r="V551" s="10">
        <f>IFERROR(S551/E551, 0)</f>
      </c>
      <c r="W551" s="10">
        <f>IFERROR(T551/F551, 0)</f>
      </c>
      <c r="X551" s="11">
        <f>IFERROR(V551/W551, 0)</f>
      </c>
    </row>
    <row r="552" spans="1:24" x14ac:dyDescent="0.25">
      <c r="A552" s="8" t="s">
        <v>554</v>
      </c>
      <c r="B552" s="8" t="s">
        <v>555</v>
      </c>
      <c r="C552" s="8" t="s">
        <v>64</v>
      </c>
      <c r="D552" s="8" t="s">
        <v>600</v>
      </c>
      <c r="E552" s="9">
        <v>51.52</v>
      </c>
      <c r="F552" s="9">
        <v>51.52</v>
      </c>
      <c r="G552" s="10">
        <v>0</v>
      </c>
      <c r="H552" s="10">
        <v>1540.8685185185186</v>
      </c>
      <c r="I552" s="11">
        <f>IFERROR(G552/H552, 0)</f>
      </c>
      <c r="J552" s="10">
        <v>0</v>
      </c>
      <c r="K552" s="10">
        <v>0</v>
      </c>
      <c r="L552" s="10">
        <v>0</v>
      </c>
      <c r="M552" s="12">
        <f>IFERROR(L552/K552, 0)</f>
      </c>
      <c r="N552" s="13">
        <f>IFERROR(J552/K552, 0)</f>
      </c>
      <c r="O552" s="10">
        <v>0</v>
      </c>
      <c r="P552" s="10">
        <v>0</v>
      </c>
      <c r="Q552" s="10">
        <v>16949.553703703703</v>
      </c>
      <c r="R552" s="11">
        <f>IFERROR(P552/Q552, 0)</f>
      </c>
      <c r="S552" s="10">
        <v>0</v>
      </c>
      <c r="T552" s="10">
        <v>192121.9837037037</v>
      </c>
      <c r="U552" s="11">
        <f>IFERROR(S552/T552, 0)</f>
      </c>
      <c r="V552" s="10">
        <f>IFERROR(S552/E552, 0)</f>
      </c>
      <c r="W552" s="10">
        <f>IFERROR(T552/F552, 0)</f>
      </c>
      <c r="X552" s="11">
        <f>IFERROR(V552/W552, 0)</f>
      </c>
    </row>
    <row r="553" spans="1:24" x14ac:dyDescent="0.25">
      <c r="A553" s="8" t="s">
        <v>554</v>
      </c>
      <c r="B553" s="8" t="s">
        <v>555</v>
      </c>
      <c r="C553" s="8" t="s">
        <v>64</v>
      </c>
      <c r="D553" s="8" t="s">
        <v>601</v>
      </c>
      <c r="E553" s="9">
        <v>207</v>
      </c>
      <c r="F553" s="9">
        <v>1715.29</v>
      </c>
      <c r="G553" s="10">
        <v>15446</v>
      </c>
      <c r="H553" s="10">
        <v>51300.002962962964</v>
      </c>
      <c r="I553" s="11">
        <f>IFERROR(G553/H553, 0)</f>
      </c>
      <c r="J553" s="10">
        <v>44.27</v>
      </c>
      <c r="K553" s="10">
        <v>11</v>
      </c>
      <c r="L553" s="10">
        <v>15446</v>
      </c>
      <c r="M553" s="12">
        <f>IFERROR(L553/K553, 0)</f>
      </c>
      <c r="N553" s="13">
        <f>IFERROR(J553/K553, 0)</f>
      </c>
      <c r="O553" s="10">
        <v>0</v>
      </c>
      <c r="P553" s="10">
        <v>103274</v>
      </c>
      <c r="Q553" s="10">
        <v>564300.0325925926</v>
      </c>
      <c r="R553" s="11">
        <f>IFERROR(P553/Q553, 0)</f>
      </c>
      <c r="S553" s="10">
        <v>1153450</v>
      </c>
      <c r="T553" s="10">
        <v>6396300.362592593</v>
      </c>
      <c r="U553" s="11">
        <f>IFERROR(S553/T553, 0)</f>
      </c>
      <c r="V553" s="10">
        <f>IFERROR(S553/E553, 0)</f>
      </c>
      <c r="W553" s="10">
        <f>IFERROR(T553/F553, 0)</f>
      </c>
      <c r="X553" s="11">
        <f>IFERROR(V553/W553, 0)</f>
      </c>
    </row>
    <row r="554" spans="1:24" x14ac:dyDescent="0.25">
      <c r="A554" s="8" t="s">
        <v>554</v>
      </c>
      <c r="B554" s="8" t="s">
        <v>555</v>
      </c>
      <c r="C554" s="8" t="s">
        <v>64</v>
      </c>
      <c r="D554" s="8" t="s">
        <v>602</v>
      </c>
      <c r="E554" s="9">
        <v>873.21</v>
      </c>
      <c r="F554" s="9">
        <v>1106.82</v>
      </c>
      <c r="G554" s="10">
        <v>36110</v>
      </c>
      <c r="H554" s="10">
        <v>33102.09333333333</v>
      </c>
      <c r="I554" s="11">
        <f>IFERROR(G554/H554, 0)</f>
      </c>
      <c r="J554" s="10">
        <v>29</v>
      </c>
      <c r="K554" s="10">
        <v>19</v>
      </c>
      <c r="L554" s="10">
        <v>36110</v>
      </c>
      <c r="M554" s="12">
        <f>IFERROR(L554/K554, 0)</f>
      </c>
      <c r="N554" s="13">
        <f>IFERROR(J554/K554, 0)</f>
      </c>
      <c r="O554" s="10">
        <v>0</v>
      </c>
      <c r="P554" s="10">
        <v>628060</v>
      </c>
      <c r="Q554" s="10">
        <v>364123.0266666667</v>
      </c>
      <c r="R554" s="11">
        <f>IFERROR(P554/Q554, 0)</f>
      </c>
      <c r="S554" s="10">
        <v>6094714</v>
      </c>
      <c r="T554" s="10">
        <v>4127308.3566666665</v>
      </c>
      <c r="U554" s="11">
        <f>IFERROR(S554/T554, 0)</f>
      </c>
      <c r="V554" s="10">
        <f>IFERROR(S554/E554, 0)</f>
      </c>
      <c r="W554" s="10">
        <f>IFERROR(T554/F554, 0)</f>
      </c>
      <c r="X554" s="11">
        <f>IFERROR(V554/W554, 0)</f>
      </c>
    </row>
    <row r="555" spans="1:24" x14ac:dyDescent="0.25">
      <c r="A555" s="8" t="s">
        <v>554</v>
      </c>
      <c r="B555" s="8" t="s">
        <v>555</v>
      </c>
      <c r="C555" s="8" t="s">
        <v>64</v>
      </c>
      <c r="D555" s="8" t="s">
        <v>603</v>
      </c>
      <c r="E555" s="9">
        <v>631.24</v>
      </c>
      <c r="F555" s="9">
        <v>631.24</v>
      </c>
      <c r="G555" s="10">
        <v>0</v>
      </c>
      <c r="H555" s="10">
        <v>18878.81037037037</v>
      </c>
      <c r="I555" s="11">
        <f>IFERROR(G555/H555, 0)</f>
      </c>
      <c r="J555" s="10">
        <v>0</v>
      </c>
      <c r="K555" s="10">
        <v>0</v>
      </c>
      <c r="L555" s="10">
        <v>0</v>
      </c>
      <c r="M555" s="12">
        <f>IFERROR(L555/K555, 0)</f>
      </c>
      <c r="N555" s="13">
        <f>IFERROR(J555/K555, 0)</f>
      </c>
      <c r="O555" s="10">
        <v>0</v>
      </c>
      <c r="P555" s="10">
        <v>0</v>
      </c>
      <c r="Q555" s="10">
        <v>207666.91407407407</v>
      </c>
      <c r="R555" s="11">
        <f>IFERROR(P555/Q555, 0)</f>
      </c>
      <c r="S555" s="10">
        <v>11252</v>
      </c>
      <c r="T555" s="10">
        <v>2353889.564074074</v>
      </c>
      <c r="U555" s="11">
        <f>IFERROR(S555/T555, 0)</f>
      </c>
      <c r="V555" s="10">
        <f>IFERROR(S555/E555, 0)</f>
      </c>
      <c r="W555" s="10">
        <f>IFERROR(T555/F555, 0)</f>
      </c>
      <c r="X555" s="11">
        <f>IFERROR(V555/W555, 0)</f>
      </c>
    </row>
    <row r="556" spans="1:24" x14ac:dyDescent="0.25">
      <c r="A556" s="8" t="s">
        <v>554</v>
      </c>
      <c r="B556" s="8" t="s">
        <v>555</v>
      </c>
      <c r="C556" s="8" t="s">
        <v>64</v>
      </c>
      <c r="D556" s="8" t="s">
        <v>604</v>
      </c>
      <c r="E556" s="9">
        <v>0.25</v>
      </c>
      <c r="F556" s="9">
        <v>0.25</v>
      </c>
      <c r="G556" s="10">
        <v>0</v>
      </c>
      <c r="H556" s="10">
        <v>7.340740740740741</v>
      </c>
      <c r="I556" s="11">
        <f>IFERROR(G556/H556, 0)</f>
      </c>
      <c r="J556" s="10">
        <v>0</v>
      </c>
      <c r="K556" s="10">
        <v>0</v>
      </c>
      <c r="L556" s="10">
        <v>0</v>
      </c>
      <c r="M556" s="12">
        <f>IFERROR(L556/K556, 0)</f>
      </c>
      <c r="N556" s="13">
        <f>IFERROR(J556/K556, 0)</f>
      </c>
      <c r="O556" s="10">
        <v>0</v>
      </c>
      <c r="P556" s="10">
        <v>0</v>
      </c>
      <c r="Q556" s="10">
        <v>80.74814814814815</v>
      </c>
      <c r="R556" s="11">
        <f>IFERROR(P556/Q556, 0)</f>
      </c>
      <c r="S556" s="10">
        <v>0</v>
      </c>
      <c r="T556" s="10">
        <v>915.2581481481482</v>
      </c>
      <c r="U556" s="11">
        <f>IFERROR(S556/T556, 0)</f>
      </c>
      <c r="V556" s="10">
        <f>IFERROR(S556/E556, 0)</f>
      </c>
      <c r="W556" s="10">
        <f>IFERROR(T556/F556, 0)</f>
      </c>
      <c r="X556" s="11">
        <f>IFERROR(V556/W556, 0)</f>
      </c>
    </row>
    <row r="557" spans="1:24" x14ac:dyDescent="0.25">
      <c r="A557" s="8" t="s">
        <v>554</v>
      </c>
      <c r="B557" s="8" t="s">
        <v>555</v>
      </c>
      <c r="C557" s="8" t="s">
        <v>64</v>
      </c>
      <c r="D557" s="8" t="s">
        <v>605</v>
      </c>
      <c r="E557" s="9">
        <v>791.66</v>
      </c>
      <c r="F557" s="9">
        <v>617.93</v>
      </c>
      <c r="G557" s="10">
        <v>0</v>
      </c>
      <c r="H557" s="10">
        <v>18480.635925925926</v>
      </c>
      <c r="I557" s="11">
        <f>IFERROR(G557/H557, 0)</f>
      </c>
      <c r="J557" s="10">
        <v>21</v>
      </c>
      <c r="K557" s="10">
        <v>8</v>
      </c>
      <c r="L557" s="10">
        <v>13608</v>
      </c>
      <c r="M557" s="12">
        <f>IFERROR(L557/K557, 0)</f>
      </c>
      <c r="N557" s="13">
        <f>IFERROR(J557/K557, 0)</f>
      </c>
      <c r="O557" s="10">
        <v>0</v>
      </c>
      <c r="P557" s="10">
        <v>171658</v>
      </c>
      <c r="Q557" s="10">
        <v>203286.9951851852</v>
      </c>
      <c r="R557" s="11">
        <f>IFERROR(P557/Q557, 0)</f>
      </c>
      <c r="S557" s="10">
        <v>3392109</v>
      </c>
      <c r="T557" s="10">
        <v>2304243.485185185</v>
      </c>
      <c r="U557" s="11">
        <f>IFERROR(S557/T557, 0)</f>
      </c>
      <c r="V557" s="10">
        <f>IFERROR(S557/E557, 0)</f>
      </c>
      <c r="W557" s="10">
        <f>IFERROR(T557/F557, 0)</f>
      </c>
      <c r="X557" s="11">
        <f>IFERROR(V557/W557, 0)</f>
      </c>
    </row>
    <row r="558" spans="1:24" x14ac:dyDescent="0.25">
      <c r="A558" s="8" t="s">
        <v>554</v>
      </c>
      <c r="B558" s="8" t="s">
        <v>555</v>
      </c>
      <c r="C558" s="8" t="s">
        <v>64</v>
      </c>
      <c r="D558" s="8" t="s">
        <v>606</v>
      </c>
      <c r="E558" s="9">
        <v>0</v>
      </c>
      <c r="F558" s="9">
        <v>0</v>
      </c>
      <c r="G558" s="10">
        <v>0</v>
      </c>
      <c r="H558" s="10">
        <v>0</v>
      </c>
      <c r="I558" s="11">
        <f>IFERROR(G558/H558, 0)</f>
      </c>
      <c r="J558" s="10">
        <v>0</v>
      </c>
      <c r="K558" s="10">
        <v>0</v>
      </c>
      <c r="L558" s="10">
        <v>0</v>
      </c>
      <c r="M558" s="12">
        <f>IFERROR(L558/K558, 0)</f>
      </c>
      <c r="N558" s="13">
        <f>IFERROR(J558/K558, 0)</f>
      </c>
      <c r="O558" s="10">
        <v>0</v>
      </c>
      <c r="P558" s="10">
        <v>0</v>
      </c>
      <c r="Q558" s="10">
        <v>0</v>
      </c>
      <c r="R558" s="11">
        <f>IFERROR(P558/Q558, 0)</f>
      </c>
      <c r="S558" s="10">
        <v>0</v>
      </c>
      <c r="T558" s="10">
        <v>0</v>
      </c>
      <c r="U558" s="11">
        <f>IFERROR(S558/T558, 0)</f>
      </c>
      <c r="V558" s="10">
        <f>IFERROR(S558/E558, 0)</f>
      </c>
      <c r="W558" s="10">
        <f>IFERROR(T558/F558, 0)</f>
      </c>
      <c r="X558" s="11">
        <f>IFERROR(V558/W558, 0)</f>
      </c>
    </row>
    <row r="559" spans="1:24" x14ac:dyDescent="0.25">
      <c r="A559" s="8" t="s">
        <v>554</v>
      </c>
      <c r="B559" s="8" t="s">
        <v>555</v>
      </c>
      <c r="C559" s="8" t="s">
        <v>64</v>
      </c>
      <c r="D559" s="8" t="s">
        <v>607</v>
      </c>
      <c r="E559" s="9">
        <v>592.77</v>
      </c>
      <c r="F559" s="9">
        <v>592.77</v>
      </c>
      <c r="G559" s="10">
        <v>32542</v>
      </c>
      <c r="H559" s="10">
        <v>17728.33074074074</v>
      </c>
      <c r="I559" s="11">
        <f>IFERROR(G559/H559, 0)</f>
      </c>
      <c r="J559" s="10">
        <v>81.84</v>
      </c>
      <c r="K559" s="10">
        <v>17</v>
      </c>
      <c r="L559" s="10">
        <v>32542</v>
      </c>
      <c r="M559" s="12">
        <f>IFERROR(L559/K559, 0)</f>
      </c>
      <c r="N559" s="13">
        <f>IFERROR(J559/K559, 0)</f>
      </c>
      <c r="O559" s="10">
        <v>0</v>
      </c>
      <c r="P559" s="10">
        <v>284228</v>
      </c>
      <c r="Q559" s="10">
        <v>195011.63814814814</v>
      </c>
      <c r="R559" s="11">
        <f>IFERROR(P559/Q559, 0)</f>
      </c>
      <c r="S559" s="10">
        <v>1294957</v>
      </c>
      <c r="T559" s="10">
        <v>2210442.9181481483</v>
      </c>
      <c r="U559" s="11">
        <f>IFERROR(S559/T559, 0)</f>
      </c>
      <c r="V559" s="10">
        <f>IFERROR(S559/E559, 0)</f>
      </c>
      <c r="W559" s="10">
        <f>IFERROR(T559/F559, 0)</f>
      </c>
      <c r="X559" s="11">
        <f>IFERROR(V559/W559, 0)</f>
      </c>
    </row>
    <row r="560" spans="1:24" x14ac:dyDescent="0.25">
      <c r="A560" s="8" t="s">
        <v>554</v>
      </c>
      <c r="B560" s="8" t="s">
        <v>555</v>
      </c>
      <c r="C560" s="8" t="s">
        <v>64</v>
      </c>
      <c r="D560" s="8" t="s">
        <v>608</v>
      </c>
      <c r="E560" s="9">
        <v>48.63</v>
      </c>
      <c r="F560" s="9">
        <v>37.34</v>
      </c>
      <c r="G560" s="10">
        <v>2510</v>
      </c>
      <c r="H560" s="10">
        <v>1116.8907407407407</v>
      </c>
      <c r="I560" s="11">
        <f>IFERROR(G560/H560, 0)</f>
      </c>
      <c r="J560" s="10">
        <v>10.49</v>
      </c>
      <c r="K560" s="10">
        <v>3</v>
      </c>
      <c r="L560" s="10">
        <v>2510</v>
      </c>
      <c r="M560" s="12">
        <f>IFERROR(L560/K560, 0)</f>
      </c>
      <c r="N560" s="13">
        <f>IFERROR(J560/K560, 0)</f>
      </c>
      <c r="O560" s="10">
        <v>0</v>
      </c>
      <c r="P560" s="10">
        <v>24270</v>
      </c>
      <c r="Q560" s="10">
        <v>12285.798148148147</v>
      </c>
      <c r="R560" s="11">
        <f>IFERROR(P560/Q560, 0)</f>
      </c>
      <c r="S560" s="10">
        <v>180929</v>
      </c>
      <c r="T560" s="10">
        <v>139258.60814814814</v>
      </c>
      <c r="U560" s="11">
        <f>IFERROR(S560/T560, 0)</f>
      </c>
      <c r="V560" s="10">
        <f>IFERROR(S560/E560, 0)</f>
      </c>
      <c r="W560" s="10">
        <f>IFERROR(T560/F560, 0)</f>
      </c>
      <c r="X560" s="11">
        <f>IFERROR(V560/W560, 0)</f>
      </c>
    </row>
    <row r="561" spans="1:24" x14ac:dyDescent="0.25">
      <c r="A561" s="8" t="s">
        <v>554</v>
      </c>
      <c r="B561" s="8" t="s">
        <v>555</v>
      </c>
      <c r="C561" s="8" t="s">
        <v>64</v>
      </c>
      <c r="D561" s="8" t="s">
        <v>609</v>
      </c>
      <c r="E561" s="9">
        <v>0.21</v>
      </c>
      <c r="F561" s="9">
        <v>0.21</v>
      </c>
      <c r="G561" s="10">
        <v>0</v>
      </c>
      <c r="H561" s="10">
        <v>6.228518518518518</v>
      </c>
      <c r="I561" s="11">
        <f>IFERROR(G561/H561, 0)</f>
      </c>
      <c r="J561" s="10">
        <v>0</v>
      </c>
      <c r="K561" s="10">
        <v>0</v>
      </c>
      <c r="L561" s="10">
        <v>0</v>
      </c>
      <c r="M561" s="12">
        <f>IFERROR(L561/K561, 0)</f>
      </c>
      <c r="N561" s="13">
        <f>IFERROR(J561/K561, 0)</f>
      </c>
      <c r="O561" s="10">
        <v>0</v>
      </c>
      <c r="P561" s="10">
        <v>0</v>
      </c>
      <c r="Q561" s="10">
        <v>68.5137037037037</v>
      </c>
      <c r="R561" s="11">
        <f>IFERROR(P561/Q561, 0)</f>
      </c>
      <c r="S561" s="10">
        <v>0</v>
      </c>
      <c r="T561" s="10">
        <v>776.5837037037037</v>
      </c>
      <c r="U561" s="11">
        <f>IFERROR(S561/T561, 0)</f>
      </c>
      <c r="V561" s="10">
        <f>IFERROR(S561/E561, 0)</f>
      </c>
      <c r="W561" s="10">
        <f>IFERROR(T561/F561, 0)</f>
      </c>
      <c r="X561" s="11">
        <f>IFERROR(V561/W561, 0)</f>
      </c>
    </row>
    <row r="562" spans="1:24" x14ac:dyDescent="0.25">
      <c r="A562" s="8" t="s">
        <v>554</v>
      </c>
      <c r="B562" s="8" t="s">
        <v>555</v>
      </c>
      <c r="C562" s="8" t="s">
        <v>64</v>
      </c>
      <c r="D562" s="8" t="s">
        <v>610</v>
      </c>
      <c r="E562" s="9">
        <v>513.32</v>
      </c>
      <c r="F562" s="9">
        <v>381.79</v>
      </c>
      <c r="G562" s="10">
        <v>0</v>
      </c>
      <c r="H562" s="10">
        <v>11418.488148148148</v>
      </c>
      <c r="I562" s="11">
        <f>IFERROR(G562/H562, 0)</f>
      </c>
      <c r="J562" s="10">
        <v>0</v>
      </c>
      <c r="K562" s="10">
        <v>0</v>
      </c>
      <c r="L562" s="10">
        <v>0</v>
      </c>
      <c r="M562" s="12">
        <f>IFERROR(L562/K562, 0)</f>
      </c>
      <c r="N562" s="13">
        <f>IFERROR(J562/K562, 0)</f>
      </c>
      <c r="O562" s="10">
        <v>0</v>
      </c>
      <c r="P562" s="10">
        <v>0</v>
      </c>
      <c r="Q562" s="10">
        <v>125603.36962962963</v>
      </c>
      <c r="R562" s="11">
        <f>IFERROR(P562/Q562, 0)</f>
      </c>
      <c r="S562" s="10">
        <v>35178</v>
      </c>
      <c r="T562" s="10">
        <v>1423705.1896296297</v>
      </c>
      <c r="U562" s="11">
        <f>IFERROR(S562/T562, 0)</f>
      </c>
      <c r="V562" s="10">
        <f>IFERROR(S562/E562, 0)</f>
      </c>
      <c r="W562" s="10">
        <f>IFERROR(T562/F562, 0)</f>
      </c>
      <c r="X562" s="11">
        <f>IFERROR(V562/W562, 0)</f>
      </c>
    </row>
    <row r="563" spans="1:24" x14ac:dyDescent="0.25">
      <c r="A563" s="8" t="s">
        <v>554</v>
      </c>
      <c r="B563" s="8" t="s">
        <v>555</v>
      </c>
      <c r="C563" s="8" t="s">
        <v>64</v>
      </c>
      <c r="D563" s="8" t="s">
        <v>611</v>
      </c>
      <c r="E563" s="9">
        <v>175.2</v>
      </c>
      <c r="F563" s="9">
        <v>175.2</v>
      </c>
      <c r="G563" s="10">
        <v>0</v>
      </c>
      <c r="H563" s="10">
        <v>5239.665185185185</v>
      </c>
      <c r="I563" s="11">
        <f>IFERROR(G563/H563, 0)</f>
      </c>
      <c r="J563" s="10">
        <v>0</v>
      </c>
      <c r="K563" s="10">
        <v>0</v>
      </c>
      <c r="L563" s="10">
        <v>0</v>
      </c>
      <c r="M563" s="12">
        <f>IFERROR(L563/K563, 0)</f>
      </c>
      <c r="N563" s="13">
        <f>IFERROR(J563/K563, 0)</f>
      </c>
      <c r="O563" s="10">
        <v>0</v>
      </c>
      <c r="P563" s="10">
        <v>0</v>
      </c>
      <c r="Q563" s="10">
        <v>57636.317037037035</v>
      </c>
      <c r="R563" s="11">
        <f>IFERROR(P563/Q563, 0)</f>
      </c>
      <c r="S563" s="10">
        <v>0</v>
      </c>
      <c r="T563" s="10">
        <v>653303.5170370371</v>
      </c>
      <c r="U563" s="11">
        <f>IFERROR(S563/T563, 0)</f>
      </c>
      <c r="V563" s="10">
        <f>IFERROR(S563/E563, 0)</f>
      </c>
      <c r="W563" s="10">
        <f>IFERROR(T563/F563, 0)</f>
      </c>
      <c r="X563" s="11">
        <f>IFERROR(V563/W563, 0)</f>
      </c>
    </row>
    <row r="564" spans="1:24" x14ac:dyDescent="0.25">
      <c r="A564" s="8" t="s">
        <v>554</v>
      </c>
      <c r="B564" s="8" t="s">
        <v>555</v>
      </c>
      <c r="C564" s="8" t="s">
        <v>64</v>
      </c>
      <c r="D564" s="8" t="s">
        <v>612</v>
      </c>
      <c r="E564" s="9">
        <v>110.41</v>
      </c>
      <c r="F564" s="9">
        <v>92.71</v>
      </c>
      <c r="G564" s="10">
        <v>0</v>
      </c>
      <c r="H564" s="10">
        <v>2772.7625925925927</v>
      </c>
      <c r="I564" s="11">
        <f>IFERROR(G564/H564, 0)</f>
      </c>
      <c r="J564" s="10">
        <v>0</v>
      </c>
      <c r="K564" s="10">
        <v>0</v>
      </c>
      <c r="L564" s="10">
        <v>0</v>
      </c>
      <c r="M564" s="12">
        <f>IFERROR(L564/K564, 0)</f>
      </c>
      <c r="N564" s="13">
        <f>IFERROR(J564/K564, 0)</f>
      </c>
      <c r="O564" s="10">
        <v>0</v>
      </c>
      <c r="P564" s="10">
        <v>34672</v>
      </c>
      <c r="Q564" s="10">
        <v>30500.388518518517</v>
      </c>
      <c r="R564" s="11">
        <f>IFERROR(P564/Q564, 0)</f>
      </c>
      <c r="S564" s="10">
        <v>282937</v>
      </c>
      <c r="T564" s="10">
        <v>345719.7185185185</v>
      </c>
      <c r="U564" s="11">
        <f>IFERROR(S564/T564, 0)</f>
      </c>
      <c r="V564" s="10">
        <f>IFERROR(S564/E564, 0)</f>
      </c>
      <c r="W564" s="10">
        <f>IFERROR(T564/F564, 0)</f>
      </c>
      <c r="X564" s="11">
        <f>IFERROR(V564/W564, 0)</f>
      </c>
    </row>
    <row r="565" spans="1:24" x14ac:dyDescent="0.25">
      <c r="A565" s="8" t="s">
        <v>554</v>
      </c>
      <c r="B565" s="8" t="s">
        <v>555</v>
      </c>
      <c r="C565" s="8" t="s">
        <v>64</v>
      </c>
      <c r="D565" s="8" t="s">
        <v>613</v>
      </c>
      <c r="E565" s="9">
        <v>1.26</v>
      </c>
      <c r="F565" s="9">
        <v>1.26</v>
      </c>
      <c r="G565" s="10">
        <v>0</v>
      </c>
      <c r="H565" s="10">
        <v>37.592962962962964</v>
      </c>
      <c r="I565" s="11">
        <f>IFERROR(G565/H565, 0)</f>
      </c>
      <c r="J565" s="10">
        <v>0</v>
      </c>
      <c r="K565" s="10">
        <v>0</v>
      </c>
      <c r="L565" s="10">
        <v>0</v>
      </c>
      <c r="M565" s="12">
        <f>IFERROR(L565/K565, 0)</f>
      </c>
      <c r="N565" s="13">
        <f>IFERROR(J565/K565, 0)</f>
      </c>
      <c r="O565" s="10">
        <v>0</v>
      </c>
      <c r="P565" s="10">
        <v>0</v>
      </c>
      <c r="Q565" s="10">
        <v>413.5225925925926</v>
      </c>
      <c r="R565" s="11">
        <f>IFERROR(P565/Q565, 0)</f>
      </c>
      <c r="S565" s="10">
        <v>0</v>
      </c>
      <c r="T565" s="10">
        <v>4687.242592592593</v>
      </c>
      <c r="U565" s="11">
        <f>IFERROR(S565/T565, 0)</f>
      </c>
      <c r="V565" s="10">
        <f>IFERROR(S565/E565, 0)</f>
      </c>
      <c r="W565" s="10">
        <f>IFERROR(T565/F565, 0)</f>
      </c>
      <c r="X565" s="11">
        <f>IFERROR(V565/W565, 0)</f>
      </c>
    </row>
    <row r="566" spans="1:24" x14ac:dyDescent="0.25">
      <c r="A566" s="8" t="s">
        <v>554</v>
      </c>
      <c r="B566" s="8" t="s">
        <v>555</v>
      </c>
      <c r="C566" s="8" t="s">
        <v>64</v>
      </c>
      <c r="D566" s="8" t="s">
        <v>614</v>
      </c>
      <c r="E566" s="9">
        <v>350.69</v>
      </c>
      <c r="F566" s="9">
        <v>261.14</v>
      </c>
      <c r="G566" s="10">
        <v>7040</v>
      </c>
      <c r="H566" s="10">
        <v>7810.004074074074</v>
      </c>
      <c r="I566" s="11">
        <f>IFERROR(G566/H566, 0)</f>
      </c>
      <c r="J566" s="10">
        <v>49.98</v>
      </c>
      <c r="K566" s="10">
        <v>9</v>
      </c>
      <c r="L566" s="10">
        <v>7040</v>
      </c>
      <c r="M566" s="12">
        <f>IFERROR(L566/K566, 0)</f>
      </c>
      <c r="N566" s="13">
        <f>IFERROR(J566/K566, 0)</f>
      </c>
      <c r="O566" s="10">
        <v>0</v>
      </c>
      <c r="P566" s="10">
        <v>105620</v>
      </c>
      <c r="Q566" s="10">
        <v>85910.04481481481</v>
      </c>
      <c r="R566" s="11">
        <f>IFERROR(P566/Q566, 0)</f>
      </c>
      <c r="S566" s="10">
        <v>1028018</v>
      </c>
      <c r="T566" s="10">
        <v>973784.1748148148</v>
      </c>
      <c r="U566" s="11">
        <f>IFERROR(S566/T566, 0)</f>
      </c>
      <c r="V566" s="10">
        <f>IFERROR(S566/E566, 0)</f>
      </c>
      <c r="W566" s="10">
        <f>IFERROR(T566/F566, 0)</f>
      </c>
      <c r="X566" s="11">
        <f>IFERROR(V566/W566, 0)</f>
      </c>
    </row>
    <row r="567" spans="1:24" x14ac:dyDescent="0.25">
      <c r="A567" s="8" t="s">
        <v>554</v>
      </c>
      <c r="B567" s="8" t="s">
        <v>555</v>
      </c>
      <c r="C567" s="8" t="s">
        <v>64</v>
      </c>
      <c r="D567" s="8" t="s">
        <v>615</v>
      </c>
      <c r="E567" s="9">
        <v>598.91</v>
      </c>
      <c r="F567" s="9">
        <v>598.91</v>
      </c>
      <c r="G567" s="10">
        <v>0</v>
      </c>
      <c r="H567" s="10">
        <v>17911.847037037038</v>
      </c>
      <c r="I567" s="11">
        <f>IFERROR(G567/H567, 0)</f>
      </c>
      <c r="J567" s="10">
        <v>0</v>
      </c>
      <c r="K567" s="10">
        <v>0</v>
      </c>
      <c r="L567" s="10">
        <v>0</v>
      </c>
      <c r="M567" s="12">
        <f>IFERROR(L567/K567, 0)</f>
      </c>
      <c r="N567" s="13">
        <f>IFERROR(J567/K567, 0)</f>
      </c>
      <c r="O567" s="10">
        <v>0</v>
      </c>
      <c r="P567" s="10">
        <v>0</v>
      </c>
      <c r="Q567" s="10">
        <v>197030.31740740742</v>
      </c>
      <c r="R567" s="11">
        <f>IFERROR(P567/Q567, 0)</f>
      </c>
      <c r="S567" s="10">
        <v>0</v>
      </c>
      <c r="T567" s="10">
        <v>2233324.4874074073</v>
      </c>
      <c r="U567" s="11">
        <f>IFERROR(S567/T567, 0)</f>
      </c>
      <c r="V567" s="10">
        <f>IFERROR(S567/E567, 0)</f>
      </c>
      <c r="W567" s="10">
        <f>IFERROR(T567/F567, 0)</f>
      </c>
      <c r="X567" s="11">
        <f>IFERROR(V567/W567, 0)</f>
      </c>
    </row>
    <row r="568" spans="1:24" x14ac:dyDescent="0.25">
      <c r="A568" s="8" t="s">
        <v>554</v>
      </c>
      <c r="B568" s="8" t="s">
        <v>555</v>
      </c>
      <c r="C568" s="8" t="s">
        <v>64</v>
      </c>
      <c r="D568" s="8" t="s">
        <v>616</v>
      </c>
      <c r="E568" s="9">
        <v>189.68</v>
      </c>
      <c r="F568" s="9">
        <v>141.11</v>
      </c>
      <c r="G568" s="10">
        <v>8370</v>
      </c>
      <c r="H568" s="10">
        <v>4220.204814814815</v>
      </c>
      <c r="I568" s="11">
        <f>IFERROR(G568/H568, 0)</f>
      </c>
      <c r="J568" s="10">
        <v>10.53</v>
      </c>
      <c r="K568" s="10">
        <v>9</v>
      </c>
      <c r="L568" s="10">
        <v>8370</v>
      </c>
      <c r="M568" s="12">
        <f>IFERROR(L568/K568, 0)</f>
      </c>
      <c r="N568" s="13">
        <f>IFERROR(J568/K568, 0)</f>
      </c>
      <c r="O568" s="10">
        <v>0</v>
      </c>
      <c r="P568" s="10">
        <v>139700</v>
      </c>
      <c r="Q568" s="10">
        <v>46422.252962962964</v>
      </c>
      <c r="R568" s="11">
        <f>IFERROR(P568/Q568, 0)</f>
      </c>
      <c r="S568" s="10">
        <v>1807471</v>
      </c>
      <c r="T568" s="10">
        <v>526192.922962963</v>
      </c>
      <c r="U568" s="11">
        <f>IFERROR(S568/T568, 0)</f>
      </c>
      <c r="V568" s="10">
        <f>IFERROR(S568/E568, 0)</f>
      </c>
      <c r="W568" s="10">
        <f>IFERROR(T568/F568, 0)</f>
      </c>
      <c r="X568" s="11">
        <f>IFERROR(V568/W568, 0)</f>
      </c>
    </row>
    <row r="569" spans="1:24" x14ac:dyDescent="0.25">
      <c r="A569" s="8" t="s">
        <v>554</v>
      </c>
      <c r="B569" s="8" t="s">
        <v>555</v>
      </c>
      <c r="C569" s="8" t="s">
        <v>64</v>
      </c>
      <c r="D569" s="8" t="s">
        <v>617</v>
      </c>
      <c r="E569" s="9">
        <v>315.09</v>
      </c>
      <c r="F569" s="9">
        <v>315.09</v>
      </c>
      <c r="G569" s="10">
        <v>0</v>
      </c>
      <c r="H569" s="10">
        <v>9423.611851851852</v>
      </c>
      <c r="I569" s="11">
        <f>IFERROR(G569/H569, 0)</f>
      </c>
      <c r="J569" s="10">
        <v>0</v>
      </c>
      <c r="K569" s="10">
        <v>0</v>
      </c>
      <c r="L569" s="10">
        <v>0</v>
      </c>
      <c r="M569" s="12">
        <f>IFERROR(L569/K569, 0)</f>
      </c>
      <c r="N569" s="13">
        <f>IFERROR(J569/K569, 0)</f>
      </c>
      <c r="O569" s="10">
        <v>0</v>
      </c>
      <c r="P569" s="10">
        <v>0</v>
      </c>
      <c r="Q569" s="10">
        <v>103659.73037037037</v>
      </c>
      <c r="R569" s="11">
        <f>IFERROR(P569/Q569, 0)</f>
      </c>
      <c r="S569" s="10">
        <v>10274</v>
      </c>
      <c r="T569" s="10">
        <v>1174975.5803703703</v>
      </c>
      <c r="U569" s="11">
        <f>IFERROR(S569/T569, 0)</f>
      </c>
      <c r="V569" s="10">
        <f>IFERROR(S569/E569, 0)</f>
      </c>
      <c r="W569" s="10">
        <f>IFERROR(T569/F569, 0)</f>
      </c>
      <c r="X569" s="11">
        <f>IFERROR(V569/W569, 0)</f>
      </c>
    </row>
    <row r="570" spans="1:24" x14ac:dyDescent="0.25">
      <c r="A570" s="8" t="s">
        <v>554</v>
      </c>
      <c r="B570" s="8" t="s">
        <v>555</v>
      </c>
      <c r="C570" s="8" t="s">
        <v>64</v>
      </c>
      <c r="D570" s="8" t="s">
        <v>618</v>
      </c>
      <c r="E570" s="9">
        <v>0</v>
      </c>
      <c r="F570" s="9">
        <v>0</v>
      </c>
      <c r="G570" s="10">
        <v>0</v>
      </c>
      <c r="H570" s="10">
        <v>0</v>
      </c>
      <c r="I570" s="11">
        <f>IFERROR(G570/H570, 0)</f>
      </c>
      <c r="J570" s="10">
        <v>0</v>
      </c>
      <c r="K570" s="10">
        <v>0</v>
      </c>
      <c r="L570" s="10">
        <v>0</v>
      </c>
      <c r="M570" s="12">
        <f>IFERROR(L570/K570, 0)</f>
      </c>
      <c r="N570" s="13">
        <f>IFERROR(J570/K570, 0)</f>
      </c>
      <c r="O570" s="10">
        <v>0</v>
      </c>
      <c r="P570" s="10">
        <v>0</v>
      </c>
      <c r="Q570" s="10">
        <v>0</v>
      </c>
      <c r="R570" s="11">
        <f>IFERROR(P570/Q570, 0)</f>
      </c>
      <c r="S570" s="10">
        <v>0</v>
      </c>
      <c r="T570" s="10">
        <v>0</v>
      </c>
      <c r="U570" s="11">
        <f>IFERROR(S570/T570, 0)</f>
      </c>
      <c r="V570" s="10">
        <f>IFERROR(S570/E570, 0)</f>
      </c>
      <c r="W570" s="10">
        <f>IFERROR(T570/F570, 0)</f>
      </c>
      <c r="X570" s="11">
        <f>IFERROR(V570/W570, 0)</f>
      </c>
    </row>
    <row r="571" spans="1:24" x14ac:dyDescent="0.25">
      <c r="A571" s="8" t="s">
        <v>554</v>
      </c>
      <c r="B571" s="8" t="s">
        <v>555</v>
      </c>
      <c r="C571" s="8" t="s">
        <v>64</v>
      </c>
      <c r="D571" s="8" t="s">
        <v>619</v>
      </c>
      <c r="E571" s="9">
        <v>104</v>
      </c>
      <c r="F571" s="9">
        <v>79.49</v>
      </c>
      <c r="G571" s="10">
        <v>0</v>
      </c>
      <c r="H571" s="10">
        <v>2377.2574074074073</v>
      </c>
      <c r="I571" s="11">
        <f>IFERROR(G571/H571, 0)</f>
      </c>
      <c r="J571" s="10">
        <v>0</v>
      </c>
      <c r="K571" s="10">
        <v>0</v>
      </c>
      <c r="L571" s="10">
        <v>0</v>
      </c>
      <c r="M571" s="12">
        <f>IFERROR(L571/K571, 0)</f>
      </c>
      <c r="N571" s="13">
        <f>IFERROR(J571/K571, 0)</f>
      </c>
      <c r="O571" s="10">
        <v>0</v>
      </c>
      <c r="P571" s="10">
        <v>0</v>
      </c>
      <c r="Q571" s="10">
        <v>26149.83148148148</v>
      </c>
      <c r="R571" s="11">
        <f>IFERROR(P571/Q571, 0)</f>
      </c>
      <c r="S571" s="10">
        <v>0</v>
      </c>
      <c r="T571" s="10">
        <v>296406.4714814815</v>
      </c>
      <c r="U571" s="11">
        <f>IFERROR(S571/T571, 0)</f>
      </c>
      <c r="V571" s="10">
        <f>IFERROR(S571/E571, 0)</f>
      </c>
      <c r="W571" s="10">
        <f>IFERROR(T571/F571, 0)</f>
      </c>
      <c r="X571" s="11">
        <f>IFERROR(V571/W571, 0)</f>
      </c>
    </row>
    <row r="572" spans="1:24" x14ac:dyDescent="0.25">
      <c r="A572" s="8" t="s">
        <v>554</v>
      </c>
      <c r="B572" s="8" t="s">
        <v>555</v>
      </c>
      <c r="C572" s="8" t="s">
        <v>64</v>
      </c>
      <c r="D572" s="8" t="s">
        <v>620</v>
      </c>
      <c r="E572" s="9">
        <v>3.39</v>
      </c>
      <c r="F572" s="9">
        <v>3.39</v>
      </c>
      <c r="G572" s="10">
        <v>0</v>
      </c>
      <c r="H572" s="10">
        <v>101.43444444444444</v>
      </c>
      <c r="I572" s="11">
        <f>IFERROR(G572/H572, 0)</f>
      </c>
      <c r="J572" s="10">
        <v>0</v>
      </c>
      <c r="K572" s="10">
        <v>0</v>
      </c>
      <c r="L572" s="10">
        <v>0</v>
      </c>
      <c r="M572" s="12">
        <f>IFERROR(L572/K572, 0)</f>
      </c>
      <c r="N572" s="13">
        <f>IFERROR(J572/K572, 0)</f>
      </c>
      <c r="O572" s="10">
        <v>0</v>
      </c>
      <c r="P572" s="10">
        <v>0</v>
      </c>
      <c r="Q572" s="10">
        <v>1115.7788888888888</v>
      </c>
      <c r="R572" s="11">
        <f>IFERROR(P572/Q572, 0)</f>
      </c>
      <c r="S572" s="10">
        <v>0</v>
      </c>
      <c r="T572" s="10">
        <v>12647.26888888889</v>
      </c>
      <c r="U572" s="11">
        <f>IFERROR(S572/T572, 0)</f>
      </c>
      <c r="V572" s="10">
        <f>IFERROR(S572/E572, 0)</f>
      </c>
      <c r="W572" s="10">
        <f>IFERROR(T572/F572, 0)</f>
      </c>
      <c r="X572" s="11">
        <f>IFERROR(V572/W572, 0)</f>
      </c>
    </row>
    <row r="573" spans="1:24" x14ac:dyDescent="0.25">
      <c r="A573" s="8" t="s">
        <v>554</v>
      </c>
      <c r="B573" s="8" t="s">
        <v>555</v>
      </c>
      <c r="C573" s="8" t="s">
        <v>64</v>
      </c>
      <c r="D573" s="8" t="s">
        <v>621</v>
      </c>
      <c r="E573" s="9">
        <v>90.05</v>
      </c>
      <c r="F573" s="9">
        <v>90.05</v>
      </c>
      <c r="G573" s="10">
        <v>0</v>
      </c>
      <c r="H573" s="10">
        <v>2693.1277777777777</v>
      </c>
      <c r="I573" s="11">
        <f>IFERROR(G573/H573, 0)</f>
      </c>
      <c r="J573" s="10">
        <v>2</v>
      </c>
      <c r="K573" s="10">
        <v>2</v>
      </c>
      <c r="L573" s="10">
        <v>812</v>
      </c>
      <c r="M573" s="12">
        <f>IFERROR(L573/K573, 0)</f>
      </c>
      <c r="N573" s="13">
        <f>IFERROR(J573/K573, 0)</f>
      </c>
      <c r="O573" s="10">
        <v>0</v>
      </c>
      <c r="P573" s="10">
        <v>15091</v>
      </c>
      <c r="Q573" s="10">
        <v>29624.405555555557</v>
      </c>
      <c r="R573" s="11">
        <f>IFERROR(P573/Q573, 0)</f>
      </c>
      <c r="S573" s="10">
        <v>15091</v>
      </c>
      <c r="T573" s="10">
        <v>335790.5155555556</v>
      </c>
      <c r="U573" s="11">
        <f>IFERROR(S573/T573, 0)</f>
      </c>
      <c r="V573" s="10">
        <f>IFERROR(S573/E573, 0)</f>
      </c>
      <c r="W573" s="10">
        <f>IFERROR(T573/F573, 0)</f>
      </c>
      <c r="X573" s="11">
        <f>IFERROR(V573/W573, 0)</f>
      </c>
    </row>
    <row r="574" spans="1:24" x14ac:dyDescent="0.25">
      <c r="A574" s="8" t="s">
        <v>554</v>
      </c>
      <c r="B574" s="8" t="s">
        <v>555</v>
      </c>
      <c r="C574" s="8" t="s">
        <v>64</v>
      </c>
      <c r="D574" s="8" t="s">
        <v>622</v>
      </c>
      <c r="E574" s="9">
        <v>0.02</v>
      </c>
      <c r="F574" s="9">
        <v>0.02</v>
      </c>
      <c r="G574" s="10">
        <v>0</v>
      </c>
      <c r="H574" s="10">
        <v>0.6674074074074074</v>
      </c>
      <c r="I574" s="11">
        <f>IFERROR(G574/H574, 0)</f>
      </c>
      <c r="J574" s="10">
        <v>0</v>
      </c>
      <c r="K574" s="10">
        <v>0</v>
      </c>
      <c r="L574" s="10">
        <v>0</v>
      </c>
      <c r="M574" s="12">
        <f>IFERROR(L574/K574, 0)</f>
      </c>
      <c r="N574" s="13">
        <f>IFERROR(J574/K574, 0)</f>
      </c>
      <c r="O574" s="10">
        <v>0</v>
      </c>
      <c r="P574" s="10">
        <v>0</v>
      </c>
      <c r="Q574" s="10">
        <v>7.341481481481481</v>
      </c>
      <c r="R574" s="11">
        <f>IFERROR(P574/Q574, 0)</f>
      </c>
      <c r="S574" s="10">
        <v>0</v>
      </c>
      <c r="T574" s="10">
        <v>83.20148148148148</v>
      </c>
      <c r="U574" s="11">
        <f>IFERROR(S574/T574, 0)</f>
      </c>
      <c r="V574" s="10">
        <f>IFERROR(S574/E574, 0)</f>
      </c>
      <c r="W574" s="10">
        <f>IFERROR(T574/F574, 0)</f>
      </c>
      <c r="X574" s="11">
        <f>IFERROR(V574/W574, 0)</f>
      </c>
    </row>
    <row r="575" spans="1:24" x14ac:dyDescent="0.25">
      <c r="A575" s="8" t="s">
        <v>554</v>
      </c>
      <c r="B575" s="8" t="s">
        <v>555</v>
      </c>
      <c r="C575" s="8" t="s">
        <v>64</v>
      </c>
      <c r="D575" s="8" t="s">
        <v>623</v>
      </c>
      <c r="E575" s="9">
        <v>149.5</v>
      </c>
      <c r="F575" s="9">
        <v>149.5</v>
      </c>
      <c r="G575" s="10">
        <v>0</v>
      </c>
      <c r="H575" s="10">
        <v>4471.121481481481</v>
      </c>
      <c r="I575" s="11">
        <f>IFERROR(G575/H575, 0)</f>
      </c>
      <c r="J575" s="10">
        <v>0</v>
      </c>
      <c r="K575" s="10">
        <v>0</v>
      </c>
      <c r="L575" s="10">
        <v>0</v>
      </c>
      <c r="M575" s="12">
        <f>IFERROR(L575/K575, 0)</f>
      </c>
      <c r="N575" s="13">
        <f>IFERROR(J575/K575, 0)</f>
      </c>
      <c r="O575" s="10">
        <v>0</v>
      </c>
      <c r="P575" s="10">
        <v>0</v>
      </c>
      <c r="Q575" s="10">
        <v>49182.33629629629</v>
      </c>
      <c r="R575" s="11">
        <f>IFERROR(P575/Q575, 0)</f>
      </c>
      <c r="S575" s="10">
        <v>3210</v>
      </c>
      <c r="T575" s="10">
        <v>557478.2762962963</v>
      </c>
      <c r="U575" s="11">
        <f>IFERROR(S575/T575, 0)</f>
      </c>
      <c r="V575" s="10">
        <f>IFERROR(S575/E575, 0)</f>
      </c>
      <c r="W575" s="10">
        <f>IFERROR(T575/F575, 0)</f>
      </c>
      <c r="X575" s="11">
        <f>IFERROR(V575/W575, 0)</f>
      </c>
    </row>
    <row r="576" spans="1:24" x14ac:dyDescent="0.25">
      <c r="A576" s="8" t="s">
        <v>554</v>
      </c>
      <c r="B576" s="8" t="s">
        <v>555</v>
      </c>
      <c r="C576" s="8" t="s">
        <v>64</v>
      </c>
      <c r="D576" s="8" t="s">
        <v>624</v>
      </c>
      <c r="E576" s="9">
        <v>0</v>
      </c>
      <c r="F576" s="9">
        <v>0</v>
      </c>
      <c r="G576" s="10">
        <v>0</v>
      </c>
      <c r="H576" s="10">
        <v>0</v>
      </c>
      <c r="I576" s="11">
        <f>IFERROR(G576/H576, 0)</f>
      </c>
      <c r="J576" s="10">
        <v>0</v>
      </c>
      <c r="K576" s="10">
        <v>0</v>
      </c>
      <c r="L576" s="10">
        <v>0</v>
      </c>
      <c r="M576" s="12">
        <f>IFERROR(L576/K576, 0)</f>
      </c>
      <c r="N576" s="13">
        <f>IFERROR(J576/K576, 0)</f>
      </c>
      <c r="O576" s="10">
        <v>0</v>
      </c>
      <c r="P576" s="10">
        <v>0</v>
      </c>
      <c r="Q576" s="10">
        <v>0</v>
      </c>
      <c r="R576" s="11">
        <f>IFERROR(P576/Q576, 0)</f>
      </c>
      <c r="S576" s="10">
        <v>0</v>
      </c>
      <c r="T576" s="10">
        <v>0</v>
      </c>
      <c r="U576" s="11">
        <f>IFERROR(S576/T576, 0)</f>
      </c>
      <c r="V576" s="10">
        <f>IFERROR(S576/E576, 0)</f>
      </c>
      <c r="W576" s="10">
        <f>IFERROR(T576/F576, 0)</f>
      </c>
      <c r="X576" s="11">
        <f>IFERROR(V576/W576, 0)</f>
      </c>
    </row>
    <row r="577" spans="1:24" x14ac:dyDescent="0.25">
      <c r="A577" s="8" t="s">
        <v>554</v>
      </c>
      <c r="B577" s="8" t="s">
        <v>555</v>
      </c>
      <c r="C577" s="8" t="s">
        <v>64</v>
      </c>
      <c r="D577" s="8" t="s">
        <v>625</v>
      </c>
      <c r="E577" s="9">
        <v>214.89</v>
      </c>
      <c r="F577" s="9">
        <v>159.83</v>
      </c>
      <c r="G577" s="10">
        <v>0</v>
      </c>
      <c r="H577" s="10">
        <v>4780.095925925926</v>
      </c>
      <c r="I577" s="11">
        <f>IFERROR(G577/H577, 0)</f>
      </c>
      <c r="J577" s="10">
        <v>0</v>
      </c>
      <c r="K577" s="10">
        <v>0</v>
      </c>
      <c r="L577" s="10">
        <v>0</v>
      </c>
      <c r="M577" s="12">
        <f>IFERROR(L577/K577, 0)</f>
      </c>
      <c r="N577" s="13">
        <f>IFERROR(J577/K577, 0)</f>
      </c>
      <c r="O577" s="10">
        <v>0</v>
      </c>
      <c r="P577" s="10">
        <v>0</v>
      </c>
      <c r="Q577" s="10">
        <v>52581.055185185185</v>
      </c>
      <c r="R577" s="11">
        <f>IFERROR(P577/Q577, 0)</f>
      </c>
      <c r="S577" s="10">
        <v>0</v>
      </c>
      <c r="T577" s="10">
        <v>596002.5051851852</v>
      </c>
      <c r="U577" s="11">
        <f>IFERROR(S577/T577, 0)</f>
      </c>
      <c r="V577" s="10">
        <f>IFERROR(S577/E577, 0)</f>
      </c>
      <c r="W577" s="10">
        <f>IFERROR(T577/F577, 0)</f>
      </c>
      <c r="X577" s="11">
        <f>IFERROR(V577/W577, 0)</f>
      </c>
    </row>
    <row r="578" spans="1:24" x14ac:dyDescent="0.25">
      <c r="A578" s="8" t="s">
        <v>554</v>
      </c>
      <c r="B578" s="8" t="s">
        <v>555</v>
      </c>
      <c r="C578" s="8" t="s">
        <v>64</v>
      </c>
      <c r="D578" s="8" t="s">
        <v>626</v>
      </c>
      <c r="E578" s="9">
        <v>62</v>
      </c>
      <c r="F578" s="9">
        <v>49.55</v>
      </c>
      <c r="G578" s="10">
        <v>0</v>
      </c>
      <c r="H578" s="10">
        <v>1481.921111111111</v>
      </c>
      <c r="I578" s="11">
        <f>IFERROR(G578/H578, 0)</f>
      </c>
      <c r="J578" s="10">
        <v>0</v>
      </c>
      <c r="K578" s="10">
        <v>0</v>
      </c>
      <c r="L578" s="10">
        <v>0</v>
      </c>
      <c r="M578" s="12">
        <f>IFERROR(L578/K578, 0)</f>
      </c>
      <c r="N578" s="13">
        <f>IFERROR(J578/K578, 0)</f>
      </c>
      <c r="O578" s="10">
        <v>0</v>
      </c>
      <c r="P578" s="10">
        <v>12746</v>
      </c>
      <c r="Q578" s="10">
        <v>16301.132222222222</v>
      </c>
      <c r="R578" s="11">
        <f>IFERROR(P578/Q578, 0)</f>
      </c>
      <c r="S578" s="10">
        <v>253748</v>
      </c>
      <c r="T578" s="10">
        <v>184772.1522222222</v>
      </c>
      <c r="U578" s="11">
        <f>IFERROR(S578/T578, 0)</f>
      </c>
      <c r="V578" s="10">
        <f>IFERROR(S578/E578, 0)</f>
      </c>
      <c r="W578" s="10">
        <f>IFERROR(T578/F578, 0)</f>
      </c>
      <c r="X578" s="11">
        <f>IFERROR(V578/W578, 0)</f>
      </c>
    </row>
    <row r="579" spans="1:24" x14ac:dyDescent="0.25">
      <c r="A579" s="8" t="s">
        <v>554</v>
      </c>
      <c r="B579" s="8" t="s">
        <v>555</v>
      </c>
      <c r="C579" s="8" t="s">
        <v>64</v>
      </c>
      <c r="D579" s="8" t="s">
        <v>627</v>
      </c>
      <c r="E579" s="9">
        <v>462.73</v>
      </c>
      <c r="F579" s="9">
        <v>362.48</v>
      </c>
      <c r="G579" s="10">
        <v>3808</v>
      </c>
      <c r="H579" s="10">
        <v>10840.801481481481</v>
      </c>
      <c r="I579" s="11">
        <f>IFERROR(G579/H579, 0)</f>
      </c>
      <c r="J579" s="10">
        <v>20.87</v>
      </c>
      <c r="K579" s="10">
        <v>4</v>
      </c>
      <c r="L579" s="10">
        <v>3808</v>
      </c>
      <c r="M579" s="12">
        <f>IFERROR(L579/K579, 0)</f>
      </c>
      <c r="N579" s="13">
        <f>IFERROR(J579/K579, 0)</f>
      </c>
      <c r="O579" s="10">
        <v>0</v>
      </c>
      <c r="P579" s="10">
        <v>26148</v>
      </c>
      <c r="Q579" s="10">
        <v>119248.8162962963</v>
      </c>
      <c r="R579" s="11">
        <f>IFERROR(P579/Q579, 0)</f>
      </c>
      <c r="S579" s="10">
        <v>385504</v>
      </c>
      <c r="T579" s="10">
        <v>1351676.7662962964</v>
      </c>
      <c r="U579" s="11">
        <f>IFERROR(S579/T579, 0)</f>
      </c>
      <c r="V579" s="10">
        <f>IFERROR(S579/E579, 0)</f>
      </c>
      <c r="W579" s="10">
        <f>IFERROR(T579/F579, 0)</f>
      </c>
      <c r="X579" s="11">
        <f>IFERROR(V579/W579, 0)</f>
      </c>
    </row>
    <row r="580" spans="1:24" x14ac:dyDescent="0.25">
      <c r="A580" s="8" t="s">
        <v>554</v>
      </c>
      <c r="B580" s="8" t="s">
        <v>555</v>
      </c>
      <c r="C580" s="8" t="s">
        <v>64</v>
      </c>
      <c r="D580" s="8" t="s">
        <v>628</v>
      </c>
      <c r="E580" s="9">
        <v>0.04</v>
      </c>
      <c r="F580" s="9">
        <v>0.04</v>
      </c>
      <c r="G580" s="10">
        <v>0</v>
      </c>
      <c r="H580" s="10">
        <v>1.334814814814815</v>
      </c>
      <c r="I580" s="11">
        <f>IFERROR(G580/H580, 0)</f>
      </c>
      <c r="J580" s="10">
        <v>0</v>
      </c>
      <c r="K580" s="10">
        <v>0</v>
      </c>
      <c r="L580" s="10">
        <v>0</v>
      </c>
      <c r="M580" s="12">
        <f>IFERROR(L580/K580, 0)</f>
      </c>
      <c r="N580" s="13">
        <f>IFERROR(J580/K580, 0)</f>
      </c>
      <c r="O580" s="10">
        <v>0</v>
      </c>
      <c r="P580" s="10">
        <v>0</v>
      </c>
      <c r="Q580" s="10">
        <v>14.682962962962963</v>
      </c>
      <c r="R580" s="11">
        <f>IFERROR(P580/Q580, 0)</f>
      </c>
      <c r="S580" s="10">
        <v>0</v>
      </c>
      <c r="T580" s="10">
        <v>166.41296296296295</v>
      </c>
      <c r="U580" s="11">
        <f>IFERROR(S580/T580, 0)</f>
      </c>
      <c r="V580" s="10">
        <f>IFERROR(S580/E580, 0)</f>
      </c>
      <c r="W580" s="10">
        <f>IFERROR(T580/F580, 0)</f>
      </c>
      <c r="X580" s="11">
        <f>IFERROR(V580/W580, 0)</f>
      </c>
    </row>
    <row r="581" spans="1:24" x14ac:dyDescent="0.25">
      <c r="A581" s="8" t="s">
        <v>554</v>
      </c>
      <c r="B581" s="8" t="s">
        <v>555</v>
      </c>
      <c r="C581" s="8" t="s">
        <v>64</v>
      </c>
      <c r="D581" s="8" t="s">
        <v>629</v>
      </c>
      <c r="E581" s="9">
        <v>0.02</v>
      </c>
      <c r="F581" s="9">
        <v>0.02</v>
      </c>
      <c r="G581" s="10">
        <v>0</v>
      </c>
      <c r="H581" s="10">
        <v>0.6674074074074074</v>
      </c>
      <c r="I581" s="11">
        <f>IFERROR(G581/H581, 0)</f>
      </c>
      <c r="J581" s="10">
        <v>0</v>
      </c>
      <c r="K581" s="10">
        <v>0</v>
      </c>
      <c r="L581" s="10">
        <v>0</v>
      </c>
      <c r="M581" s="12">
        <f>IFERROR(L581/K581, 0)</f>
      </c>
      <c r="N581" s="13">
        <f>IFERROR(J581/K581, 0)</f>
      </c>
      <c r="O581" s="10">
        <v>0</v>
      </c>
      <c r="P581" s="10">
        <v>0</v>
      </c>
      <c r="Q581" s="10">
        <v>7.341481481481481</v>
      </c>
      <c r="R581" s="11">
        <f>IFERROR(P581/Q581, 0)</f>
      </c>
      <c r="S581" s="10">
        <v>0</v>
      </c>
      <c r="T581" s="10">
        <v>83.20148148148148</v>
      </c>
      <c r="U581" s="11">
        <f>IFERROR(S581/T581, 0)</f>
      </c>
      <c r="V581" s="10">
        <f>IFERROR(S581/E581, 0)</f>
      </c>
      <c r="W581" s="10">
        <f>IFERROR(T581/F581, 0)</f>
      </c>
      <c r="X581" s="11">
        <f>IFERROR(V581/W581, 0)</f>
      </c>
    </row>
    <row r="582" spans="1:24" x14ac:dyDescent="0.25">
      <c r="A582" s="8" t="s">
        <v>554</v>
      </c>
      <c r="B582" s="8" t="s">
        <v>555</v>
      </c>
      <c r="C582" s="8" t="s">
        <v>64</v>
      </c>
      <c r="D582" s="8" t="s">
        <v>630</v>
      </c>
      <c r="E582" s="9">
        <v>231.76</v>
      </c>
      <c r="F582" s="9">
        <v>231.76</v>
      </c>
      <c r="G582" s="10">
        <v>0</v>
      </c>
      <c r="H582" s="10">
        <v>6931.350740740741</v>
      </c>
      <c r="I582" s="11">
        <f>IFERROR(G582/H582, 0)</f>
      </c>
      <c r="J582" s="10">
        <v>0</v>
      </c>
      <c r="K582" s="10">
        <v>0</v>
      </c>
      <c r="L582" s="10">
        <v>0</v>
      </c>
      <c r="M582" s="12">
        <f>IFERROR(L582/K582, 0)</f>
      </c>
      <c r="N582" s="13">
        <f>IFERROR(J582/K582, 0)</f>
      </c>
      <c r="O582" s="10">
        <v>0</v>
      </c>
      <c r="P582" s="10">
        <v>0</v>
      </c>
      <c r="Q582" s="10">
        <v>76244.85814814815</v>
      </c>
      <c r="R582" s="11">
        <f>IFERROR(P582/Q582, 0)</f>
      </c>
      <c r="S582" s="10">
        <v>0</v>
      </c>
      <c r="T582" s="10">
        <v>864229.9881481482</v>
      </c>
      <c r="U582" s="11">
        <f>IFERROR(S582/T582, 0)</f>
      </c>
      <c r="V582" s="10">
        <f>IFERROR(S582/E582, 0)</f>
      </c>
      <c r="W582" s="10">
        <f>IFERROR(T582/F582, 0)</f>
      </c>
      <c r="X582" s="11">
        <f>IFERROR(V582/W582, 0)</f>
      </c>
    </row>
    <row r="583" spans="1:24" x14ac:dyDescent="0.25">
      <c r="A583" s="8" t="s">
        <v>554</v>
      </c>
      <c r="B583" s="8" t="s">
        <v>555</v>
      </c>
      <c r="C583" s="8" t="s">
        <v>64</v>
      </c>
      <c r="D583" s="8" t="s">
        <v>631</v>
      </c>
      <c r="E583" s="9">
        <v>7.64</v>
      </c>
      <c r="F583" s="9">
        <v>7.64</v>
      </c>
      <c r="G583" s="10">
        <v>0</v>
      </c>
      <c r="H583" s="10">
        <v>228.45</v>
      </c>
      <c r="I583" s="11">
        <f>IFERROR(G583/H583, 0)</f>
      </c>
      <c r="J583" s="10">
        <v>0</v>
      </c>
      <c r="K583" s="10">
        <v>0</v>
      </c>
      <c r="L583" s="10">
        <v>0</v>
      </c>
      <c r="M583" s="12">
        <f>IFERROR(L583/K583, 0)</f>
      </c>
      <c r="N583" s="13">
        <f>IFERROR(J583/K583, 0)</f>
      </c>
      <c r="O583" s="10">
        <v>0</v>
      </c>
      <c r="P583" s="10">
        <v>0</v>
      </c>
      <c r="Q583" s="10">
        <v>2512.95</v>
      </c>
      <c r="R583" s="11">
        <f>IFERROR(P583/Q583, 0)</f>
      </c>
      <c r="S583" s="10">
        <v>0</v>
      </c>
      <c r="T583" s="10">
        <v>28484.09</v>
      </c>
      <c r="U583" s="11">
        <f>IFERROR(S583/T583, 0)</f>
      </c>
      <c r="V583" s="10">
        <f>IFERROR(S583/E583, 0)</f>
      </c>
      <c r="W583" s="10">
        <f>IFERROR(T583/F583, 0)</f>
      </c>
      <c r="X583" s="11">
        <f>IFERROR(V583/W583, 0)</f>
      </c>
    </row>
    <row r="584" spans="1:24" x14ac:dyDescent="0.25">
      <c r="A584" s="8" t="s">
        <v>554</v>
      </c>
      <c r="B584" s="8" t="s">
        <v>555</v>
      </c>
      <c r="C584" s="8" t="s">
        <v>64</v>
      </c>
      <c r="D584" s="8" t="s">
        <v>632</v>
      </c>
      <c r="E584" s="9">
        <v>6.46</v>
      </c>
      <c r="F584" s="9">
        <v>6.46</v>
      </c>
      <c r="G584" s="10">
        <v>0</v>
      </c>
      <c r="H584" s="10">
        <v>193.0811111111111</v>
      </c>
      <c r="I584" s="11">
        <f>IFERROR(G584/H584, 0)</f>
      </c>
      <c r="J584" s="10">
        <v>0</v>
      </c>
      <c r="K584" s="10">
        <v>0</v>
      </c>
      <c r="L584" s="10">
        <v>0</v>
      </c>
      <c r="M584" s="12">
        <f>IFERROR(L584/K584, 0)</f>
      </c>
      <c r="N584" s="13">
        <f>IFERROR(J584/K584, 0)</f>
      </c>
      <c r="O584" s="10">
        <v>0</v>
      </c>
      <c r="P584" s="10">
        <v>0</v>
      </c>
      <c r="Q584" s="10">
        <v>2123.8922222222222</v>
      </c>
      <c r="R584" s="11">
        <f>IFERROR(P584/Q584, 0)</f>
      </c>
      <c r="S584" s="10">
        <v>0</v>
      </c>
      <c r="T584" s="10">
        <v>24074.172222222223</v>
      </c>
      <c r="U584" s="11">
        <f>IFERROR(S584/T584, 0)</f>
      </c>
      <c r="V584" s="10">
        <f>IFERROR(S584/E584, 0)</f>
      </c>
      <c r="W584" s="10">
        <f>IFERROR(T584/F584, 0)</f>
      </c>
      <c r="X584" s="11">
        <f>IFERROR(V584/W584, 0)</f>
      </c>
    </row>
    <row r="585" spans="1:24" x14ac:dyDescent="0.25">
      <c r="A585" s="8" t="s">
        <v>554</v>
      </c>
      <c r="B585" s="8" t="s">
        <v>555</v>
      </c>
      <c r="C585" s="8" t="s">
        <v>64</v>
      </c>
      <c r="D585" s="8" t="s">
        <v>633</v>
      </c>
      <c r="E585" s="9">
        <v>268</v>
      </c>
      <c r="F585" s="9">
        <v>482.34</v>
      </c>
      <c r="G585" s="10">
        <v>0</v>
      </c>
      <c r="H585" s="10">
        <v>14425.484444444444</v>
      </c>
      <c r="I585" s="11">
        <f>IFERROR(G585/H585, 0)</f>
      </c>
      <c r="J585" s="10">
        <v>0</v>
      </c>
      <c r="K585" s="10">
        <v>0</v>
      </c>
      <c r="L585" s="10">
        <v>0</v>
      </c>
      <c r="M585" s="12">
        <f>IFERROR(L585/K585, 0)</f>
      </c>
      <c r="N585" s="13">
        <f>IFERROR(J585/K585, 0)</f>
      </c>
      <c r="O585" s="10">
        <v>0</v>
      </c>
      <c r="P585" s="10">
        <v>0</v>
      </c>
      <c r="Q585" s="10">
        <v>158680.32888888888</v>
      </c>
      <c r="R585" s="11">
        <f>IFERROR(P585/Q585, 0)</f>
      </c>
      <c r="S585" s="10">
        <v>443615</v>
      </c>
      <c r="T585" s="10">
        <v>1798630.128888889</v>
      </c>
      <c r="U585" s="11">
        <f>IFERROR(S585/T585, 0)</f>
      </c>
      <c r="V585" s="10">
        <f>IFERROR(S585/E585, 0)</f>
      </c>
      <c r="W585" s="10">
        <f>IFERROR(T585/F585, 0)</f>
      </c>
      <c r="X585" s="11">
        <f>IFERROR(V585/W585, 0)</f>
      </c>
    </row>
    <row r="586" spans="1:24" x14ac:dyDescent="0.25">
      <c r="A586" s="8" t="s">
        <v>554</v>
      </c>
      <c r="B586" s="8" t="s">
        <v>555</v>
      </c>
      <c r="C586" s="8" t="s">
        <v>64</v>
      </c>
      <c r="D586" s="8" t="s">
        <v>634</v>
      </c>
      <c r="E586" s="9">
        <v>52.51</v>
      </c>
      <c r="F586" s="9">
        <v>914.08</v>
      </c>
      <c r="G586" s="10">
        <v>4603</v>
      </c>
      <c r="H586" s="10">
        <v>27337.682962962965</v>
      </c>
      <c r="I586" s="11">
        <f>IFERROR(G586/H586, 0)</f>
      </c>
      <c r="J586" s="10">
        <v>4</v>
      </c>
      <c r="K586" s="10">
        <v>6</v>
      </c>
      <c r="L586" s="10">
        <v>4603</v>
      </c>
      <c r="M586" s="12">
        <f>IFERROR(L586/K586, 0)</f>
      </c>
      <c r="N586" s="13">
        <f>IFERROR(J586/K586, 0)</f>
      </c>
      <c r="O586" s="10">
        <v>0</v>
      </c>
      <c r="P586" s="10">
        <v>49316</v>
      </c>
      <c r="Q586" s="10">
        <v>300714.51259259257</v>
      </c>
      <c r="R586" s="11">
        <f>IFERROR(P586/Q586, 0)</f>
      </c>
      <c r="S586" s="10">
        <v>295529</v>
      </c>
      <c r="T586" s="10">
        <v>3408577.4325925927</v>
      </c>
      <c r="U586" s="11">
        <f>IFERROR(S586/T586, 0)</f>
      </c>
      <c r="V586" s="10">
        <f>IFERROR(S586/E586, 0)</f>
      </c>
      <c r="W586" s="10">
        <f>IFERROR(T586/F586, 0)</f>
      </c>
      <c r="X586" s="11">
        <f>IFERROR(V586/W586, 0)</f>
      </c>
    </row>
    <row r="587" spans="1:24" x14ac:dyDescent="0.25">
      <c r="A587" s="8" t="s">
        <v>554</v>
      </c>
      <c r="B587" s="8" t="s">
        <v>555</v>
      </c>
      <c r="C587" s="8" t="s">
        <v>64</v>
      </c>
      <c r="D587" s="8" t="s">
        <v>635</v>
      </c>
      <c r="E587" s="9">
        <v>1346.08</v>
      </c>
      <c r="F587" s="9">
        <v>1346.08</v>
      </c>
      <c r="G587" s="10">
        <v>0</v>
      </c>
      <c r="H587" s="10">
        <v>40257.6674074074</v>
      </c>
      <c r="I587" s="11">
        <f>IFERROR(G587/H587, 0)</f>
      </c>
      <c r="J587" s="10">
        <v>0</v>
      </c>
      <c r="K587" s="10">
        <v>0</v>
      </c>
      <c r="L587" s="10">
        <v>0</v>
      </c>
      <c r="M587" s="12">
        <f>IFERROR(L587/K587, 0)</f>
      </c>
      <c r="N587" s="13">
        <f>IFERROR(J587/K587, 0)</f>
      </c>
      <c r="O587" s="10">
        <v>0</v>
      </c>
      <c r="P587" s="10">
        <v>0</v>
      </c>
      <c r="Q587" s="10">
        <v>442834.3414814815</v>
      </c>
      <c r="R587" s="11">
        <f>IFERROR(P587/Q587, 0)</f>
      </c>
      <c r="S587" s="10">
        <v>0</v>
      </c>
      <c r="T587" s="10">
        <v>5019495.461481482</v>
      </c>
      <c r="U587" s="11">
        <f>IFERROR(S587/T587, 0)</f>
      </c>
      <c r="V587" s="10">
        <f>IFERROR(S587/E587, 0)</f>
      </c>
      <c r="W587" s="10">
        <f>IFERROR(T587/F587, 0)</f>
      </c>
      <c r="X587" s="11">
        <f>IFERROR(V587/W587, 0)</f>
      </c>
    </row>
    <row r="588" spans="1:24" x14ac:dyDescent="0.25">
      <c r="A588" s="8" t="s">
        <v>554</v>
      </c>
      <c r="B588" s="8" t="s">
        <v>555</v>
      </c>
      <c r="C588" s="8" t="s">
        <v>64</v>
      </c>
      <c r="D588" s="8" t="s">
        <v>636</v>
      </c>
      <c r="E588" s="9">
        <v>43.85</v>
      </c>
      <c r="F588" s="9">
        <v>35.17</v>
      </c>
      <c r="G588" s="10">
        <v>0</v>
      </c>
      <c r="H588" s="10">
        <v>1051.937037037037</v>
      </c>
      <c r="I588" s="11">
        <f>IFERROR(G588/H588, 0)</f>
      </c>
      <c r="J588" s="10">
        <v>0</v>
      </c>
      <c r="K588" s="10">
        <v>0</v>
      </c>
      <c r="L588" s="10">
        <v>0</v>
      </c>
      <c r="M588" s="12">
        <f>IFERROR(L588/K588, 0)</f>
      </c>
      <c r="N588" s="13">
        <f>IFERROR(J588/K588, 0)</f>
      </c>
      <c r="O588" s="10">
        <v>0</v>
      </c>
      <c r="P588" s="10">
        <v>39362</v>
      </c>
      <c r="Q588" s="10">
        <v>11571.307407407407</v>
      </c>
      <c r="R588" s="11">
        <f>IFERROR(P588/Q588, 0)</f>
      </c>
      <c r="S588" s="10">
        <v>393665</v>
      </c>
      <c r="T588" s="10">
        <v>131159.9274074074</v>
      </c>
      <c r="U588" s="11">
        <f>IFERROR(S588/T588, 0)</f>
      </c>
      <c r="V588" s="10">
        <f>IFERROR(S588/E588, 0)</f>
      </c>
      <c r="W588" s="10">
        <f>IFERROR(T588/F588, 0)</f>
      </c>
      <c r="X588" s="11">
        <f>IFERROR(V588/W588, 0)</f>
      </c>
    </row>
    <row r="589" spans="1:24" x14ac:dyDescent="0.25">
      <c r="A589" s="8" t="s">
        <v>554</v>
      </c>
      <c r="B589" s="8" t="s">
        <v>555</v>
      </c>
      <c r="C589" s="8" t="s">
        <v>64</v>
      </c>
      <c r="D589" s="8" t="s">
        <v>637</v>
      </c>
      <c r="E589" s="9">
        <v>113.76</v>
      </c>
      <c r="F589" s="9">
        <v>1493.39</v>
      </c>
      <c r="G589" s="10">
        <v>11170</v>
      </c>
      <c r="H589" s="10">
        <v>44663.39037037037</v>
      </c>
      <c r="I589" s="11">
        <f>IFERROR(G589/H589, 0)</f>
      </c>
      <c r="J589" s="10">
        <v>13.5</v>
      </c>
      <c r="K589" s="10">
        <v>5</v>
      </c>
      <c r="L589" s="10">
        <v>11170</v>
      </c>
      <c r="M589" s="12">
        <f>IFERROR(L589/K589, 0)</f>
      </c>
      <c r="N589" s="13">
        <f>IFERROR(J589/K589, 0)</f>
      </c>
      <c r="O589" s="10">
        <v>0</v>
      </c>
      <c r="P589" s="10">
        <v>90090</v>
      </c>
      <c r="Q589" s="10">
        <v>491297.2940740741</v>
      </c>
      <c r="R589" s="11">
        <f>IFERROR(P589/Q589, 0)</f>
      </c>
      <c r="S589" s="10">
        <v>624400</v>
      </c>
      <c r="T589" s="10">
        <v>5568819.564074074</v>
      </c>
      <c r="U589" s="11">
        <f>IFERROR(S589/T589, 0)</f>
      </c>
      <c r="V589" s="10">
        <f>IFERROR(S589/E589, 0)</f>
      </c>
      <c r="W589" s="10">
        <f>IFERROR(T589/F589, 0)</f>
      </c>
      <c r="X589" s="11">
        <f>IFERROR(V589/W589, 0)</f>
      </c>
    </row>
    <row r="590" spans="1:24" x14ac:dyDescent="0.25">
      <c r="A590" s="8" t="s">
        <v>554</v>
      </c>
      <c r="B590" s="8" t="s">
        <v>555</v>
      </c>
      <c r="C590" s="8" t="s">
        <v>64</v>
      </c>
      <c r="D590" s="8" t="s">
        <v>638</v>
      </c>
      <c r="E590" s="9">
        <v>0</v>
      </c>
      <c r="F590" s="9">
        <v>0</v>
      </c>
      <c r="G590" s="10">
        <v>0</v>
      </c>
      <c r="H590" s="10">
        <v>0</v>
      </c>
      <c r="I590" s="11">
        <f>IFERROR(G590/H590, 0)</f>
      </c>
      <c r="J590" s="10">
        <v>0</v>
      </c>
      <c r="K590" s="10">
        <v>0</v>
      </c>
      <c r="L590" s="10">
        <v>0</v>
      </c>
      <c r="M590" s="12">
        <f>IFERROR(L590/K590, 0)</f>
      </c>
      <c r="N590" s="13">
        <f>IFERROR(J590/K590, 0)</f>
      </c>
      <c r="O590" s="10">
        <v>0</v>
      </c>
      <c r="P590" s="10">
        <v>0</v>
      </c>
      <c r="Q590" s="10">
        <v>0</v>
      </c>
      <c r="R590" s="11">
        <f>IFERROR(P590/Q590, 0)</f>
      </c>
      <c r="S590" s="10">
        <v>15020</v>
      </c>
      <c r="T590" s="10">
        <v>0</v>
      </c>
      <c r="U590" s="11">
        <f>IFERROR(S590/T590, 0)</f>
      </c>
      <c r="V590" s="10">
        <f>IFERROR(S590/E590, 0)</f>
      </c>
      <c r="W590" s="10">
        <f>IFERROR(T590/F590, 0)</f>
      </c>
      <c r="X590" s="11">
        <f>IFERROR(V590/W590, 0)</f>
      </c>
    </row>
    <row r="591" spans="1:24" x14ac:dyDescent="0.25">
      <c r="A591" s="8" t="s">
        <v>554</v>
      </c>
      <c r="B591" s="8" t="s">
        <v>555</v>
      </c>
      <c r="C591" s="8" t="s">
        <v>64</v>
      </c>
      <c r="D591" s="8" t="s">
        <v>639</v>
      </c>
      <c r="E591" s="9">
        <v>3052.28</v>
      </c>
      <c r="F591" s="9">
        <v>3052.28</v>
      </c>
      <c r="G591" s="10">
        <v>0</v>
      </c>
      <c r="H591" s="10">
        <v>91285.84370370371</v>
      </c>
      <c r="I591" s="11">
        <f>IFERROR(G591/H591, 0)</f>
      </c>
      <c r="J591" s="10">
        <v>0</v>
      </c>
      <c r="K591" s="10">
        <v>0</v>
      </c>
      <c r="L591" s="10">
        <v>0</v>
      </c>
      <c r="M591" s="12">
        <f>IFERROR(L591/K591, 0)</f>
      </c>
      <c r="N591" s="13">
        <f>IFERROR(J591/K591, 0)</f>
      </c>
      <c r="O591" s="10">
        <v>0</v>
      </c>
      <c r="P591" s="10">
        <v>0</v>
      </c>
      <c r="Q591" s="10">
        <v>1004144.2807407407</v>
      </c>
      <c r="R591" s="11">
        <f>IFERROR(P591/Q591, 0)</f>
      </c>
      <c r="S591" s="10">
        <v>3395000</v>
      </c>
      <c r="T591" s="10">
        <v>11381903.370740741</v>
      </c>
      <c r="U591" s="11">
        <f>IFERROR(S591/T591, 0)</f>
      </c>
      <c r="V591" s="10">
        <f>IFERROR(S591/E591, 0)</f>
      </c>
      <c r="W591" s="10">
        <f>IFERROR(T591/F591, 0)</f>
      </c>
      <c r="X591" s="11">
        <f>IFERROR(V591/W591, 0)</f>
      </c>
    </row>
    <row r="592" spans="1:24" x14ac:dyDescent="0.25">
      <c r="A592" s="8" t="s">
        <v>554</v>
      </c>
      <c r="B592" s="8" t="s">
        <v>555</v>
      </c>
      <c r="C592" s="8" t="s">
        <v>64</v>
      </c>
      <c r="D592" s="8" t="s">
        <v>640</v>
      </c>
      <c r="E592" s="9">
        <v>1588.14</v>
      </c>
      <c r="F592" s="9">
        <v>1424.28</v>
      </c>
      <c r="G592" s="10">
        <v>96640</v>
      </c>
      <c r="H592" s="10">
        <v>42596.66444444445</v>
      </c>
      <c r="I592" s="11">
        <f>IFERROR(G592/H592, 0)</f>
      </c>
      <c r="J592" s="10">
        <v>0</v>
      </c>
      <c r="K592" s="10">
        <v>0</v>
      </c>
      <c r="L592" s="10">
        <v>96640</v>
      </c>
      <c r="M592" s="12">
        <f>IFERROR(L592/K592, 0)</f>
      </c>
      <c r="N592" s="13">
        <f>IFERROR(J592/K592, 0)</f>
      </c>
      <c r="O592" s="10">
        <v>0</v>
      </c>
      <c r="P592" s="10">
        <v>1054195</v>
      </c>
      <c r="Q592" s="10">
        <v>468563.30888888886</v>
      </c>
      <c r="R592" s="11">
        <f>IFERROR(P592/Q592, 0)</f>
      </c>
      <c r="S592" s="10">
        <v>17367102</v>
      </c>
      <c r="T592" s="10">
        <v>5311131.488888889</v>
      </c>
      <c r="U592" s="11">
        <f>IFERROR(S592/T592, 0)</f>
      </c>
      <c r="V592" s="10">
        <f>IFERROR(S592/E592, 0)</f>
      </c>
      <c r="W592" s="10">
        <f>IFERROR(T592/F592, 0)</f>
      </c>
      <c r="X592" s="11">
        <f>IFERROR(V592/W592, 0)</f>
      </c>
    </row>
    <row r="593" spans="1:24" x14ac:dyDescent="0.25">
      <c r="A593" s="8" t="s">
        <v>554</v>
      </c>
      <c r="B593" s="8" t="s">
        <v>555</v>
      </c>
      <c r="C593" s="8" t="s">
        <v>64</v>
      </c>
      <c r="D593" s="8" t="s">
        <v>641</v>
      </c>
      <c r="E593" s="9">
        <v>445.57</v>
      </c>
      <c r="F593" s="9">
        <v>445.57</v>
      </c>
      <c r="G593" s="10">
        <v>0</v>
      </c>
      <c r="H593" s="10">
        <v>13325.721851851851</v>
      </c>
      <c r="I593" s="11">
        <f>IFERROR(G593/H593, 0)</f>
      </c>
      <c r="J593" s="10">
        <v>0</v>
      </c>
      <c r="K593" s="10">
        <v>0</v>
      </c>
      <c r="L593" s="10">
        <v>0</v>
      </c>
      <c r="M593" s="12">
        <f>IFERROR(L593/K593, 0)</f>
      </c>
      <c r="N593" s="13">
        <f>IFERROR(J593/K593, 0)</f>
      </c>
      <c r="O593" s="10">
        <v>0</v>
      </c>
      <c r="P593" s="10">
        <v>0</v>
      </c>
      <c r="Q593" s="10">
        <v>146582.94037037037</v>
      </c>
      <c r="R593" s="11">
        <f>IFERROR(P593/Q593, 0)</f>
      </c>
      <c r="S593" s="10">
        <v>0</v>
      </c>
      <c r="T593" s="10">
        <v>1661507.1103703703</v>
      </c>
      <c r="U593" s="11">
        <f>IFERROR(S593/T593, 0)</f>
      </c>
      <c r="V593" s="10">
        <f>IFERROR(S593/E593, 0)</f>
      </c>
      <c r="W593" s="10">
        <f>IFERROR(T593/F593, 0)</f>
      </c>
      <c r="X593" s="11">
        <f>IFERROR(V593/W593, 0)</f>
      </c>
    </row>
    <row r="594" spans="1:24" x14ac:dyDescent="0.25">
      <c r="A594" s="8" t="s">
        <v>554</v>
      </c>
      <c r="B594" s="8" t="s">
        <v>555</v>
      </c>
      <c r="C594" s="8" t="s">
        <v>64</v>
      </c>
      <c r="D594" s="8" t="s">
        <v>642</v>
      </c>
      <c r="E594" s="9">
        <v>345.26</v>
      </c>
      <c r="F594" s="9">
        <v>265.78</v>
      </c>
      <c r="G594" s="10">
        <v>16888</v>
      </c>
      <c r="H594" s="10">
        <v>7948.808888888889</v>
      </c>
      <c r="I594" s="11">
        <f>IFERROR(G594/H594, 0)</f>
      </c>
      <c r="J594" s="10">
        <v>21</v>
      </c>
      <c r="K594" s="10">
        <v>14</v>
      </c>
      <c r="L594" s="10">
        <v>16888</v>
      </c>
      <c r="M594" s="12">
        <f>IFERROR(L594/K594, 0)</f>
      </c>
      <c r="N594" s="13">
        <f>IFERROR(J594/K594, 0)</f>
      </c>
      <c r="O594" s="10">
        <v>0</v>
      </c>
      <c r="P594" s="10">
        <v>197077</v>
      </c>
      <c r="Q594" s="10">
        <v>87436.89777777778</v>
      </c>
      <c r="R594" s="11">
        <f>IFERROR(P594/Q594, 0)</f>
      </c>
      <c r="S594" s="10">
        <v>2181403</v>
      </c>
      <c r="T594" s="10">
        <v>991090.9677777778</v>
      </c>
      <c r="U594" s="11">
        <f>IFERROR(S594/T594, 0)</f>
      </c>
      <c r="V594" s="10">
        <f>IFERROR(S594/E594, 0)</f>
      </c>
      <c r="W594" s="10">
        <f>IFERROR(T594/F594, 0)</f>
      </c>
      <c r="X594" s="11">
        <f>IFERROR(V594/W594, 0)</f>
      </c>
    </row>
    <row r="595" spans="1:24" x14ac:dyDescent="0.25">
      <c r="A595" s="8" t="s">
        <v>554</v>
      </c>
      <c r="B595" s="8" t="s">
        <v>555</v>
      </c>
      <c r="C595" s="8" t="s">
        <v>92</v>
      </c>
      <c r="D595" s="8" t="s">
        <v>643</v>
      </c>
      <c r="E595" s="9">
        <v>2252</v>
      </c>
      <c r="F595" s="9">
        <v>1708.14</v>
      </c>
      <c r="G595" s="10">
        <v>177528</v>
      </c>
      <c r="H595" s="10">
        <v>51086.01185185185</v>
      </c>
      <c r="I595" s="11">
        <f>IFERROR(G595/H595, 0)</f>
      </c>
      <c r="J595" s="10">
        <v>168</v>
      </c>
      <c r="K595" s="10">
        <v>105</v>
      </c>
      <c r="L595" s="10">
        <v>177528</v>
      </c>
      <c r="M595" s="12">
        <f>IFERROR(L595/K595, 0)</f>
      </c>
      <c r="N595" s="13">
        <f>IFERROR(J595/K595, 0)</f>
      </c>
      <c r="O595" s="10">
        <v>0</v>
      </c>
      <c r="P595" s="10">
        <v>2384784</v>
      </c>
      <c r="Q595" s="10">
        <v>561946.1303703703</v>
      </c>
      <c r="R595" s="11">
        <f>IFERROR(P595/Q595, 0)</f>
      </c>
      <c r="S595" s="10">
        <v>20448656</v>
      </c>
      <c r="T595" s="10">
        <v>6369619.0703703705</v>
      </c>
      <c r="U595" s="11">
        <f>IFERROR(S595/T595, 0)</f>
      </c>
      <c r="V595" s="10">
        <f>IFERROR(S595/E595, 0)</f>
      </c>
      <c r="W595" s="10">
        <f>IFERROR(T595/F595, 0)</f>
      </c>
      <c r="X595" s="11">
        <f>IFERROR(V595/W595, 0)</f>
      </c>
    </row>
    <row r="596" spans="1:24" x14ac:dyDescent="0.25">
      <c r="A596" s="8" t="s">
        <v>554</v>
      </c>
      <c r="B596" s="8" t="s">
        <v>555</v>
      </c>
      <c r="C596" s="8" t="s">
        <v>92</v>
      </c>
      <c r="D596" s="8" t="s">
        <v>644</v>
      </c>
      <c r="E596" s="9">
        <v>37.63</v>
      </c>
      <c r="F596" s="9">
        <v>37.63</v>
      </c>
      <c r="G596" s="10">
        <v>0</v>
      </c>
      <c r="H596" s="10">
        <v>1125.3433333333332</v>
      </c>
      <c r="I596" s="11">
        <f>IFERROR(G596/H596, 0)</f>
      </c>
      <c r="J596" s="10">
        <v>0</v>
      </c>
      <c r="K596" s="10">
        <v>0</v>
      </c>
      <c r="L596" s="10">
        <v>0</v>
      </c>
      <c r="M596" s="12">
        <f>IFERROR(L596/K596, 0)</f>
      </c>
      <c r="N596" s="13">
        <f>IFERROR(J596/K596, 0)</f>
      </c>
      <c r="O596" s="10">
        <v>0</v>
      </c>
      <c r="P596" s="10">
        <v>0</v>
      </c>
      <c r="Q596" s="10">
        <v>12378.776666666667</v>
      </c>
      <c r="R596" s="11">
        <f>IFERROR(P596/Q596, 0)</f>
      </c>
      <c r="S596" s="10">
        <v>306965</v>
      </c>
      <c r="T596" s="10">
        <v>140312.55666666667</v>
      </c>
      <c r="U596" s="11">
        <f>IFERROR(S596/T596, 0)</f>
      </c>
      <c r="V596" s="10">
        <f>IFERROR(S596/E596, 0)</f>
      </c>
      <c r="W596" s="10">
        <f>IFERROR(T596/F596, 0)</f>
      </c>
      <c r="X596" s="11">
        <f>IFERROR(V596/W596, 0)</f>
      </c>
    </row>
    <row r="597" spans="1:24" x14ac:dyDescent="0.25">
      <c r="A597" s="8" t="s">
        <v>554</v>
      </c>
      <c r="B597" s="8" t="s">
        <v>555</v>
      </c>
      <c r="C597" s="8" t="s">
        <v>92</v>
      </c>
      <c r="D597" s="8" t="s">
        <v>645</v>
      </c>
      <c r="E597" s="9">
        <v>169</v>
      </c>
      <c r="F597" s="9">
        <v>441.73</v>
      </c>
      <c r="G597" s="10">
        <v>0</v>
      </c>
      <c r="H597" s="10">
        <v>13210.940740740742</v>
      </c>
      <c r="I597" s="11">
        <f>IFERROR(G597/H597, 0)</f>
      </c>
      <c r="J597" s="10">
        <v>0</v>
      </c>
      <c r="K597" s="10">
        <v>0</v>
      </c>
      <c r="L597" s="10">
        <v>0</v>
      </c>
      <c r="M597" s="12">
        <f>IFERROR(L597/K597, 0)</f>
      </c>
      <c r="N597" s="13">
        <f>IFERROR(J597/K597, 0)</f>
      </c>
      <c r="O597" s="10">
        <v>0</v>
      </c>
      <c r="P597" s="10">
        <v>65330</v>
      </c>
      <c r="Q597" s="10">
        <v>145320.34814814816</v>
      </c>
      <c r="R597" s="11">
        <f>IFERROR(P597/Q597, 0)</f>
      </c>
      <c r="S597" s="10">
        <v>974750</v>
      </c>
      <c r="T597" s="10">
        <v>1647195.7281481482</v>
      </c>
      <c r="U597" s="11">
        <f>IFERROR(S597/T597, 0)</f>
      </c>
      <c r="V597" s="10">
        <f>IFERROR(S597/E597, 0)</f>
      </c>
      <c r="W597" s="10">
        <f>IFERROR(T597/F597, 0)</f>
      </c>
      <c r="X597" s="11">
        <f>IFERROR(V597/W597, 0)</f>
      </c>
    </row>
    <row r="598" spans="1:24" x14ac:dyDescent="0.25">
      <c r="A598" s="8" t="s">
        <v>554</v>
      </c>
      <c r="B598" s="8" t="s">
        <v>555</v>
      </c>
      <c r="C598" s="8" t="s">
        <v>92</v>
      </c>
      <c r="D598" s="8" t="s">
        <v>646</v>
      </c>
      <c r="E598" s="9">
        <v>165.32</v>
      </c>
      <c r="F598" s="9">
        <v>165.32</v>
      </c>
      <c r="G598" s="10">
        <v>0</v>
      </c>
      <c r="H598" s="10">
        <v>4944.25962962963</v>
      </c>
      <c r="I598" s="11">
        <f>IFERROR(G598/H598, 0)</f>
      </c>
      <c r="J598" s="10">
        <v>0</v>
      </c>
      <c r="K598" s="10">
        <v>0</v>
      </c>
      <c r="L598" s="10">
        <v>0</v>
      </c>
      <c r="M598" s="12">
        <f>IFERROR(L598/K598, 0)</f>
      </c>
      <c r="N598" s="13">
        <f>IFERROR(J598/K598, 0)</f>
      </c>
      <c r="O598" s="10">
        <v>0</v>
      </c>
      <c r="P598" s="10">
        <v>0</v>
      </c>
      <c r="Q598" s="10">
        <v>54386.85592592593</v>
      </c>
      <c r="R598" s="11">
        <f>IFERROR(P598/Q598, 0)</f>
      </c>
      <c r="S598" s="10">
        <v>0</v>
      </c>
      <c r="T598" s="10">
        <v>616471.1159259259</v>
      </c>
      <c r="U598" s="11">
        <f>IFERROR(S598/T598, 0)</f>
      </c>
      <c r="V598" s="10">
        <f>IFERROR(S598/E598, 0)</f>
      </c>
      <c r="W598" s="10">
        <f>IFERROR(T598/F598, 0)</f>
      </c>
      <c r="X598" s="11">
        <f>IFERROR(V598/W598, 0)</f>
      </c>
    </row>
    <row r="599" spans="1:24" x14ac:dyDescent="0.25">
      <c r="A599" s="8" t="s">
        <v>554</v>
      </c>
      <c r="B599" s="8" t="s">
        <v>555</v>
      </c>
      <c r="C599" s="8" t="s">
        <v>92</v>
      </c>
      <c r="D599" s="8" t="s">
        <v>647</v>
      </c>
      <c r="E599" s="9">
        <v>4106</v>
      </c>
      <c r="F599" s="9">
        <v>4106</v>
      </c>
      <c r="G599" s="10">
        <v>386640</v>
      </c>
      <c r="H599" s="10">
        <v>334562.962962963</v>
      </c>
      <c r="I599" s="11">
        <f>IFERROR(G599/H599, 0)</f>
      </c>
      <c r="J599" s="10">
        <v>403.34</v>
      </c>
      <c r="K599" s="10">
        <v>193</v>
      </c>
      <c r="L599" s="10">
        <v>386640</v>
      </c>
      <c r="M599" s="12">
        <f>IFERROR(L599/K599, 0)</f>
      </c>
      <c r="N599" s="13">
        <f>IFERROR(J599/K599, 0)</f>
      </c>
      <c r="O599" s="10">
        <v>0</v>
      </c>
      <c r="P599" s="10">
        <v>3925852</v>
      </c>
      <c r="Q599" s="10">
        <v>3680192.592592593</v>
      </c>
      <c r="R599" s="11">
        <f>IFERROR(P599/Q599, 0)</f>
      </c>
      <c r="S599" s="10">
        <v>49465902</v>
      </c>
      <c r="T599" s="10">
        <v>40716312.59259259</v>
      </c>
      <c r="U599" s="11">
        <f>IFERROR(S599/T599, 0)</f>
      </c>
      <c r="V599" s="10">
        <f>IFERROR(S599/E599, 0)</f>
      </c>
      <c r="W599" s="10">
        <f>IFERROR(T599/F599, 0)</f>
      </c>
      <c r="X599" s="11">
        <f>IFERROR(V599/W599, 0)</f>
      </c>
    </row>
    <row r="600" spans="1:24" x14ac:dyDescent="0.25">
      <c r="A600" s="8" t="s">
        <v>554</v>
      </c>
      <c r="B600" s="8" t="s">
        <v>555</v>
      </c>
      <c r="C600" s="8" t="s">
        <v>92</v>
      </c>
      <c r="D600" s="8" t="s">
        <v>648</v>
      </c>
      <c r="E600" s="9">
        <v>1085.89</v>
      </c>
      <c r="F600" s="9">
        <v>1085.89</v>
      </c>
      <c r="G600" s="10">
        <v>0</v>
      </c>
      <c r="H600" s="10">
        <v>32476.136296296296</v>
      </c>
      <c r="I600" s="11">
        <f>IFERROR(G600/H600, 0)</f>
      </c>
      <c r="J600" s="10">
        <v>0</v>
      </c>
      <c r="K600" s="10">
        <v>0</v>
      </c>
      <c r="L600" s="10">
        <v>0</v>
      </c>
      <c r="M600" s="12">
        <f>IFERROR(L600/K600, 0)</f>
      </c>
      <c r="N600" s="13">
        <f>IFERROR(J600/K600, 0)</f>
      </c>
      <c r="O600" s="10">
        <v>0</v>
      </c>
      <c r="P600" s="10">
        <v>0</v>
      </c>
      <c r="Q600" s="10">
        <v>357237.49925925926</v>
      </c>
      <c r="R600" s="11">
        <f>IFERROR(P600/Q600, 0)</f>
      </c>
      <c r="S600" s="10">
        <v>0</v>
      </c>
      <c r="T600" s="10">
        <v>4049261.389259259</v>
      </c>
      <c r="U600" s="11">
        <f>IFERROR(S600/T600, 0)</f>
      </c>
      <c r="V600" s="10">
        <f>IFERROR(S600/E600, 0)</f>
      </c>
      <c r="W600" s="10">
        <f>IFERROR(T600/F600, 0)</f>
      </c>
      <c r="X600" s="11">
        <f>IFERROR(V600/W600, 0)</f>
      </c>
    </row>
    <row r="601" spans="1:24" x14ac:dyDescent="0.25">
      <c r="A601" s="8" t="s">
        <v>554</v>
      </c>
      <c r="B601" s="8" t="s">
        <v>555</v>
      </c>
      <c r="C601" s="8" t="s">
        <v>92</v>
      </c>
      <c r="D601" s="8" t="s">
        <v>649</v>
      </c>
      <c r="E601" s="9">
        <v>2.79</v>
      </c>
      <c r="F601" s="9">
        <v>2.79</v>
      </c>
      <c r="G601" s="10">
        <v>0</v>
      </c>
      <c r="H601" s="10">
        <v>83.4162962962963</v>
      </c>
      <c r="I601" s="11">
        <f>IFERROR(G601/H601, 0)</f>
      </c>
      <c r="J601" s="10">
        <v>0</v>
      </c>
      <c r="K601" s="10">
        <v>0</v>
      </c>
      <c r="L601" s="10">
        <v>0</v>
      </c>
      <c r="M601" s="12">
        <f>IFERROR(L601/K601, 0)</f>
      </c>
      <c r="N601" s="13">
        <f>IFERROR(J601/K601, 0)</f>
      </c>
      <c r="O601" s="10">
        <v>0</v>
      </c>
      <c r="P601" s="10">
        <v>0</v>
      </c>
      <c r="Q601" s="10">
        <v>917.5792592592593</v>
      </c>
      <c r="R601" s="11">
        <f>IFERROR(P601/Q601, 0)</f>
      </c>
      <c r="S601" s="10">
        <v>0</v>
      </c>
      <c r="T601" s="10">
        <v>10400.71925925926</v>
      </c>
      <c r="U601" s="11">
        <f>IFERROR(S601/T601, 0)</f>
      </c>
      <c r="V601" s="10">
        <f>IFERROR(S601/E601, 0)</f>
      </c>
      <c r="W601" s="10">
        <f>IFERROR(T601/F601, 0)</f>
      </c>
      <c r="X601" s="11">
        <f>IFERROR(V601/W601, 0)</f>
      </c>
    </row>
    <row r="602" spans="1:24" x14ac:dyDescent="0.25">
      <c r="A602" s="8" t="s">
        <v>554</v>
      </c>
      <c r="B602" s="8" t="s">
        <v>555</v>
      </c>
      <c r="C602" s="8" t="s">
        <v>92</v>
      </c>
      <c r="D602" s="8" t="s">
        <v>650</v>
      </c>
      <c r="E602" s="9">
        <v>563.29</v>
      </c>
      <c r="F602" s="9">
        <v>1046.15</v>
      </c>
      <c r="G602" s="10">
        <v>47400</v>
      </c>
      <c r="H602" s="10">
        <v>31287.61851851852</v>
      </c>
      <c r="I602" s="11">
        <f>IFERROR(G602/H602, 0)</f>
      </c>
      <c r="J602" s="10">
        <v>0</v>
      </c>
      <c r="K602" s="10">
        <v>0</v>
      </c>
      <c r="L602" s="10">
        <v>47400</v>
      </c>
      <c r="M602" s="12">
        <f>IFERROR(L602/K602, 0)</f>
      </c>
      <c r="N602" s="13">
        <f>IFERROR(J602/K602, 0)</f>
      </c>
      <c r="O602" s="10">
        <v>0</v>
      </c>
      <c r="P602" s="10">
        <v>540403</v>
      </c>
      <c r="Q602" s="10">
        <v>344163.8037037037</v>
      </c>
      <c r="R602" s="11">
        <f>IFERROR(P602/Q602, 0)</f>
      </c>
      <c r="S602" s="10">
        <v>6725441</v>
      </c>
      <c r="T602" s="10">
        <v>3901072.0237037037</v>
      </c>
      <c r="U602" s="11">
        <f>IFERROR(S602/T602, 0)</f>
      </c>
      <c r="V602" s="10">
        <f>IFERROR(S602/E602, 0)</f>
      </c>
      <c r="W602" s="10">
        <f>IFERROR(T602/F602, 0)</f>
      </c>
      <c r="X602" s="11">
        <f>IFERROR(V602/W602, 0)</f>
      </c>
    </row>
    <row r="603" spans="1:24" x14ac:dyDescent="0.25">
      <c r="A603" s="8" t="s">
        <v>554</v>
      </c>
      <c r="B603" s="8" t="s">
        <v>555</v>
      </c>
      <c r="C603" s="8" t="s">
        <v>92</v>
      </c>
      <c r="D603" s="8" t="s">
        <v>651</v>
      </c>
      <c r="E603" s="9">
        <v>1305</v>
      </c>
      <c r="F603" s="9">
        <v>1285.41</v>
      </c>
      <c r="G603" s="10">
        <v>7390</v>
      </c>
      <c r="H603" s="10">
        <v>38443.19259259259</v>
      </c>
      <c r="I603" s="11">
        <f>IFERROR(G603/H603, 0)</f>
      </c>
      <c r="J603" s="10">
        <v>88.4</v>
      </c>
      <c r="K603" s="10">
        <v>68</v>
      </c>
      <c r="L603" s="10">
        <v>7390</v>
      </c>
      <c r="M603" s="12">
        <f>IFERROR(L603/K603, 0)</f>
      </c>
      <c r="N603" s="13">
        <f>IFERROR(J603/K603, 0)</f>
      </c>
      <c r="O603" s="10">
        <v>0</v>
      </c>
      <c r="P603" s="10">
        <v>727130</v>
      </c>
      <c r="Q603" s="10">
        <v>422875.1185185185</v>
      </c>
      <c r="R603" s="11">
        <f>IFERROR(P603/Q603, 0)</f>
      </c>
      <c r="S603" s="10">
        <v>11486410</v>
      </c>
      <c r="T603" s="10">
        <v>4793259.118518518</v>
      </c>
      <c r="U603" s="11">
        <f>IFERROR(S603/T603, 0)</f>
      </c>
      <c r="V603" s="10">
        <f>IFERROR(S603/E603, 0)</f>
      </c>
      <c r="W603" s="10">
        <f>IFERROR(T603/F603, 0)</f>
      </c>
      <c r="X603" s="11">
        <f>IFERROR(V603/W603, 0)</f>
      </c>
    </row>
    <row r="604" spans="1:24" x14ac:dyDescent="0.25">
      <c r="A604" s="8" t="s">
        <v>554</v>
      </c>
      <c r="B604" s="8" t="s">
        <v>555</v>
      </c>
      <c r="C604" s="8" t="s">
        <v>92</v>
      </c>
      <c r="D604" s="8" t="s">
        <v>652</v>
      </c>
      <c r="E604" s="9">
        <v>94.64</v>
      </c>
      <c r="F604" s="9">
        <v>94.64</v>
      </c>
      <c r="G604" s="10">
        <v>0</v>
      </c>
      <c r="H604" s="10">
        <v>2830.3755555555554</v>
      </c>
      <c r="I604" s="11">
        <f>IFERROR(G604/H604, 0)</f>
      </c>
      <c r="J604" s="10">
        <v>0</v>
      </c>
      <c r="K604" s="10">
        <v>0</v>
      </c>
      <c r="L604" s="10">
        <v>0</v>
      </c>
      <c r="M604" s="12">
        <f>IFERROR(L604/K604, 0)</f>
      </c>
      <c r="N604" s="13">
        <f>IFERROR(J604/K604, 0)</f>
      </c>
      <c r="O604" s="10">
        <v>0</v>
      </c>
      <c r="P604" s="10">
        <v>0</v>
      </c>
      <c r="Q604" s="10">
        <v>31134.13111111111</v>
      </c>
      <c r="R604" s="11">
        <f>IFERROR(P604/Q604, 0)</f>
      </c>
      <c r="S604" s="10">
        <v>0</v>
      </c>
      <c r="T604" s="10">
        <v>352903.1511111111</v>
      </c>
      <c r="U604" s="11">
        <f>IFERROR(S604/T604, 0)</f>
      </c>
      <c r="V604" s="10">
        <f>IFERROR(S604/E604, 0)</f>
      </c>
      <c r="W604" s="10">
        <f>IFERROR(T604/F604, 0)</f>
      </c>
      <c r="X604" s="11">
        <f>IFERROR(V604/W604, 0)</f>
      </c>
    </row>
    <row r="605" spans="1:24" x14ac:dyDescent="0.25">
      <c r="A605" s="8" t="s">
        <v>554</v>
      </c>
      <c r="B605" s="8" t="s">
        <v>555</v>
      </c>
      <c r="C605" s="8" t="s">
        <v>92</v>
      </c>
      <c r="D605" s="8" t="s">
        <v>653</v>
      </c>
      <c r="E605" s="9">
        <v>121</v>
      </c>
      <c r="F605" s="9">
        <v>98.58</v>
      </c>
      <c r="G605" s="10">
        <v>6770</v>
      </c>
      <c r="H605" s="10">
        <v>2948.2707407407406</v>
      </c>
      <c r="I605" s="11">
        <f>IFERROR(G605/H605, 0)</f>
      </c>
      <c r="J605" s="10">
        <v>5</v>
      </c>
      <c r="K605" s="10">
        <v>5</v>
      </c>
      <c r="L605" s="10">
        <v>6770</v>
      </c>
      <c r="M605" s="12">
        <f>IFERROR(L605/K605, 0)</f>
      </c>
      <c r="N605" s="13">
        <f>IFERROR(J605/K605, 0)</f>
      </c>
      <c r="O605" s="10">
        <v>0</v>
      </c>
      <c r="P605" s="10">
        <v>88230</v>
      </c>
      <c r="Q605" s="10">
        <v>32430.978148148148</v>
      </c>
      <c r="R605" s="11">
        <f>IFERROR(P605/Q605, 0)</f>
      </c>
      <c r="S605" s="10">
        <v>1326928</v>
      </c>
      <c r="T605" s="10">
        <v>367602.82814814814</v>
      </c>
      <c r="U605" s="11">
        <f>IFERROR(S605/T605, 0)</f>
      </c>
      <c r="V605" s="10">
        <f>IFERROR(S605/E605, 0)</f>
      </c>
      <c r="W605" s="10">
        <f>IFERROR(T605/F605, 0)</f>
      </c>
      <c r="X605" s="11">
        <f>IFERROR(V605/W605, 0)</f>
      </c>
    </row>
    <row r="606" spans="1:24" x14ac:dyDescent="0.25">
      <c r="A606" s="8" t="s">
        <v>554</v>
      </c>
      <c r="B606" s="8" t="s">
        <v>555</v>
      </c>
      <c r="C606" s="8" t="s">
        <v>92</v>
      </c>
      <c r="D606" s="8" t="s">
        <v>654</v>
      </c>
      <c r="E606" s="9">
        <v>170.04</v>
      </c>
      <c r="F606" s="9">
        <v>170.04</v>
      </c>
      <c r="G606" s="10">
        <v>0</v>
      </c>
      <c r="H606" s="10">
        <v>5085.5114814814815</v>
      </c>
      <c r="I606" s="11">
        <f>IFERROR(G606/H606, 0)</f>
      </c>
      <c r="J606" s="10">
        <v>0</v>
      </c>
      <c r="K606" s="10">
        <v>0</v>
      </c>
      <c r="L606" s="10">
        <v>0</v>
      </c>
      <c r="M606" s="12">
        <f>IFERROR(L606/K606, 0)</f>
      </c>
      <c r="N606" s="13">
        <f>IFERROR(J606/K606, 0)</f>
      </c>
      <c r="O606" s="10">
        <v>0</v>
      </c>
      <c r="P606" s="10">
        <v>0</v>
      </c>
      <c r="Q606" s="10">
        <v>55940.626296296294</v>
      </c>
      <c r="R606" s="11">
        <f>IFERROR(P606/Q606, 0)</f>
      </c>
      <c r="S606" s="10">
        <v>0</v>
      </c>
      <c r="T606" s="10">
        <v>634082.9662962963</v>
      </c>
      <c r="U606" s="11">
        <f>IFERROR(S606/T606, 0)</f>
      </c>
      <c r="V606" s="10">
        <f>IFERROR(S606/E606, 0)</f>
      </c>
      <c r="W606" s="10">
        <f>IFERROR(T606/F606, 0)</f>
      </c>
      <c r="X606" s="11">
        <f>IFERROR(V606/W606, 0)</f>
      </c>
    </row>
    <row r="607" spans="1:24" x14ac:dyDescent="0.25">
      <c r="A607" s="8" t="s">
        <v>554</v>
      </c>
      <c r="B607" s="8" t="s">
        <v>555</v>
      </c>
      <c r="C607" s="8" t="s">
        <v>92</v>
      </c>
      <c r="D607" s="8" t="s">
        <v>655</v>
      </c>
      <c r="E607" s="9">
        <v>1633</v>
      </c>
      <c r="F607" s="9">
        <v>1330.88</v>
      </c>
      <c r="G607" s="10">
        <v>89440</v>
      </c>
      <c r="H607" s="10">
        <v>39803.21444444444</v>
      </c>
      <c r="I607" s="11">
        <f>IFERROR(G607/H607, 0)</f>
      </c>
      <c r="J607" s="10">
        <v>164.05</v>
      </c>
      <c r="K607" s="10">
        <v>58</v>
      </c>
      <c r="L607" s="10">
        <v>89440</v>
      </c>
      <c r="M607" s="12">
        <f>IFERROR(L607/K607, 0)</f>
      </c>
      <c r="N607" s="13">
        <f>IFERROR(J607/K607, 0)</f>
      </c>
      <c r="O607" s="10">
        <v>0</v>
      </c>
      <c r="P607" s="10">
        <v>1108790</v>
      </c>
      <c r="Q607" s="10">
        <v>437835.3588888889</v>
      </c>
      <c r="R607" s="11">
        <f>IFERROR(P607/Q607, 0)</f>
      </c>
      <c r="S607" s="10">
        <v>15182740</v>
      </c>
      <c r="T607" s="10">
        <v>4962832.3688888885</v>
      </c>
      <c r="U607" s="11">
        <f>IFERROR(S607/T607, 0)</f>
      </c>
      <c r="V607" s="10">
        <f>IFERROR(S607/E607, 0)</f>
      </c>
      <c r="W607" s="10">
        <f>IFERROR(T607/F607, 0)</f>
      </c>
      <c r="X607" s="11">
        <f>IFERROR(V607/W607, 0)</f>
      </c>
    </row>
    <row r="608" spans="1:24" x14ac:dyDescent="0.25">
      <c r="A608" s="8" t="s">
        <v>554</v>
      </c>
      <c r="B608" s="8" t="s">
        <v>555</v>
      </c>
      <c r="C608" s="8" t="s">
        <v>92</v>
      </c>
      <c r="D608" s="8" t="s">
        <v>656</v>
      </c>
      <c r="E608" s="9">
        <v>303.27</v>
      </c>
      <c r="F608" s="9">
        <v>930.75</v>
      </c>
      <c r="G608" s="10">
        <v>24466</v>
      </c>
      <c r="H608" s="10">
        <v>27836.402222222223</v>
      </c>
      <c r="I608" s="11">
        <f>IFERROR(G608/H608, 0)</f>
      </c>
      <c r="J608" s="10">
        <v>0</v>
      </c>
      <c r="K608" s="10">
        <v>0</v>
      </c>
      <c r="L608" s="10">
        <v>24466</v>
      </c>
      <c r="M608" s="12">
        <f>IFERROR(L608/K608, 0)</f>
      </c>
      <c r="N608" s="13">
        <f>IFERROR(J608/K608, 0)</f>
      </c>
      <c r="O608" s="10">
        <v>0</v>
      </c>
      <c r="P608" s="10">
        <v>239659</v>
      </c>
      <c r="Q608" s="10">
        <v>306200.4244444444</v>
      </c>
      <c r="R608" s="11">
        <f>IFERROR(P608/Q608, 0)</f>
      </c>
      <c r="S608" s="10">
        <v>3101822</v>
      </c>
      <c r="T608" s="10">
        <v>3470759.8344444446</v>
      </c>
      <c r="U608" s="11">
        <f>IFERROR(S608/T608, 0)</f>
      </c>
      <c r="V608" s="10">
        <f>IFERROR(S608/E608, 0)</f>
      </c>
      <c r="W608" s="10">
        <f>IFERROR(T608/F608, 0)</f>
      </c>
      <c r="X608" s="11">
        <f>IFERROR(V608/W608, 0)</f>
      </c>
    </row>
    <row r="609" spans="1:24" x14ac:dyDescent="0.25">
      <c r="A609" s="8" t="s">
        <v>554</v>
      </c>
      <c r="B609" s="8" t="s">
        <v>555</v>
      </c>
      <c r="C609" s="8" t="s">
        <v>96</v>
      </c>
      <c r="D609" s="8" t="s">
        <v>657</v>
      </c>
      <c r="E609" s="9">
        <v>4236.03</v>
      </c>
      <c r="F609" s="9">
        <v>8112.74</v>
      </c>
      <c r="G609" s="10">
        <v>72030</v>
      </c>
      <c r="H609" s="10">
        <v>242631.08481481482</v>
      </c>
      <c r="I609" s="11">
        <f>IFERROR(G609/H609, 0)</f>
      </c>
      <c r="J609" s="10">
        <v>239.47</v>
      </c>
      <c r="K609" s="10">
        <v>83</v>
      </c>
      <c r="L609" s="10">
        <v>72030</v>
      </c>
      <c r="M609" s="12">
        <f>IFERROR(L609/K609, 0)</f>
      </c>
      <c r="N609" s="13">
        <f>IFERROR(J609/K609, 0)</f>
      </c>
      <c r="O609" s="10">
        <v>0</v>
      </c>
      <c r="P609" s="10">
        <v>1213050</v>
      </c>
      <c r="Q609" s="10">
        <v>2668941.932962963</v>
      </c>
      <c r="R609" s="11">
        <f>IFERROR(P609/Q609, 0)</f>
      </c>
      <c r="S609" s="10">
        <v>15911732</v>
      </c>
      <c r="T609" s="10">
        <v>30252265.25296296</v>
      </c>
      <c r="U609" s="11">
        <f>IFERROR(S609/T609, 0)</f>
      </c>
      <c r="V609" s="10">
        <f>IFERROR(S609/E609, 0)</f>
      </c>
      <c r="W609" s="10">
        <f>IFERROR(T609/F609, 0)</f>
      </c>
      <c r="X609" s="11">
        <f>IFERROR(V609/W609, 0)</f>
      </c>
    </row>
    <row r="610" spans="1:24" x14ac:dyDescent="0.25">
      <c r="A610" s="8" t="s">
        <v>554</v>
      </c>
      <c r="B610" s="8" t="s">
        <v>555</v>
      </c>
      <c r="C610" s="8" t="s">
        <v>96</v>
      </c>
      <c r="D610" s="8" t="s">
        <v>658</v>
      </c>
      <c r="E610" s="9">
        <v>0</v>
      </c>
      <c r="F610" s="9">
        <v>0</v>
      </c>
      <c r="G610" s="10">
        <v>0</v>
      </c>
      <c r="H610" s="10">
        <v>0</v>
      </c>
      <c r="I610" s="11">
        <f>IFERROR(G610/H610, 0)</f>
      </c>
      <c r="J610" s="10">
        <v>0</v>
      </c>
      <c r="K610" s="10">
        <v>0</v>
      </c>
      <c r="L610" s="10">
        <v>0</v>
      </c>
      <c r="M610" s="12">
        <f>IFERROR(L610/K610, 0)</f>
      </c>
      <c r="N610" s="13">
        <f>IFERROR(J610/K610, 0)</f>
      </c>
      <c r="O610" s="10">
        <v>0</v>
      </c>
      <c r="P610" s="10">
        <v>0</v>
      </c>
      <c r="Q610" s="10">
        <v>0</v>
      </c>
      <c r="R610" s="11">
        <f>IFERROR(P610/Q610, 0)</f>
      </c>
      <c r="S610" s="10">
        <v>0</v>
      </c>
      <c r="T610" s="10">
        <v>0</v>
      </c>
      <c r="U610" s="11">
        <f>IFERROR(S610/T610, 0)</f>
      </c>
      <c r="V610" s="10">
        <f>IFERROR(S610/E610, 0)</f>
      </c>
      <c r="W610" s="10">
        <f>IFERROR(T610/F610, 0)</f>
      </c>
      <c r="X610" s="11">
        <f>IFERROR(V610/W610, 0)</f>
      </c>
    </row>
    <row r="611" spans="1:24" x14ac:dyDescent="0.25">
      <c r="A611" s="8" t="s">
        <v>554</v>
      </c>
      <c r="B611" s="8" t="s">
        <v>555</v>
      </c>
      <c r="C611" s="8" t="s">
        <v>96</v>
      </c>
      <c r="D611" s="8" t="s">
        <v>659</v>
      </c>
      <c r="E611" s="9">
        <v>365.52</v>
      </c>
      <c r="F611" s="9">
        <v>365.52</v>
      </c>
      <c r="G611" s="10">
        <v>0</v>
      </c>
      <c r="H611" s="10">
        <v>10931.781111111111</v>
      </c>
      <c r="I611" s="11">
        <f>IFERROR(G611/H611, 0)</f>
      </c>
      <c r="J611" s="10">
        <v>0</v>
      </c>
      <c r="K611" s="10">
        <v>0</v>
      </c>
      <c r="L611" s="10">
        <v>0</v>
      </c>
      <c r="M611" s="12">
        <f>IFERROR(L611/K611, 0)</f>
      </c>
      <c r="N611" s="13">
        <f>IFERROR(J611/K611, 0)</f>
      </c>
      <c r="O611" s="10">
        <v>0</v>
      </c>
      <c r="P611" s="10">
        <v>0</v>
      </c>
      <c r="Q611" s="10">
        <v>120249.59222222221</v>
      </c>
      <c r="R611" s="11">
        <f>IFERROR(P611/Q611, 0)</f>
      </c>
      <c r="S611" s="10">
        <v>0</v>
      </c>
      <c r="T611" s="10">
        <v>1363020.4822222223</v>
      </c>
      <c r="U611" s="11">
        <f>IFERROR(S611/T611, 0)</f>
      </c>
      <c r="V611" s="10">
        <f>IFERROR(S611/E611, 0)</f>
      </c>
      <c r="W611" s="10">
        <f>IFERROR(T611/F611, 0)</f>
      </c>
      <c r="X611" s="11">
        <f>IFERROR(V611/W611, 0)</f>
      </c>
    </row>
    <row r="612" spans="1:24" x14ac:dyDescent="0.25">
      <c r="A612" s="14" t="s">
        <v>660</v>
      </c>
      <c r="B612" s="14"/>
      <c r="C612" s="14"/>
      <c r="D612" s="14"/>
      <c r="E612" s="15">
        <f>SUM(E508:E611)</f>
      </c>
      <c r="F612" s="15">
        <f>SUM(F508:F611)</f>
      </c>
      <c r="G612" s="16">
        <f>SUM(G508:G611)</f>
      </c>
      <c r="H612" s="16">
        <f>SUM(H508:H611)</f>
      </c>
      <c r="I612" s="17">
        <f>IFERROR(G612/H612, 0)</f>
      </c>
      <c r="J612" s="16">
        <f>SUM(J508:J611)</f>
      </c>
      <c r="K612" s="16">
        <f>SUM(K508:K611)</f>
      </c>
      <c r="L612" s="16">
        <f>SUM(L508:L611)</f>
      </c>
      <c r="M612" s="18">
        <f>IFERROR(L612/K612, 0)</f>
      </c>
      <c r="N612" s="19">
        <f>IFERROR(J612/K612, 0)</f>
      </c>
      <c r="O612" s="16">
        <f>SUM(O508:O611)</f>
      </c>
      <c r="P612" s="16">
        <f>SUM(P508:P611)</f>
      </c>
      <c r="Q612" s="16">
        <f>SUM(Q508:Q611)</f>
      </c>
      <c r="R612" s="17">
        <f>IFERROR(P612/Q612, 0)</f>
      </c>
      <c r="S612" s="16">
        <f>SUM(S508:S611)</f>
      </c>
      <c r="T612" s="16">
        <f>SUM(T508:T611)</f>
      </c>
      <c r="U612" s="17">
        <f>IFERROR(S612/T612, 0)</f>
      </c>
      <c r="V612" s="16">
        <f>IFERROR(S612/E612, 0)</f>
      </c>
      <c r="W612" s="16">
        <f>IFERROR(T612/F612, 0)</f>
      </c>
      <c r="X612" s="17">
        <f>IFERROR(V612/W612, 0)</f>
      </c>
    </row>
    <row r="613" spans="1:24" x14ac:dyDescent="0.25">
      <c r="A613" s="8" t="s">
        <v>554</v>
      </c>
      <c r="B613" s="8" t="s">
        <v>661</v>
      </c>
      <c r="C613" s="8" t="s">
        <v>60</v>
      </c>
      <c r="D613" s="8" t="s">
        <v>662</v>
      </c>
      <c r="E613" s="9">
        <v>0</v>
      </c>
      <c r="F613" s="9">
        <v>0</v>
      </c>
      <c r="G613" s="10">
        <v>0</v>
      </c>
      <c r="H613" s="10">
        <v>0</v>
      </c>
      <c r="I613" s="11">
        <f>IFERROR(G613/H613, 0)</f>
      </c>
      <c r="J613" s="10">
        <v>0</v>
      </c>
      <c r="K613" s="10">
        <v>0</v>
      </c>
      <c r="L613" s="10">
        <v>0</v>
      </c>
      <c r="M613" s="12">
        <f>IFERROR(L613/K613, 0)</f>
      </c>
      <c r="N613" s="13">
        <f>IFERROR(J613/K613, 0)</f>
      </c>
      <c r="O613" s="10">
        <v>0</v>
      </c>
      <c r="P613" s="10">
        <v>0</v>
      </c>
      <c r="Q613" s="10">
        <v>0</v>
      </c>
      <c r="R613" s="11">
        <f>IFERROR(P613/Q613, 0)</f>
      </c>
      <c r="S613" s="10">
        <v>0</v>
      </c>
      <c r="T613" s="10">
        <v>0</v>
      </c>
      <c r="U613" s="11">
        <f>IFERROR(S613/T613, 0)</f>
      </c>
      <c r="V613" s="10">
        <f>IFERROR(S613/E613, 0)</f>
      </c>
      <c r="W613" s="10">
        <f>IFERROR(T613/F613, 0)</f>
      </c>
      <c r="X613" s="11">
        <f>IFERROR(V613/W613, 0)</f>
      </c>
    </row>
    <row r="614" spans="1:24" x14ac:dyDescent="0.25">
      <c r="A614" s="8" t="s">
        <v>554</v>
      </c>
      <c r="B614" s="8" t="s">
        <v>661</v>
      </c>
      <c r="C614" s="8" t="s">
        <v>60</v>
      </c>
      <c r="D614" s="8" t="s">
        <v>663</v>
      </c>
      <c r="E614" s="9">
        <v>143.53</v>
      </c>
      <c r="F614" s="9">
        <v>334.05</v>
      </c>
      <c r="G614" s="10">
        <v>0</v>
      </c>
      <c r="H614" s="10">
        <v>9990.621111111112</v>
      </c>
      <c r="I614" s="11">
        <f>IFERROR(G614/H614, 0)</f>
      </c>
      <c r="J614" s="10">
        <v>0</v>
      </c>
      <c r="K614" s="10">
        <v>0</v>
      </c>
      <c r="L614" s="10">
        <v>0</v>
      </c>
      <c r="M614" s="12">
        <f>IFERROR(L614/K614, 0)</f>
      </c>
      <c r="N614" s="13">
        <f>IFERROR(J614/K614, 0)</f>
      </c>
      <c r="O614" s="10">
        <v>0</v>
      </c>
      <c r="P614" s="10">
        <v>0</v>
      </c>
      <c r="Q614" s="10">
        <v>109896.83222222222</v>
      </c>
      <c r="R614" s="11">
        <f>IFERROR(P614/Q614, 0)</f>
      </c>
      <c r="S614" s="10">
        <v>0</v>
      </c>
      <c r="T614" s="10">
        <v>1245672.7122222222</v>
      </c>
      <c r="U614" s="11">
        <f>IFERROR(S614/T614, 0)</f>
      </c>
      <c r="V614" s="10">
        <f>IFERROR(S614/E614, 0)</f>
      </c>
      <c r="W614" s="10">
        <f>IFERROR(T614/F614, 0)</f>
      </c>
      <c r="X614" s="11">
        <f>IFERROR(V614/W614, 0)</f>
      </c>
    </row>
    <row r="615" spans="1:24" x14ac:dyDescent="0.25">
      <c r="A615" s="8" t="s">
        <v>554</v>
      </c>
      <c r="B615" s="8" t="s">
        <v>661</v>
      </c>
      <c r="C615" s="8" t="s">
        <v>60</v>
      </c>
      <c r="D615" s="8" t="s">
        <v>664</v>
      </c>
      <c r="E615" s="9">
        <v>0</v>
      </c>
      <c r="F615" s="9">
        <v>0</v>
      </c>
      <c r="G615" s="10">
        <v>0</v>
      </c>
      <c r="H615" s="10">
        <v>0</v>
      </c>
      <c r="I615" s="11">
        <f>IFERROR(G615/H615, 0)</f>
      </c>
      <c r="J615" s="10">
        <v>0</v>
      </c>
      <c r="K615" s="10">
        <v>0</v>
      </c>
      <c r="L615" s="10">
        <v>0</v>
      </c>
      <c r="M615" s="12">
        <f>IFERROR(L615/K615, 0)</f>
      </c>
      <c r="N615" s="13">
        <f>IFERROR(J615/K615, 0)</f>
      </c>
      <c r="O615" s="10">
        <v>0</v>
      </c>
      <c r="P615" s="10">
        <v>0</v>
      </c>
      <c r="Q615" s="10">
        <v>0</v>
      </c>
      <c r="R615" s="11">
        <f>IFERROR(P615/Q615, 0)</f>
      </c>
      <c r="S615" s="10">
        <v>0</v>
      </c>
      <c r="T615" s="10">
        <v>0</v>
      </c>
      <c r="U615" s="11">
        <f>IFERROR(S615/T615, 0)</f>
      </c>
      <c r="V615" s="10">
        <f>IFERROR(S615/E615, 0)</f>
      </c>
      <c r="W615" s="10">
        <f>IFERROR(T615/F615, 0)</f>
      </c>
      <c r="X615" s="11">
        <f>IFERROR(V615/W615, 0)</f>
      </c>
    </row>
    <row r="616" spans="1:24" x14ac:dyDescent="0.25">
      <c r="A616" s="8" t="s">
        <v>554</v>
      </c>
      <c r="B616" s="8" t="s">
        <v>661</v>
      </c>
      <c r="C616" s="8" t="s">
        <v>60</v>
      </c>
      <c r="D616" s="8" t="s">
        <v>665</v>
      </c>
      <c r="E616" s="9">
        <v>2904.6</v>
      </c>
      <c r="F616" s="9">
        <v>2231.33</v>
      </c>
      <c r="G616" s="10">
        <v>33751</v>
      </c>
      <c r="H616" s="10">
        <v>66733.15777777777</v>
      </c>
      <c r="I616" s="11">
        <f>IFERROR(G616/H616, 0)</f>
      </c>
      <c r="J616" s="10">
        <v>100.96</v>
      </c>
      <c r="K616" s="10">
        <v>43</v>
      </c>
      <c r="L616" s="10">
        <v>34540</v>
      </c>
      <c r="M616" s="12">
        <f>IFERROR(L616/K616, 0)</f>
      </c>
      <c r="N616" s="13">
        <f>IFERROR(J616/K616, 0)</f>
      </c>
      <c r="O616" s="10">
        <v>789</v>
      </c>
      <c r="P616" s="10">
        <v>414843</v>
      </c>
      <c r="Q616" s="10">
        <v>734064.7355555556</v>
      </c>
      <c r="R616" s="11">
        <f>IFERROR(P616/Q616, 0)</f>
      </c>
      <c r="S616" s="10">
        <v>5553813</v>
      </c>
      <c r="T616" s="10">
        <v>8320571.115555556</v>
      </c>
      <c r="U616" s="11">
        <f>IFERROR(S616/T616, 0)</f>
      </c>
      <c r="V616" s="10">
        <f>IFERROR(S616/E616, 0)</f>
      </c>
      <c r="W616" s="10">
        <f>IFERROR(T616/F616, 0)</f>
      </c>
      <c r="X616" s="11">
        <f>IFERROR(V616/W616, 0)</f>
      </c>
    </row>
    <row r="617" spans="1:24" x14ac:dyDescent="0.25">
      <c r="A617" s="8" t="s">
        <v>554</v>
      </c>
      <c r="B617" s="8" t="s">
        <v>661</v>
      </c>
      <c r="C617" s="8" t="s">
        <v>60</v>
      </c>
      <c r="D617" s="8" t="s">
        <v>666</v>
      </c>
      <c r="E617" s="9">
        <v>155.94</v>
      </c>
      <c r="F617" s="9">
        <v>115.98</v>
      </c>
      <c r="G617" s="10">
        <v>0</v>
      </c>
      <c r="H617" s="10">
        <v>3468.7896296296294</v>
      </c>
      <c r="I617" s="11">
        <f>IFERROR(G617/H617, 0)</f>
      </c>
      <c r="J617" s="10">
        <v>0</v>
      </c>
      <c r="K617" s="10">
        <v>0</v>
      </c>
      <c r="L617" s="10">
        <v>0</v>
      </c>
      <c r="M617" s="12">
        <f>IFERROR(L617/K617, 0)</f>
      </c>
      <c r="N617" s="13">
        <f>IFERROR(J617/K617, 0)</f>
      </c>
      <c r="O617" s="10">
        <v>0</v>
      </c>
      <c r="P617" s="10">
        <v>0</v>
      </c>
      <c r="Q617" s="10">
        <v>38156.68592592593</v>
      </c>
      <c r="R617" s="11">
        <f>IFERROR(P617/Q617, 0)</f>
      </c>
      <c r="S617" s="10">
        <v>60685</v>
      </c>
      <c r="T617" s="10">
        <v>432503.29592592595</v>
      </c>
      <c r="U617" s="11">
        <f>IFERROR(S617/T617, 0)</f>
      </c>
      <c r="V617" s="10">
        <f>IFERROR(S617/E617, 0)</f>
      </c>
      <c r="W617" s="10">
        <f>IFERROR(T617/F617, 0)</f>
      </c>
      <c r="X617" s="11">
        <f>IFERROR(V617/W617, 0)</f>
      </c>
    </row>
    <row r="618" spans="1:24" x14ac:dyDescent="0.25">
      <c r="A618" s="8" t="s">
        <v>554</v>
      </c>
      <c r="B618" s="8" t="s">
        <v>661</v>
      </c>
      <c r="C618" s="8" t="s">
        <v>60</v>
      </c>
      <c r="D618" s="8" t="s">
        <v>667</v>
      </c>
      <c r="E618" s="9">
        <v>14.7</v>
      </c>
      <c r="F618" s="9">
        <v>12.65</v>
      </c>
      <c r="G618" s="10">
        <v>0</v>
      </c>
      <c r="H618" s="10">
        <v>378.37703703703704</v>
      </c>
      <c r="I618" s="11">
        <f>IFERROR(G618/H618, 0)</f>
      </c>
      <c r="J618" s="10">
        <v>0</v>
      </c>
      <c r="K618" s="10">
        <v>0</v>
      </c>
      <c r="L618" s="10">
        <v>0</v>
      </c>
      <c r="M618" s="12">
        <f>IFERROR(L618/K618, 0)</f>
      </c>
      <c r="N618" s="13">
        <f>IFERROR(J618/K618, 0)</f>
      </c>
      <c r="O618" s="10">
        <v>0</v>
      </c>
      <c r="P618" s="10">
        <v>0</v>
      </c>
      <c r="Q618" s="10">
        <v>4162.147407407408</v>
      </c>
      <c r="R618" s="11">
        <f>IFERROR(P618/Q618, 0)</f>
      </c>
      <c r="S618" s="10">
        <v>0</v>
      </c>
      <c r="T618" s="10">
        <v>47177.62740740741</v>
      </c>
      <c r="U618" s="11">
        <f>IFERROR(S618/T618, 0)</f>
      </c>
      <c r="V618" s="10">
        <f>IFERROR(S618/E618, 0)</f>
      </c>
      <c r="W618" s="10">
        <f>IFERROR(T618/F618, 0)</f>
      </c>
      <c r="X618" s="11">
        <f>IFERROR(V618/W618, 0)</f>
      </c>
    </row>
    <row r="619" spans="1:24" x14ac:dyDescent="0.25">
      <c r="A619" s="8" t="s">
        <v>554</v>
      </c>
      <c r="B619" s="8" t="s">
        <v>661</v>
      </c>
      <c r="C619" s="8" t="s">
        <v>60</v>
      </c>
      <c r="D619" s="8" t="s">
        <v>668</v>
      </c>
      <c r="E619" s="9">
        <v>2</v>
      </c>
      <c r="F619" s="9">
        <v>0</v>
      </c>
      <c r="G619" s="10">
        <v>0</v>
      </c>
      <c r="H619" s="10">
        <v>0</v>
      </c>
      <c r="I619" s="11">
        <f>IFERROR(G619/H619, 0)</f>
      </c>
      <c r="J619" s="10">
        <v>0</v>
      </c>
      <c r="K619" s="10">
        <v>0</v>
      </c>
      <c r="L619" s="10">
        <v>0</v>
      </c>
      <c r="M619" s="12">
        <f>IFERROR(L619/K619, 0)</f>
      </c>
      <c r="N619" s="13">
        <f>IFERROR(J619/K619, 0)</f>
      </c>
      <c r="O619" s="10">
        <v>0</v>
      </c>
      <c r="P619" s="10">
        <v>0</v>
      </c>
      <c r="Q619" s="10">
        <v>0</v>
      </c>
      <c r="R619" s="11">
        <f>IFERROR(P619/Q619, 0)</f>
      </c>
      <c r="S619" s="10">
        <v>0</v>
      </c>
      <c r="T619" s="10">
        <v>0</v>
      </c>
      <c r="U619" s="11">
        <f>IFERROR(S619/T619, 0)</f>
      </c>
      <c r="V619" s="10">
        <f>IFERROR(S619/E619, 0)</f>
      </c>
      <c r="W619" s="10">
        <f>IFERROR(T619/F619, 0)</f>
      </c>
      <c r="X619" s="11">
        <f>IFERROR(V619/W619, 0)</f>
      </c>
    </row>
    <row r="620" spans="1:24" x14ac:dyDescent="0.25">
      <c r="A620" s="8" t="s">
        <v>554</v>
      </c>
      <c r="B620" s="8" t="s">
        <v>661</v>
      </c>
      <c r="C620" s="8" t="s">
        <v>60</v>
      </c>
      <c r="D620" s="8" t="s">
        <v>669</v>
      </c>
      <c r="E620" s="9">
        <v>0</v>
      </c>
      <c r="F620" s="9">
        <v>0</v>
      </c>
      <c r="G620" s="10">
        <v>0</v>
      </c>
      <c r="H620" s="10">
        <v>0</v>
      </c>
      <c r="I620" s="11">
        <f>IFERROR(G620/H620, 0)</f>
      </c>
      <c r="J620" s="10">
        <v>0</v>
      </c>
      <c r="K620" s="10">
        <v>0</v>
      </c>
      <c r="L620" s="10">
        <v>0</v>
      </c>
      <c r="M620" s="12">
        <f>IFERROR(L620/K620, 0)</f>
      </c>
      <c r="N620" s="13">
        <f>IFERROR(J620/K620, 0)</f>
      </c>
      <c r="O620" s="10">
        <v>0</v>
      </c>
      <c r="P620" s="10">
        <v>0</v>
      </c>
      <c r="Q620" s="10">
        <v>0</v>
      </c>
      <c r="R620" s="11">
        <f>IFERROR(P620/Q620, 0)</f>
      </c>
      <c r="S620" s="10">
        <v>0</v>
      </c>
      <c r="T620" s="10">
        <v>0</v>
      </c>
      <c r="U620" s="11">
        <f>IFERROR(S620/T620, 0)</f>
      </c>
      <c r="V620" s="10">
        <f>IFERROR(S620/E620, 0)</f>
      </c>
      <c r="W620" s="10">
        <f>IFERROR(T620/F620, 0)</f>
      </c>
      <c r="X620" s="11">
        <f>IFERROR(V620/W620, 0)</f>
      </c>
    </row>
    <row r="621" spans="1:24" x14ac:dyDescent="0.25">
      <c r="A621" s="8" t="s">
        <v>554</v>
      </c>
      <c r="B621" s="8" t="s">
        <v>661</v>
      </c>
      <c r="C621" s="8" t="s">
        <v>60</v>
      </c>
      <c r="D621" s="8" t="s">
        <v>670</v>
      </c>
      <c r="E621" s="9">
        <v>0</v>
      </c>
      <c r="F621" s="9">
        <v>0</v>
      </c>
      <c r="G621" s="10">
        <v>0</v>
      </c>
      <c r="H621" s="10">
        <v>0</v>
      </c>
      <c r="I621" s="11">
        <f>IFERROR(G621/H621, 0)</f>
      </c>
      <c r="J621" s="10">
        <v>0</v>
      </c>
      <c r="K621" s="10">
        <v>0</v>
      </c>
      <c r="L621" s="10">
        <v>0</v>
      </c>
      <c r="M621" s="12">
        <f>IFERROR(L621/K621, 0)</f>
      </c>
      <c r="N621" s="13">
        <f>IFERROR(J621/K621, 0)</f>
      </c>
      <c r="O621" s="10">
        <v>0</v>
      </c>
      <c r="P621" s="10">
        <v>0</v>
      </c>
      <c r="Q621" s="10">
        <v>0</v>
      </c>
      <c r="R621" s="11">
        <f>IFERROR(P621/Q621, 0)</f>
      </c>
      <c r="S621" s="10">
        <v>0</v>
      </c>
      <c r="T621" s="10">
        <v>0</v>
      </c>
      <c r="U621" s="11">
        <f>IFERROR(S621/T621, 0)</f>
      </c>
      <c r="V621" s="10">
        <f>IFERROR(S621/E621, 0)</f>
      </c>
      <c r="W621" s="10">
        <f>IFERROR(T621/F621, 0)</f>
      </c>
      <c r="X621" s="11">
        <f>IFERROR(V621/W621, 0)</f>
      </c>
    </row>
    <row r="622" spans="1:24" x14ac:dyDescent="0.25">
      <c r="A622" s="8" t="s">
        <v>554</v>
      </c>
      <c r="B622" s="8" t="s">
        <v>661</v>
      </c>
      <c r="C622" s="8" t="s">
        <v>60</v>
      </c>
      <c r="D622" s="8" t="s">
        <v>671</v>
      </c>
      <c r="E622" s="9">
        <v>324.46</v>
      </c>
      <c r="F622" s="9">
        <v>0</v>
      </c>
      <c r="G622" s="10">
        <v>0</v>
      </c>
      <c r="H622" s="10">
        <v>0</v>
      </c>
      <c r="I622" s="11">
        <f>IFERROR(G622/H622, 0)</f>
      </c>
      <c r="J622" s="10">
        <v>13</v>
      </c>
      <c r="K622" s="10">
        <v>4</v>
      </c>
      <c r="L622" s="10">
        <v>3213</v>
      </c>
      <c r="M622" s="12">
        <f>IFERROR(L622/K622, 0)</f>
      </c>
      <c r="N622" s="13">
        <f>IFERROR(J622/K622, 0)</f>
      </c>
      <c r="O622" s="10">
        <v>3213</v>
      </c>
      <c r="P622" s="10">
        <v>48216</v>
      </c>
      <c r="Q622" s="10">
        <v>0</v>
      </c>
      <c r="R622" s="11">
        <f>IFERROR(P622/Q622, 0)</f>
      </c>
      <c r="S622" s="10">
        <v>169372</v>
      </c>
      <c r="T622" s="10">
        <v>0</v>
      </c>
      <c r="U622" s="11">
        <f>IFERROR(S622/T622, 0)</f>
      </c>
      <c r="V622" s="10">
        <f>IFERROR(S622/E622, 0)</f>
      </c>
      <c r="W622" s="10">
        <f>IFERROR(T622/F622, 0)</f>
      </c>
      <c r="X622" s="11">
        <f>IFERROR(V622/W622, 0)</f>
      </c>
    </row>
    <row r="623" spans="1:24" x14ac:dyDescent="0.25">
      <c r="A623" s="8" t="s">
        <v>554</v>
      </c>
      <c r="B623" s="8" t="s">
        <v>661</v>
      </c>
      <c r="C623" s="8" t="s">
        <v>60</v>
      </c>
      <c r="D623" s="8" t="s">
        <v>672</v>
      </c>
      <c r="E623" s="9">
        <v>22.19</v>
      </c>
      <c r="F623" s="9">
        <v>310.73</v>
      </c>
      <c r="G623" s="10">
        <v>0</v>
      </c>
      <c r="H623" s="10">
        <v>9293.037037037036</v>
      </c>
      <c r="I623" s="11">
        <f>IFERROR(G623/H623, 0)</f>
      </c>
      <c r="J623" s="10">
        <v>0</v>
      </c>
      <c r="K623" s="10">
        <v>0</v>
      </c>
      <c r="L623" s="10">
        <v>0</v>
      </c>
      <c r="M623" s="12">
        <f>IFERROR(L623/K623, 0)</f>
      </c>
      <c r="N623" s="13">
        <f>IFERROR(J623/K623, 0)</f>
      </c>
      <c r="O623" s="10">
        <v>0</v>
      </c>
      <c r="P623" s="10">
        <v>0</v>
      </c>
      <c r="Q623" s="10">
        <v>102223.4074074074</v>
      </c>
      <c r="R623" s="11">
        <f>IFERROR(P623/Q623, 0)</f>
      </c>
      <c r="S623" s="10">
        <v>0</v>
      </c>
      <c r="T623" s="10">
        <v>1158694.9974074075</v>
      </c>
      <c r="U623" s="11">
        <f>IFERROR(S623/T623, 0)</f>
      </c>
      <c r="V623" s="10">
        <f>IFERROR(S623/E623, 0)</f>
      </c>
      <c r="W623" s="10">
        <f>IFERROR(T623/F623, 0)</f>
      </c>
      <c r="X623" s="11">
        <f>IFERROR(V623/W623, 0)</f>
      </c>
    </row>
    <row r="624" spans="1:24" x14ac:dyDescent="0.25">
      <c r="A624" s="8" t="s">
        <v>554</v>
      </c>
      <c r="B624" s="8" t="s">
        <v>661</v>
      </c>
      <c r="C624" s="8" t="s">
        <v>60</v>
      </c>
      <c r="D624" s="8" t="s">
        <v>673</v>
      </c>
      <c r="E624" s="9">
        <v>54.09</v>
      </c>
      <c r="F624" s="9">
        <v>334.97</v>
      </c>
      <c r="G624" s="10">
        <v>0</v>
      </c>
      <c r="H624" s="10">
        <v>10017.981481481482</v>
      </c>
      <c r="I624" s="11">
        <f>IFERROR(G624/H624, 0)</f>
      </c>
      <c r="J624" s="10">
        <v>0</v>
      </c>
      <c r="K624" s="10">
        <v>0</v>
      </c>
      <c r="L624" s="10">
        <v>0</v>
      </c>
      <c r="M624" s="12">
        <f>IFERROR(L624/K624, 0)</f>
      </c>
      <c r="N624" s="13">
        <f>IFERROR(J624/K624, 0)</f>
      </c>
      <c r="O624" s="10">
        <v>0</v>
      </c>
      <c r="P624" s="10">
        <v>0</v>
      </c>
      <c r="Q624" s="10">
        <v>110197.79629629629</v>
      </c>
      <c r="R624" s="11">
        <f>IFERROR(P624/Q624, 0)</f>
      </c>
      <c r="S624" s="10">
        <v>0</v>
      </c>
      <c r="T624" s="10">
        <v>1249084.1362962963</v>
      </c>
      <c r="U624" s="11">
        <f>IFERROR(S624/T624, 0)</f>
      </c>
      <c r="V624" s="10">
        <f>IFERROR(S624/E624, 0)</f>
      </c>
      <c r="W624" s="10">
        <f>IFERROR(T624/F624, 0)</f>
      </c>
      <c r="X624" s="11">
        <f>IFERROR(V624/W624, 0)</f>
      </c>
    </row>
    <row r="625" spans="1:24" x14ac:dyDescent="0.25">
      <c r="A625" s="8" t="s">
        <v>554</v>
      </c>
      <c r="B625" s="8" t="s">
        <v>661</v>
      </c>
      <c r="C625" s="8" t="s">
        <v>60</v>
      </c>
      <c r="D625" s="8" t="s">
        <v>674</v>
      </c>
      <c r="E625" s="9">
        <v>10.44</v>
      </c>
      <c r="F625" s="9">
        <v>40.23</v>
      </c>
      <c r="G625" s="10">
        <v>0</v>
      </c>
      <c r="H625" s="10">
        <v>1203.1988888888889</v>
      </c>
      <c r="I625" s="11">
        <f>IFERROR(G625/H625, 0)</f>
      </c>
      <c r="J625" s="10">
        <v>0</v>
      </c>
      <c r="K625" s="10">
        <v>0</v>
      </c>
      <c r="L625" s="10">
        <v>0</v>
      </c>
      <c r="M625" s="12">
        <f>IFERROR(L625/K625, 0)</f>
      </c>
      <c r="N625" s="13">
        <f>IFERROR(J625/K625, 0)</f>
      </c>
      <c r="O625" s="10">
        <v>0</v>
      </c>
      <c r="P625" s="10">
        <v>0</v>
      </c>
      <c r="Q625" s="10">
        <v>13235.187777777777</v>
      </c>
      <c r="R625" s="11">
        <f>IFERROR(P625/Q625, 0)</f>
      </c>
      <c r="S625" s="10">
        <v>0</v>
      </c>
      <c r="T625" s="10">
        <v>150019.89777777778</v>
      </c>
      <c r="U625" s="11">
        <f>IFERROR(S625/T625, 0)</f>
      </c>
      <c r="V625" s="10">
        <f>IFERROR(S625/E625, 0)</f>
      </c>
      <c r="W625" s="10">
        <f>IFERROR(T625/F625, 0)</f>
      </c>
      <c r="X625" s="11">
        <f>IFERROR(V625/W625, 0)</f>
      </c>
    </row>
    <row r="626" spans="1:24" x14ac:dyDescent="0.25">
      <c r="A626" s="8" t="s">
        <v>554</v>
      </c>
      <c r="B626" s="8" t="s">
        <v>661</v>
      </c>
      <c r="C626" s="8" t="s">
        <v>60</v>
      </c>
      <c r="D626" s="8" t="s">
        <v>675</v>
      </c>
      <c r="E626" s="9">
        <v>873.05</v>
      </c>
      <c r="F626" s="9">
        <v>649.35</v>
      </c>
      <c r="G626" s="10">
        <v>0</v>
      </c>
      <c r="H626" s="10">
        <v>19420.46111111111</v>
      </c>
      <c r="I626" s="11">
        <f>IFERROR(G626/H626, 0)</f>
      </c>
      <c r="J626" s="10">
        <v>0</v>
      </c>
      <c r="K626" s="10">
        <v>0</v>
      </c>
      <c r="L626" s="10">
        <v>0</v>
      </c>
      <c r="M626" s="12">
        <f>IFERROR(L626/K626, 0)</f>
      </c>
      <c r="N626" s="13">
        <f>IFERROR(J626/K626, 0)</f>
      </c>
      <c r="O626" s="10">
        <v>0</v>
      </c>
      <c r="P626" s="10">
        <v>0</v>
      </c>
      <c r="Q626" s="10">
        <v>213625.07222222222</v>
      </c>
      <c r="R626" s="11">
        <f>IFERROR(P626/Q626, 0)</f>
      </c>
      <c r="S626" s="10">
        <v>0</v>
      </c>
      <c r="T626" s="10">
        <v>2421424.8722222224</v>
      </c>
      <c r="U626" s="11">
        <f>IFERROR(S626/T626, 0)</f>
      </c>
      <c r="V626" s="10">
        <f>IFERROR(S626/E626, 0)</f>
      </c>
      <c r="W626" s="10">
        <f>IFERROR(T626/F626, 0)</f>
      </c>
      <c r="X626" s="11">
        <f>IFERROR(V626/W626, 0)</f>
      </c>
    </row>
    <row r="627" spans="1:24" x14ac:dyDescent="0.25">
      <c r="A627" s="8" t="s">
        <v>554</v>
      </c>
      <c r="B627" s="8" t="s">
        <v>661</v>
      </c>
      <c r="C627" s="8" t="s">
        <v>60</v>
      </c>
      <c r="D627" s="8" t="s">
        <v>676</v>
      </c>
      <c r="E627" s="9">
        <v>4857.27</v>
      </c>
      <c r="F627" s="9">
        <v>3612.72</v>
      </c>
      <c r="G627" s="10">
        <v>0</v>
      </c>
      <c r="H627" s="10">
        <v>108046.98851851851</v>
      </c>
      <c r="I627" s="11">
        <f>IFERROR(G627/H627, 0)</f>
      </c>
      <c r="J627" s="10">
        <v>24</v>
      </c>
      <c r="K627" s="10">
        <v>6</v>
      </c>
      <c r="L627" s="10">
        <v>2250</v>
      </c>
      <c r="M627" s="12">
        <f>IFERROR(L627/K627, 0)</f>
      </c>
      <c r="N627" s="13">
        <f>IFERROR(J627/K627, 0)</f>
      </c>
      <c r="O627" s="10">
        <v>2250</v>
      </c>
      <c r="P627" s="10">
        <v>34785</v>
      </c>
      <c r="Q627" s="10">
        <v>1188516.8737037037</v>
      </c>
      <c r="R627" s="11">
        <f>IFERROR(P627/Q627, 0)</f>
      </c>
      <c r="S627" s="10">
        <v>318137</v>
      </c>
      <c r="T627" s="10">
        <v>13471753.483703705</v>
      </c>
      <c r="U627" s="11">
        <f>IFERROR(S627/T627, 0)</f>
      </c>
      <c r="V627" s="10">
        <f>IFERROR(S627/E627, 0)</f>
      </c>
      <c r="W627" s="10">
        <f>IFERROR(T627/F627, 0)</f>
      </c>
      <c r="X627" s="11">
        <f>IFERROR(V627/W627, 0)</f>
      </c>
    </row>
    <row r="628" spans="1:24" x14ac:dyDescent="0.25">
      <c r="A628" s="8" t="s">
        <v>554</v>
      </c>
      <c r="B628" s="8" t="s">
        <v>661</v>
      </c>
      <c r="C628" s="8" t="s">
        <v>60</v>
      </c>
      <c r="D628" s="8" t="s">
        <v>677</v>
      </c>
      <c r="E628" s="9">
        <v>0</v>
      </c>
      <c r="F628" s="9">
        <v>0</v>
      </c>
      <c r="G628" s="10">
        <v>0</v>
      </c>
      <c r="H628" s="10">
        <v>0</v>
      </c>
      <c r="I628" s="11">
        <f>IFERROR(G628/H628, 0)</f>
      </c>
      <c r="J628" s="10">
        <v>0</v>
      </c>
      <c r="K628" s="10">
        <v>0</v>
      </c>
      <c r="L628" s="10">
        <v>0</v>
      </c>
      <c r="M628" s="12">
        <f>IFERROR(L628/K628, 0)</f>
      </c>
      <c r="N628" s="13">
        <f>IFERROR(J628/K628, 0)</f>
      </c>
      <c r="O628" s="10">
        <v>0</v>
      </c>
      <c r="P628" s="10">
        <v>0</v>
      </c>
      <c r="Q628" s="10">
        <v>0</v>
      </c>
      <c r="R628" s="11">
        <f>IFERROR(P628/Q628, 0)</f>
      </c>
      <c r="S628" s="10">
        <v>0</v>
      </c>
      <c r="T628" s="10">
        <v>0</v>
      </c>
      <c r="U628" s="11">
        <f>IFERROR(S628/T628, 0)</f>
      </c>
      <c r="V628" s="10">
        <f>IFERROR(S628/E628, 0)</f>
      </c>
      <c r="W628" s="10">
        <f>IFERROR(T628/F628, 0)</f>
      </c>
      <c r="X628" s="11">
        <f>IFERROR(V628/W628, 0)</f>
      </c>
    </row>
    <row r="629" spans="1:24" x14ac:dyDescent="0.25">
      <c r="A629" s="8" t="s">
        <v>554</v>
      </c>
      <c r="B629" s="8" t="s">
        <v>661</v>
      </c>
      <c r="C629" s="8" t="s">
        <v>60</v>
      </c>
      <c r="D629" s="8" t="s">
        <v>678</v>
      </c>
      <c r="E629" s="9">
        <v>10</v>
      </c>
      <c r="F629" s="9">
        <v>0</v>
      </c>
      <c r="G629" s="10">
        <v>0</v>
      </c>
      <c r="H629" s="10">
        <v>0</v>
      </c>
      <c r="I629" s="11">
        <f>IFERROR(G629/H629, 0)</f>
      </c>
      <c r="J629" s="10">
        <v>0</v>
      </c>
      <c r="K629" s="10">
        <v>0</v>
      </c>
      <c r="L629" s="10">
        <v>0</v>
      </c>
      <c r="M629" s="12">
        <f>IFERROR(L629/K629, 0)</f>
      </c>
      <c r="N629" s="13">
        <f>IFERROR(J629/K629, 0)</f>
      </c>
      <c r="O629" s="10">
        <v>0</v>
      </c>
      <c r="P629" s="10">
        <v>0</v>
      </c>
      <c r="Q629" s="10">
        <v>0</v>
      </c>
      <c r="R629" s="11">
        <f>IFERROR(P629/Q629, 0)</f>
      </c>
      <c r="S629" s="10">
        <v>0</v>
      </c>
      <c r="T629" s="10">
        <v>0</v>
      </c>
      <c r="U629" s="11">
        <f>IFERROR(S629/T629, 0)</f>
      </c>
      <c r="V629" s="10">
        <f>IFERROR(S629/E629, 0)</f>
      </c>
      <c r="W629" s="10">
        <f>IFERROR(T629/F629, 0)</f>
      </c>
      <c r="X629" s="11">
        <f>IFERROR(V629/W629, 0)</f>
      </c>
    </row>
    <row r="630" spans="1:24" x14ac:dyDescent="0.25">
      <c r="A630" s="8" t="s">
        <v>554</v>
      </c>
      <c r="B630" s="8" t="s">
        <v>661</v>
      </c>
      <c r="C630" s="8" t="s">
        <v>62</v>
      </c>
      <c r="D630" s="8" t="s">
        <v>679</v>
      </c>
      <c r="E630" s="9">
        <v>0</v>
      </c>
      <c r="F630" s="9">
        <v>0</v>
      </c>
      <c r="G630" s="10">
        <v>0</v>
      </c>
      <c r="H630" s="10">
        <v>0</v>
      </c>
      <c r="I630" s="11">
        <f>IFERROR(G630/H630, 0)</f>
      </c>
      <c r="J630" s="10">
        <v>0</v>
      </c>
      <c r="K630" s="10">
        <v>0</v>
      </c>
      <c r="L630" s="10">
        <v>0</v>
      </c>
      <c r="M630" s="12">
        <f>IFERROR(L630/K630, 0)</f>
      </c>
      <c r="N630" s="13">
        <f>IFERROR(J630/K630, 0)</f>
      </c>
      <c r="O630" s="10">
        <v>0</v>
      </c>
      <c r="P630" s="10">
        <v>0</v>
      </c>
      <c r="Q630" s="10">
        <v>0</v>
      </c>
      <c r="R630" s="11">
        <f>IFERROR(P630/Q630, 0)</f>
      </c>
      <c r="S630" s="10">
        <v>0</v>
      </c>
      <c r="T630" s="10">
        <v>0</v>
      </c>
      <c r="U630" s="11">
        <f>IFERROR(S630/T630, 0)</f>
      </c>
      <c r="V630" s="10">
        <f>IFERROR(S630/E630, 0)</f>
      </c>
      <c r="W630" s="10">
        <f>IFERROR(T630/F630, 0)</f>
      </c>
      <c r="X630" s="11">
        <f>IFERROR(V630/W630, 0)</f>
      </c>
    </row>
    <row r="631" spans="1:24" x14ac:dyDescent="0.25">
      <c r="A631" s="8" t="s">
        <v>554</v>
      </c>
      <c r="B631" s="8" t="s">
        <v>661</v>
      </c>
      <c r="C631" s="8" t="s">
        <v>62</v>
      </c>
      <c r="D631" s="8" t="s">
        <v>680</v>
      </c>
      <c r="E631" s="9">
        <v>28</v>
      </c>
      <c r="F631" s="9">
        <v>0</v>
      </c>
      <c r="G631" s="10">
        <v>0</v>
      </c>
      <c r="H631" s="10">
        <v>0</v>
      </c>
      <c r="I631" s="11">
        <f>IFERROR(G631/H631, 0)</f>
      </c>
      <c r="J631" s="10">
        <v>0</v>
      </c>
      <c r="K631" s="10">
        <v>0</v>
      </c>
      <c r="L631" s="10">
        <v>0</v>
      </c>
      <c r="M631" s="12">
        <f>IFERROR(L631/K631, 0)</f>
      </c>
      <c r="N631" s="13">
        <f>IFERROR(J631/K631, 0)</f>
      </c>
      <c r="O631" s="10">
        <v>0</v>
      </c>
      <c r="P631" s="10">
        <v>0</v>
      </c>
      <c r="Q631" s="10">
        <v>0</v>
      </c>
      <c r="R631" s="11">
        <f>IFERROR(P631/Q631, 0)</f>
      </c>
      <c r="S631" s="10">
        <v>0</v>
      </c>
      <c r="T631" s="10">
        <v>0</v>
      </c>
      <c r="U631" s="11">
        <f>IFERROR(S631/T631, 0)</f>
      </c>
      <c r="V631" s="10">
        <f>IFERROR(S631/E631, 0)</f>
      </c>
      <c r="W631" s="10">
        <f>IFERROR(T631/F631, 0)</f>
      </c>
      <c r="X631" s="11">
        <f>IFERROR(V631/W631, 0)</f>
      </c>
    </row>
    <row r="632" spans="1:24" x14ac:dyDescent="0.25">
      <c r="A632" s="8" t="s">
        <v>554</v>
      </c>
      <c r="B632" s="8" t="s">
        <v>661</v>
      </c>
      <c r="C632" s="8" t="s">
        <v>62</v>
      </c>
      <c r="D632" s="8" t="s">
        <v>681</v>
      </c>
      <c r="E632" s="9">
        <v>0.19</v>
      </c>
      <c r="F632" s="9">
        <v>0.14</v>
      </c>
      <c r="G632" s="10">
        <v>0</v>
      </c>
      <c r="H632" s="10">
        <v>4.226296296296296</v>
      </c>
      <c r="I632" s="11">
        <f>IFERROR(G632/H632, 0)</f>
      </c>
      <c r="J632" s="10">
        <v>0</v>
      </c>
      <c r="K632" s="10">
        <v>0</v>
      </c>
      <c r="L632" s="10">
        <v>0</v>
      </c>
      <c r="M632" s="12">
        <f>IFERROR(L632/K632, 0)</f>
      </c>
      <c r="N632" s="13">
        <f>IFERROR(J632/K632, 0)</f>
      </c>
      <c r="O632" s="10">
        <v>0</v>
      </c>
      <c r="P632" s="10">
        <v>0</v>
      </c>
      <c r="Q632" s="10">
        <v>46.489259259259256</v>
      </c>
      <c r="R632" s="11">
        <f>IFERROR(P632/Q632, 0)</f>
      </c>
      <c r="S632" s="10">
        <v>0</v>
      </c>
      <c r="T632" s="10">
        <v>526.9592592592593</v>
      </c>
      <c r="U632" s="11">
        <f>IFERROR(S632/T632, 0)</f>
      </c>
      <c r="V632" s="10">
        <f>IFERROR(S632/E632, 0)</f>
      </c>
      <c r="W632" s="10">
        <f>IFERROR(T632/F632, 0)</f>
      </c>
      <c r="X632" s="11">
        <f>IFERROR(V632/W632, 0)</f>
      </c>
    </row>
    <row r="633" spans="1:24" x14ac:dyDescent="0.25">
      <c r="A633" s="8" t="s">
        <v>554</v>
      </c>
      <c r="B633" s="8" t="s">
        <v>661</v>
      </c>
      <c r="C633" s="8" t="s">
        <v>62</v>
      </c>
      <c r="D633" s="8" t="s">
        <v>682</v>
      </c>
      <c r="E633" s="9">
        <v>33.34</v>
      </c>
      <c r="F633" s="9">
        <v>0</v>
      </c>
      <c r="G633" s="10">
        <v>0</v>
      </c>
      <c r="H633" s="10">
        <v>0</v>
      </c>
      <c r="I633" s="11">
        <f>IFERROR(G633/H633, 0)</f>
      </c>
      <c r="J633" s="10">
        <v>0</v>
      </c>
      <c r="K633" s="10">
        <v>0</v>
      </c>
      <c r="L633" s="10">
        <v>0</v>
      </c>
      <c r="M633" s="12">
        <f>IFERROR(L633/K633, 0)</f>
      </c>
      <c r="N633" s="13">
        <f>IFERROR(J633/K633, 0)</f>
      </c>
      <c r="O633" s="10">
        <v>0</v>
      </c>
      <c r="P633" s="10">
        <v>0</v>
      </c>
      <c r="Q633" s="10">
        <v>0</v>
      </c>
      <c r="R633" s="11">
        <f>IFERROR(P633/Q633, 0)</f>
      </c>
      <c r="S633" s="10">
        <v>0</v>
      </c>
      <c r="T633" s="10">
        <v>0</v>
      </c>
      <c r="U633" s="11">
        <f>IFERROR(S633/T633, 0)</f>
      </c>
      <c r="V633" s="10">
        <f>IFERROR(S633/E633, 0)</f>
      </c>
      <c r="W633" s="10">
        <f>IFERROR(T633/F633, 0)</f>
      </c>
      <c r="X633" s="11">
        <f>IFERROR(V633/W633, 0)</f>
      </c>
    </row>
    <row r="634" spans="1:24" x14ac:dyDescent="0.25">
      <c r="A634" s="8" t="s">
        <v>554</v>
      </c>
      <c r="B634" s="8" t="s">
        <v>661</v>
      </c>
      <c r="C634" s="8" t="s">
        <v>62</v>
      </c>
      <c r="D634" s="8" t="s">
        <v>683</v>
      </c>
      <c r="E634" s="9">
        <v>0</v>
      </c>
      <c r="F634" s="9">
        <v>0</v>
      </c>
      <c r="G634" s="10">
        <v>0</v>
      </c>
      <c r="H634" s="10">
        <v>0</v>
      </c>
      <c r="I634" s="11">
        <f>IFERROR(G634/H634, 0)</f>
      </c>
      <c r="J634" s="10">
        <v>0</v>
      </c>
      <c r="K634" s="10">
        <v>0</v>
      </c>
      <c r="L634" s="10">
        <v>0</v>
      </c>
      <c r="M634" s="12">
        <f>IFERROR(L634/K634, 0)</f>
      </c>
      <c r="N634" s="13">
        <f>IFERROR(J634/K634, 0)</f>
      </c>
      <c r="O634" s="10">
        <v>0</v>
      </c>
      <c r="P634" s="10">
        <v>0</v>
      </c>
      <c r="Q634" s="10">
        <v>0</v>
      </c>
      <c r="R634" s="11">
        <f>IFERROR(P634/Q634, 0)</f>
      </c>
      <c r="S634" s="10">
        <v>0</v>
      </c>
      <c r="T634" s="10">
        <v>0</v>
      </c>
      <c r="U634" s="11">
        <f>IFERROR(S634/T634, 0)</f>
      </c>
      <c r="V634" s="10">
        <f>IFERROR(S634/E634, 0)</f>
      </c>
      <c r="W634" s="10">
        <f>IFERROR(T634/F634, 0)</f>
      </c>
      <c r="X634" s="11">
        <f>IFERROR(V634/W634, 0)</f>
      </c>
    </row>
    <row r="635" spans="1:24" x14ac:dyDescent="0.25">
      <c r="A635" s="8" t="s">
        <v>554</v>
      </c>
      <c r="B635" s="8" t="s">
        <v>661</v>
      </c>
      <c r="C635" s="8" t="s">
        <v>62</v>
      </c>
      <c r="D635" s="8" t="s">
        <v>684</v>
      </c>
      <c r="E635" s="9">
        <v>0</v>
      </c>
      <c r="F635" s="9">
        <v>0</v>
      </c>
      <c r="G635" s="10">
        <v>0</v>
      </c>
      <c r="H635" s="10">
        <v>0</v>
      </c>
      <c r="I635" s="11">
        <f>IFERROR(G635/H635, 0)</f>
      </c>
      <c r="J635" s="10">
        <v>0</v>
      </c>
      <c r="K635" s="10">
        <v>0</v>
      </c>
      <c r="L635" s="10">
        <v>0</v>
      </c>
      <c r="M635" s="12">
        <f>IFERROR(L635/K635, 0)</f>
      </c>
      <c r="N635" s="13">
        <f>IFERROR(J635/K635, 0)</f>
      </c>
      <c r="O635" s="10">
        <v>0</v>
      </c>
      <c r="P635" s="10">
        <v>0</v>
      </c>
      <c r="Q635" s="10">
        <v>0</v>
      </c>
      <c r="R635" s="11">
        <f>IFERROR(P635/Q635, 0)</f>
      </c>
      <c r="S635" s="10">
        <v>0</v>
      </c>
      <c r="T635" s="10">
        <v>0</v>
      </c>
      <c r="U635" s="11">
        <f>IFERROR(S635/T635, 0)</f>
      </c>
      <c r="V635" s="10">
        <f>IFERROR(S635/E635, 0)</f>
      </c>
      <c r="W635" s="10">
        <f>IFERROR(T635/F635, 0)</f>
      </c>
      <c r="X635" s="11">
        <f>IFERROR(V635/W635, 0)</f>
      </c>
    </row>
    <row r="636" spans="1:24" x14ac:dyDescent="0.25">
      <c r="A636" s="8" t="s">
        <v>554</v>
      </c>
      <c r="B636" s="8" t="s">
        <v>661</v>
      </c>
      <c r="C636" s="8" t="s">
        <v>62</v>
      </c>
      <c r="D636" s="8" t="s">
        <v>685</v>
      </c>
      <c r="E636" s="9">
        <v>0</v>
      </c>
      <c r="F636" s="9">
        <v>0.03</v>
      </c>
      <c r="G636" s="10">
        <v>0</v>
      </c>
      <c r="H636" s="10">
        <v>0.8896296296296297</v>
      </c>
      <c r="I636" s="11">
        <f>IFERROR(G636/H636, 0)</f>
      </c>
      <c r="J636" s="10">
        <v>0</v>
      </c>
      <c r="K636" s="10">
        <v>0</v>
      </c>
      <c r="L636" s="10">
        <v>0</v>
      </c>
      <c r="M636" s="12">
        <f>IFERROR(L636/K636, 0)</f>
      </c>
      <c r="N636" s="13">
        <f>IFERROR(J636/K636, 0)</f>
      </c>
      <c r="O636" s="10">
        <v>0</v>
      </c>
      <c r="P636" s="10">
        <v>0</v>
      </c>
      <c r="Q636" s="10">
        <v>9.785925925925927</v>
      </c>
      <c r="R636" s="11">
        <f>IFERROR(P636/Q636, 0)</f>
      </c>
      <c r="S636" s="10">
        <v>0</v>
      </c>
      <c r="T636" s="10">
        <v>110.94592592592592</v>
      </c>
      <c r="U636" s="11">
        <f>IFERROR(S636/T636, 0)</f>
      </c>
      <c r="V636" s="10">
        <f>IFERROR(S636/E636, 0)</f>
      </c>
      <c r="W636" s="10">
        <f>IFERROR(T636/F636, 0)</f>
      </c>
      <c r="X636" s="11">
        <f>IFERROR(V636/W636, 0)</f>
      </c>
    </row>
    <row r="637" spans="1:24" x14ac:dyDescent="0.25">
      <c r="A637" s="8" t="s">
        <v>554</v>
      </c>
      <c r="B637" s="8" t="s">
        <v>661</v>
      </c>
      <c r="C637" s="8" t="s">
        <v>62</v>
      </c>
      <c r="D637" s="8" t="s">
        <v>686</v>
      </c>
      <c r="E637" s="9">
        <v>0</v>
      </c>
      <c r="F637" s="9">
        <v>0</v>
      </c>
      <c r="G637" s="10">
        <v>0</v>
      </c>
      <c r="H637" s="10">
        <v>0</v>
      </c>
      <c r="I637" s="11">
        <f>IFERROR(G637/H637, 0)</f>
      </c>
      <c r="J637" s="10">
        <v>0</v>
      </c>
      <c r="K637" s="10">
        <v>0</v>
      </c>
      <c r="L637" s="10">
        <v>0</v>
      </c>
      <c r="M637" s="12">
        <f>IFERROR(L637/K637, 0)</f>
      </c>
      <c r="N637" s="13">
        <f>IFERROR(J637/K637, 0)</f>
      </c>
      <c r="O637" s="10">
        <v>0</v>
      </c>
      <c r="P637" s="10">
        <v>0</v>
      </c>
      <c r="Q637" s="10">
        <v>0</v>
      </c>
      <c r="R637" s="11">
        <f>IFERROR(P637/Q637, 0)</f>
      </c>
      <c r="S637" s="10">
        <v>0</v>
      </c>
      <c r="T637" s="10">
        <v>0</v>
      </c>
      <c r="U637" s="11">
        <f>IFERROR(S637/T637, 0)</f>
      </c>
      <c r="V637" s="10">
        <f>IFERROR(S637/E637, 0)</f>
      </c>
      <c r="W637" s="10">
        <f>IFERROR(T637/F637, 0)</f>
      </c>
      <c r="X637" s="11">
        <f>IFERROR(V637/W637, 0)</f>
      </c>
    </row>
    <row r="638" spans="1:24" x14ac:dyDescent="0.25">
      <c r="A638" s="8" t="s">
        <v>554</v>
      </c>
      <c r="B638" s="8" t="s">
        <v>661</v>
      </c>
      <c r="C638" s="8" t="s">
        <v>62</v>
      </c>
      <c r="D638" s="8" t="s">
        <v>687</v>
      </c>
      <c r="E638" s="9">
        <v>0</v>
      </c>
      <c r="F638" s="9">
        <v>0</v>
      </c>
      <c r="G638" s="10">
        <v>0</v>
      </c>
      <c r="H638" s="10">
        <v>0</v>
      </c>
      <c r="I638" s="11">
        <f>IFERROR(G638/H638, 0)</f>
      </c>
      <c r="J638" s="10">
        <v>0</v>
      </c>
      <c r="K638" s="10">
        <v>0</v>
      </c>
      <c r="L638" s="10">
        <v>0</v>
      </c>
      <c r="M638" s="12">
        <f>IFERROR(L638/K638, 0)</f>
      </c>
      <c r="N638" s="13">
        <f>IFERROR(J638/K638, 0)</f>
      </c>
      <c r="O638" s="10">
        <v>0</v>
      </c>
      <c r="P638" s="10">
        <v>0</v>
      </c>
      <c r="Q638" s="10">
        <v>0</v>
      </c>
      <c r="R638" s="11">
        <f>IFERROR(P638/Q638, 0)</f>
      </c>
      <c r="S638" s="10">
        <v>0</v>
      </c>
      <c r="T638" s="10">
        <v>0</v>
      </c>
      <c r="U638" s="11">
        <f>IFERROR(S638/T638, 0)</f>
      </c>
      <c r="V638" s="10">
        <f>IFERROR(S638/E638, 0)</f>
      </c>
      <c r="W638" s="10">
        <f>IFERROR(T638/F638, 0)</f>
      </c>
      <c r="X638" s="11">
        <f>IFERROR(V638/W638, 0)</f>
      </c>
    </row>
    <row r="639" spans="1:24" x14ac:dyDescent="0.25">
      <c r="A639" s="8" t="s">
        <v>554</v>
      </c>
      <c r="B639" s="8" t="s">
        <v>661</v>
      </c>
      <c r="C639" s="8" t="s">
        <v>62</v>
      </c>
      <c r="D639" s="8" t="s">
        <v>688</v>
      </c>
      <c r="E639" s="9">
        <v>0</v>
      </c>
      <c r="F639" s="9">
        <v>0</v>
      </c>
      <c r="G639" s="10">
        <v>0</v>
      </c>
      <c r="H639" s="10">
        <v>0</v>
      </c>
      <c r="I639" s="11">
        <f>IFERROR(G639/H639, 0)</f>
      </c>
      <c r="J639" s="10">
        <v>0</v>
      </c>
      <c r="K639" s="10">
        <v>0</v>
      </c>
      <c r="L639" s="10">
        <v>0</v>
      </c>
      <c r="M639" s="12">
        <f>IFERROR(L639/K639, 0)</f>
      </c>
      <c r="N639" s="13">
        <f>IFERROR(J639/K639, 0)</f>
      </c>
      <c r="O639" s="10">
        <v>0</v>
      </c>
      <c r="P639" s="10">
        <v>0</v>
      </c>
      <c r="Q639" s="10">
        <v>0</v>
      </c>
      <c r="R639" s="11">
        <f>IFERROR(P639/Q639, 0)</f>
      </c>
      <c r="S639" s="10">
        <v>0</v>
      </c>
      <c r="T639" s="10">
        <v>0</v>
      </c>
      <c r="U639" s="11">
        <f>IFERROR(S639/T639, 0)</f>
      </c>
      <c r="V639" s="10">
        <f>IFERROR(S639/E639, 0)</f>
      </c>
      <c r="W639" s="10">
        <f>IFERROR(T639/F639, 0)</f>
      </c>
      <c r="X639" s="11">
        <f>IFERROR(V639/W639, 0)</f>
      </c>
    </row>
    <row r="640" spans="1:24" x14ac:dyDescent="0.25">
      <c r="A640" s="8" t="s">
        <v>554</v>
      </c>
      <c r="B640" s="8" t="s">
        <v>661</v>
      </c>
      <c r="C640" s="8" t="s">
        <v>62</v>
      </c>
      <c r="D640" s="8" t="s">
        <v>689</v>
      </c>
      <c r="E640" s="9">
        <v>23.58</v>
      </c>
      <c r="F640" s="9">
        <v>17.54</v>
      </c>
      <c r="G640" s="10">
        <v>0</v>
      </c>
      <c r="H640" s="10">
        <v>524.5225925925926</v>
      </c>
      <c r="I640" s="11">
        <f>IFERROR(G640/H640, 0)</f>
      </c>
      <c r="J640" s="10">
        <v>0</v>
      </c>
      <c r="K640" s="10">
        <v>0</v>
      </c>
      <c r="L640" s="10">
        <v>0</v>
      </c>
      <c r="M640" s="12">
        <f>IFERROR(L640/K640, 0)</f>
      </c>
      <c r="N640" s="13">
        <f>IFERROR(J640/K640, 0)</f>
      </c>
      <c r="O640" s="10">
        <v>0</v>
      </c>
      <c r="P640" s="10">
        <v>0</v>
      </c>
      <c r="Q640" s="10">
        <v>5769.748518518519</v>
      </c>
      <c r="R640" s="11">
        <f>IFERROR(P640/Q640, 0)</f>
      </c>
      <c r="S640" s="10">
        <v>0</v>
      </c>
      <c r="T640" s="10">
        <v>65399.68851851852</v>
      </c>
      <c r="U640" s="11">
        <f>IFERROR(S640/T640, 0)</f>
      </c>
      <c r="V640" s="10">
        <f>IFERROR(S640/E640, 0)</f>
      </c>
      <c r="W640" s="10">
        <f>IFERROR(T640/F640, 0)</f>
      </c>
      <c r="X640" s="11">
        <f>IFERROR(V640/W640, 0)</f>
      </c>
    </row>
    <row r="641" spans="1:24" x14ac:dyDescent="0.25">
      <c r="A641" s="8" t="s">
        <v>554</v>
      </c>
      <c r="B641" s="8" t="s">
        <v>661</v>
      </c>
      <c r="C641" s="8" t="s">
        <v>62</v>
      </c>
      <c r="D641" s="8" t="s">
        <v>690</v>
      </c>
      <c r="E641" s="9">
        <v>1397</v>
      </c>
      <c r="F641" s="9">
        <v>0.1</v>
      </c>
      <c r="G641" s="10">
        <v>0</v>
      </c>
      <c r="H641" s="10">
        <v>3.114074074074074</v>
      </c>
      <c r="I641" s="11">
        <f>IFERROR(G641/H641, 0)</f>
      </c>
      <c r="J641" s="10">
        <v>0</v>
      </c>
      <c r="K641" s="10">
        <v>0</v>
      </c>
      <c r="L641" s="10">
        <v>0</v>
      </c>
      <c r="M641" s="12">
        <f>IFERROR(L641/K641, 0)</f>
      </c>
      <c r="N641" s="13">
        <f>IFERROR(J641/K641, 0)</f>
      </c>
      <c r="O641" s="10">
        <v>0</v>
      </c>
      <c r="P641" s="10">
        <v>0</v>
      </c>
      <c r="Q641" s="10">
        <v>34.254814814814814</v>
      </c>
      <c r="R641" s="11">
        <f>IFERROR(P641/Q641, 0)</f>
      </c>
      <c r="S641" s="10">
        <v>0</v>
      </c>
      <c r="T641" s="10">
        <v>388.2948148148148</v>
      </c>
      <c r="U641" s="11">
        <f>IFERROR(S641/T641, 0)</f>
      </c>
      <c r="V641" s="10">
        <f>IFERROR(S641/E641, 0)</f>
      </c>
      <c r="W641" s="10">
        <f>IFERROR(T641/F641, 0)</f>
      </c>
      <c r="X641" s="11">
        <f>IFERROR(V641/W641, 0)</f>
      </c>
    </row>
    <row r="642" spans="1:24" x14ac:dyDescent="0.25">
      <c r="A642" s="8" t="s">
        <v>554</v>
      </c>
      <c r="B642" s="8" t="s">
        <v>661</v>
      </c>
      <c r="C642" s="8" t="s">
        <v>62</v>
      </c>
      <c r="D642" s="8" t="s">
        <v>691</v>
      </c>
      <c r="E642" s="9">
        <v>4.38</v>
      </c>
      <c r="F642" s="9">
        <v>7.53</v>
      </c>
      <c r="G642" s="10">
        <v>0</v>
      </c>
      <c r="H642" s="10">
        <v>225.33555555555554</v>
      </c>
      <c r="I642" s="11">
        <f>IFERROR(G642/H642, 0)</f>
      </c>
      <c r="J642" s="10">
        <v>0</v>
      </c>
      <c r="K642" s="10">
        <v>0</v>
      </c>
      <c r="L642" s="10">
        <v>0</v>
      </c>
      <c r="M642" s="12">
        <f>IFERROR(L642/K642, 0)</f>
      </c>
      <c r="N642" s="13">
        <f>IFERROR(J642/K642, 0)</f>
      </c>
      <c r="O642" s="10">
        <v>0</v>
      </c>
      <c r="P642" s="10">
        <v>0</v>
      </c>
      <c r="Q642" s="10">
        <v>2478.6911111111112</v>
      </c>
      <c r="R642" s="11">
        <f>IFERROR(P642/Q642, 0)</f>
      </c>
      <c r="S642" s="10">
        <v>0</v>
      </c>
      <c r="T642" s="10">
        <v>28095.801111111112</v>
      </c>
      <c r="U642" s="11">
        <f>IFERROR(S642/T642, 0)</f>
      </c>
      <c r="V642" s="10">
        <f>IFERROR(S642/E642, 0)</f>
      </c>
      <c r="W642" s="10">
        <f>IFERROR(T642/F642, 0)</f>
      </c>
      <c r="X642" s="11">
        <f>IFERROR(V642/W642, 0)</f>
      </c>
    </row>
    <row r="643" spans="1:24" x14ac:dyDescent="0.25">
      <c r="A643" s="8" t="s">
        <v>554</v>
      </c>
      <c r="B643" s="8" t="s">
        <v>661</v>
      </c>
      <c r="C643" s="8" t="s">
        <v>62</v>
      </c>
      <c r="D643" s="8" t="s">
        <v>692</v>
      </c>
      <c r="E643" s="9">
        <v>0</v>
      </c>
      <c r="F643" s="9">
        <v>0</v>
      </c>
      <c r="G643" s="10">
        <v>0</v>
      </c>
      <c r="H643" s="10">
        <v>0</v>
      </c>
      <c r="I643" s="11">
        <f>IFERROR(G643/H643, 0)</f>
      </c>
      <c r="J643" s="10">
        <v>0</v>
      </c>
      <c r="K643" s="10">
        <v>0</v>
      </c>
      <c r="L643" s="10">
        <v>0</v>
      </c>
      <c r="M643" s="12">
        <f>IFERROR(L643/K643, 0)</f>
      </c>
      <c r="N643" s="13">
        <f>IFERROR(J643/K643, 0)</f>
      </c>
      <c r="O643" s="10">
        <v>0</v>
      </c>
      <c r="P643" s="10">
        <v>0</v>
      </c>
      <c r="Q643" s="10">
        <v>0</v>
      </c>
      <c r="R643" s="11">
        <f>IFERROR(P643/Q643, 0)</f>
      </c>
      <c r="S643" s="10">
        <v>0</v>
      </c>
      <c r="T643" s="10">
        <v>0</v>
      </c>
      <c r="U643" s="11">
        <f>IFERROR(S643/T643, 0)</f>
      </c>
      <c r="V643" s="10">
        <f>IFERROR(S643/E643, 0)</f>
      </c>
      <c r="W643" s="10">
        <f>IFERROR(T643/F643, 0)</f>
      </c>
      <c r="X643" s="11">
        <f>IFERROR(V643/W643, 0)</f>
      </c>
    </row>
    <row r="644" spans="1:24" x14ac:dyDescent="0.25">
      <c r="A644" s="8" t="s">
        <v>554</v>
      </c>
      <c r="B644" s="8" t="s">
        <v>661</v>
      </c>
      <c r="C644" s="8" t="s">
        <v>62</v>
      </c>
      <c r="D644" s="8" t="s">
        <v>693</v>
      </c>
      <c r="E644" s="9">
        <v>0</v>
      </c>
      <c r="F644" s="9">
        <v>0</v>
      </c>
      <c r="G644" s="10">
        <v>0</v>
      </c>
      <c r="H644" s="10">
        <v>0</v>
      </c>
      <c r="I644" s="11">
        <f>IFERROR(G644/H644, 0)</f>
      </c>
      <c r="J644" s="10">
        <v>0</v>
      </c>
      <c r="K644" s="10">
        <v>0</v>
      </c>
      <c r="L644" s="10">
        <v>0</v>
      </c>
      <c r="M644" s="12">
        <f>IFERROR(L644/K644, 0)</f>
      </c>
      <c r="N644" s="13">
        <f>IFERROR(J644/K644, 0)</f>
      </c>
      <c r="O644" s="10">
        <v>0</v>
      </c>
      <c r="P644" s="10">
        <v>0</v>
      </c>
      <c r="Q644" s="10">
        <v>0</v>
      </c>
      <c r="R644" s="11">
        <f>IFERROR(P644/Q644, 0)</f>
      </c>
      <c r="S644" s="10">
        <v>0</v>
      </c>
      <c r="T644" s="10">
        <v>0</v>
      </c>
      <c r="U644" s="11">
        <f>IFERROR(S644/T644, 0)</f>
      </c>
      <c r="V644" s="10">
        <f>IFERROR(S644/E644, 0)</f>
      </c>
      <c r="W644" s="10">
        <f>IFERROR(T644/F644, 0)</f>
      </c>
      <c r="X644" s="11">
        <f>IFERROR(V644/W644, 0)</f>
      </c>
    </row>
    <row r="645" spans="1:24" x14ac:dyDescent="0.25">
      <c r="A645" s="8" t="s">
        <v>554</v>
      </c>
      <c r="B645" s="8" t="s">
        <v>661</v>
      </c>
      <c r="C645" s="8" t="s">
        <v>62</v>
      </c>
      <c r="D645" s="8" t="s">
        <v>694</v>
      </c>
      <c r="E645" s="9">
        <v>22.27</v>
      </c>
      <c r="F645" s="9">
        <v>16.56</v>
      </c>
      <c r="G645" s="10">
        <v>0</v>
      </c>
      <c r="H645" s="10">
        <v>495.3825925925926</v>
      </c>
      <c r="I645" s="11">
        <f>IFERROR(G645/H645, 0)</f>
      </c>
      <c r="J645" s="10">
        <v>0</v>
      </c>
      <c r="K645" s="10">
        <v>0</v>
      </c>
      <c r="L645" s="10">
        <v>0</v>
      </c>
      <c r="M645" s="12">
        <f>IFERROR(L645/K645, 0)</f>
      </c>
      <c r="N645" s="13">
        <f>IFERROR(J645/K645, 0)</f>
      </c>
      <c r="O645" s="10">
        <v>0</v>
      </c>
      <c r="P645" s="10">
        <v>0</v>
      </c>
      <c r="Q645" s="10">
        <v>5449.208518518519</v>
      </c>
      <c r="R645" s="11">
        <f>IFERROR(P645/Q645, 0)</f>
      </c>
      <c r="S645" s="10">
        <v>0</v>
      </c>
      <c r="T645" s="10">
        <v>61766.36851851852</v>
      </c>
      <c r="U645" s="11">
        <f>IFERROR(S645/T645, 0)</f>
      </c>
      <c r="V645" s="10">
        <f>IFERROR(S645/E645, 0)</f>
      </c>
      <c r="W645" s="10">
        <f>IFERROR(T645/F645, 0)</f>
      </c>
      <c r="X645" s="11">
        <f>IFERROR(V645/W645, 0)</f>
      </c>
    </row>
    <row r="646" spans="1:24" x14ac:dyDescent="0.25">
      <c r="A646" s="8" t="s">
        <v>554</v>
      </c>
      <c r="B646" s="8" t="s">
        <v>661</v>
      </c>
      <c r="C646" s="8" t="s">
        <v>62</v>
      </c>
      <c r="D646" s="8" t="s">
        <v>695</v>
      </c>
      <c r="E646" s="9">
        <v>0</v>
      </c>
      <c r="F646" s="9">
        <v>0</v>
      </c>
      <c r="G646" s="10">
        <v>0</v>
      </c>
      <c r="H646" s="10">
        <v>0</v>
      </c>
      <c r="I646" s="11">
        <f>IFERROR(G646/H646, 0)</f>
      </c>
      <c r="J646" s="10">
        <v>0</v>
      </c>
      <c r="K646" s="10">
        <v>0</v>
      </c>
      <c r="L646" s="10">
        <v>0</v>
      </c>
      <c r="M646" s="12">
        <f>IFERROR(L646/K646, 0)</f>
      </c>
      <c r="N646" s="13">
        <f>IFERROR(J646/K646, 0)</f>
      </c>
      <c r="O646" s="10">
        <v>0</v>
      </c>
      <c r="P646" s="10">
        <v>0</v>
      </c>
      <c r="Q646" s="10">
        <v>0</v>
      </c>
      <c r="R646" s="11">
        <f>IFERROR(P646/Q646, 0)</f>
      </c>
      <c r="S646" s="10">
        <v>0</v>
      </c>
      <c r="T646" s="10">
        <v>0</v>
      </c>
      <c r="U646" s="11">
        <f>IFERROR(S646/T646, 0)</f>
      </c>
      <c r="V646" s="10">
        <f>IFERROR(S646/E646, 0)</f>
      </c>
      <c r="W646" s="10">
        <f>IFERROR(T646/F646, 0)</f>
      </c>
      <c r="X646" s="11">
        <f>IFERROR(V646/W646, 0)</f>
      </c>
    </row>
    <row r="647" spans="1:24" x14ac:dyDescent="0.25">
      <c r="A647" s="8" t="s">
        <v>554</v>
      </c>
      <c r="B647" s="8" t="s">
        <v>661</v>
      </c>
      <c r="C647" s="8" t="s">
        <v>62</v>
      </c>
      <c r="D647" s="8" t="s">
        <v>696</v>
      </c>
      <c r="E647" s="9">
        <v>321.49</v>
      </c>
      <c r="F647" s="9">
        <v>0</v>
      </c>
      <c r="G647" s="10">
        <v>0</v>
      </c>
      <c r="H647" s="10">
        <v>0</v>
      </c>
      <c r="I647" s="11">
        <f>IFERROR(G647/H647, 0)</f>
      </c>
      <c r="J647" s="10">
        <v>22</v>
      </c>
      <c r="K647" s="10">
        <v>13</v>
      </c>
      <c r="L647" s="10">
        <v>9720</v>
      </c>
      <c r="M647" s="12">
        <f>IFERROR(L647/K647, 0)</f>
      </c>
      <c r="N647" s="13">
        <f>IFERROR(J647/K647, 0)</f>
      </c>
      <c r="O647" s="10">
        <v>32460</v>
      </c>
      <c r="P647" s="10">
        <v>109205</v>
      </c>
      <c r="Q647" s="10">
        <v>0</v>
      </c>
      <c r="R647" s="11">
        <f>IFERROR(P647/Q647, 0)</f>
      </c>
      <c r="S647" s="10">
        <v>383614</v>
      </c>
      <c r="T647" s="10">
        <v>0</v>
      </c>
      <c r="U647" s="11">
        <f>IFERROR(S647/T647, 0)</f>
      </c>
      <c r="V647" s="10">
        <f>IFERROR(S647/E647, 0)</f>
      </c>
      <c r="W647" s="10">
        <f>IFERROR(T647/F647, 0)</f>
      </c>
      <c r="X647" s="11">
        <f>IFERROR(V647/W647, 0)</f>
      </c>
    </row>
    <row r="648" spans="1:24" x14ac:dyDescent="0.25">
      <c r="A648" s="8" t="s">
        <v>554</v>
      </c>
      <c r="B648" s="8" t="s">
        <v>661</v>
      </c>
      <c r="C648" s="8" t="s">
        <v>62</v>
      </c>
      <c r="D648" s="8" t="s">
        <v>697</v>
      </c>
      <c r="E648" s="9">
        <v>37.27</v>
      </c>
      <c r="F648" s="9">
        <v>27.72</v>
      </c>
      <c r="G648" s="10">
        <v>0</v>
      </c>
      <c r="H648" s="10">
        <v>829.0481481481481</v>
      </c>
      <c r="I648" s="11">
        <f>IFERROR(G648/H648, 0)</f>
      </c>
      <c r="J648" s="10">
        <v>0</v>
      </c>
      <c r="K648" s="10">
        <v>0</v>
      </c>
      <c r="L648" s="10">
        <v>0</v>
      </c>
      <c r="M648" s="12">
        <f>IFERROR(L648/K648, 0)</f>
      </c>
      <c r="N648" s="13">
        <f>IFERROR(J648/K648, 0)</f>
      </c>
      <c r="O648" s="10">
        <v>0</v>
      </c>
      <c r="P648" s="10">
        <v>0</v>
      </c>
      <c r="Q648" s="10">
        <v>9119.52962962963</v>
      </c>
      <c r="R648" s="11">
        <f>IFERROR(P648/Q648, 0)</f>
      </c>
      <c r="S648" s="10">
        <v>0</v>
      </c>
      <c r="T648" s="10">
        <v>103369.23962962964</v>
      </c>
      <c r="U648" s="11">
        <f>IFERROR(S648/T648, 0)</f>
      </c>
      <c r="V648" s="10">
        <f>IFERROR(S648/E648, 0)</f>
      </c>
      <c r="W648" s="10">
        <f>IFERROR(T648/F648, 0)</f>
      </c>
      <c r="X648" s="11">
        <f>IFERROR(V648/W648, 0)</f>
      </c>
    </row>
    <row r="649" spans="1:24" x14ac:dyDescent="0.25">
      <c r="A649" s="8" t="s">
        <v>554</v>
      </c>
      <c r="B649" s="8" t="s">
        <v>661</v>
      </c>
      <c r="C649" s="8" t="s">
        <v>62</v>
      </c>
      <c r="D649" s="8" t="s">
        <v>698</v>
      </c>
      <c r="E649" s="9">
        <v>226</v>
      </c>
      <c r="F649" s="9">
        <v>168.09</v>
      </c>
      <c r="G649" s="10">
        <v>0</v>
      </c>
      <c r="H649" s="10">
        <v>5027.231111111111</v>
      </c>
      <c r="I649" s="11">
        <f>IFERROR(G649/H649, 0)</f>
      </c>
      <c r="J649" s="10">
        <v>0</v>
      </c>
      <c r="K649" s="10">
        <v>0</v>
      </c>
      <c r="L649" s="10">
        <v>0</v>
      </c>
      <c r="M649" s="12">
        <f>IFERROR(L649/K649, 0)</f>
      </c>
      <c r="N649" s="13">
        <f>IFERROR(J649/K649, 0)</f>
      </c>
      <c r="O649" s="10">
        <v>0</v>
      </c>
      <c r="P649" s="10">
        <v>0</v>
      </c>
      <c r="Q649" s="10">
        <v>55299.54222222222</v>
      </c>
      <c r="R649" s="11">
        <f>IFERROR(P649/Q649, 0)</f>
      </c>
      <c r="S649" s="10">
        <v>0</v>
      </c>
      <c r="T649" s="10">
        <v>626816.3422222222</v>
      </c>
      <c r="U649" s="11">
        <f>IFERROR(S649/T649, 0)</f>
      </c>
      <c r="V649" s="10">
        <f>IFERROR(S649/E649, 0)</f>
      </c>
      <c r="W649" s="10">
        <f>IFERROR(T649/F649, 0)</f>
      </c>
      <c r="X649" s="11">
        <f>IFERROR(V649/W649, 0)</f>
      </c>
    </row>
    <row r="650" spans="1:24" x14ac:dyDescent="0.25">
      <c r="A650" s="8" t="s">
        <v>554</v>
      </c>
      <c r="B650" s="8" t="s">
        <v>661</v>
      </c>
      <c r="C650" s="8" t="s">
        <v>62</v>
      </c>
      <c r="D650" s="8" t="s">
        <v>699</v>
      </c>
      <c r="E650" s="9">
        <v>2370.45</v>
      </c>
      <c r="F650" s="9">
        <v>705.23</v>
      </c>
      <c r="G650" s="10">
        <v>0</v>
      </c>
      <c r="H650" s="10">
        <v>21091.681851851852</v>
      </c>
      <c r="I650" s="11">
        <f>IFERROR(G650/H650, 0)</f>
      </c>
      <c r="J650" s="10">
        <v>0</v>
      </c>
      <c r="K650" s="10">
        <v>0</v>
      </c>
      <c r="L650" s="10">
        <v>0</v>
      </c>
      <c r="M650" s="12">
        <f>IFERROR(L650/K650, 0)</f>
      </c>
      <c r="N650" s="13">
        <f>IFERROR(J650/K650, 0)</f>
      </c>
      <c r="O650" s="10">
        <v>0</v>
      </c>
      <c r="P650" s="10">
        <v>0</v>
      </c>
      <c r="Q650" s="10">
        <v>232008.50037037037</v>
      </c>
      <c r="R650" s="11">
        <f>IFERROR(P650/Q650, 0)</f>
      </c>
      <c r="S650" s="10">
        <v>0</v>
      </c>
      <c r="T650" s="10">
        <v>2629799.71037037</v>
      </c>
      <c r="U650" s="11">
        <f>IFERROR(S650/T650, 0)</f>
      </c>
      <c r="V650" s="10">
        <f>IFERROR(S650/E650, 0)</f>
      </c>
      <c r="W650" s="10">
        <f>IFERROR(T650/F650, 0)</f>
      </c>
      <c r="X650" s="11">
        <f>IFERROR(V650/W650, 0)</f>
      </c>
    </row>
    <row r="651" spans="1:24" x14ac:dyDescent="0.25">
      <c r="A651" s="8" t="s">
        <v>554</v>
      </c>
      <c r="B651" s="8" t="s">
        <v>661</v>
      </c>
      <c r="C651" s="8" t="s">
        <v>62</v>
      </c>
      <c r="D651" s="8" t="s">
        <v>700</v>
      </c>
      <c r="E651" s="9">
        <v>594.95</v>
      </c>
      <c r="F651" s="9">
        <v>0</v>
      </c>
      <c r="G651" s="10">
        <v>0</v>
      </c>
      <c r="H651" s="10">
        <v>0</v>
      </c>
      <c r="I651" s="11">
        <f>IFERROR(G651/H651, 0)</f>
      </c>
      <c r="J651" s="10">
        <v>0</v>
      </c>
      <c r="K651" s="10">
        <v>0</v>
      </c>
      <c r="L651" s="10">
        <v>0</v>
      </c>
      <c r="M651" s="12">
        <f>IFERROR(L651/K651, 0)</f>
      </c>
      <c r="N651" s="13">
        <f>IFERROR(J651/K651, 0)</f>
      </c>
      <c r="O651" s="10">
        <v>0</v>
      </c>
      <c r="P651" s="10">
        <v>0</v>
      </c>
      <c r="Q651" s="10">
        <v>0</v>
      </c>
      <c r="R651" s="11">
        <f>IFERROR(P651/Q651, 0)</f>
      </c>
      <c r="S651" s="10">
        <v>0</v>
      </c>
      <c r="T651" s="10">
        <v>0</v>
      </c>
      <c r="U651" s="11">
        <f>IFERROR(S651/T651, 0)</f>
      </c>
      <c r="V651" s="10">
        <f>IFERROR(S651/E651, 0)</f>
      </c>
      <c r="W651" s="10">
        <f>IFERROR(T651/F651, 0)</f>
      </c>
      <c r="X651" s="11">
        <f>IFERROR(V651/W651, 0)</f>
      </c>
    </row>
    <row r="652" spans="1:24" x14ac:dyDescent="0.25">
      <c r="A652" s="8" t="s">
        <v>554</v>
      </c>
      <c r="B652" s="8" t="s">
        <v>661</v>
      </c>
      <c r="C652" s="8" t="s">
        <v>62</v>
      </c>
      <c r="D652" s="8" t="s">
        <v>701</v>
      </c>
      <c r="E652" s="9">
        <v>286.09</v>
      </c>
      <c r="F652" s="9">
        <v>223.08</v>
      </c>
      <c r="G652" s="10">
        <v>0</v>
      </c>
      <c r="H652" s="10">
        <v>6671.758518518519</v>
      </c>
      <c r="I652" s="11">
        <f>IFERROR(G652/H652, 0)</f>
      </c>
      <c r="J652" s="10">
        <v>0</v>
      </c>
      <c r="K652" s="10">
        <v>0</v>
      </c>
      <c r="L652" s="10">
        <v>0</v>
      </c>
      <c r="M652" s="12">
        <f>IFERROR(L652/K652, 0)</f>
      </c>
      <c r="N652" s="13">
        <f>IFERROR(J652/K652, 0)</f>
      </c>
      <c r="O652" s="10">
        <v>0</v>
      </c>
      <c r="P652" s="10">
        <v>0</v>
      </c>
      <c r="Q652" s="10">
        <v>73389.34370370371</v>
      </c>
      <c r="R652" s="11">
        <f>IFERROR(P652/Q652, 0)</f>
      </c>
      <c r="S652" s="10">
        <v>0</v>
      </c>
      <c r="T652" s="10">
        <v>831862.9437037037</v>
      </c>
      <c r="U652" s="11">
        <f>IFERROR(S652/T652, 0)</f>
      </c>
      <c r="V652" s="10">
        <f>IFERROR(S652/E652, 0)</f>
      </c>
      <c r="W652" s="10">
        <f>IFERROR(T652/F652, 0)</f>
      </c>
      <c r="X652" s="11">
        <f>IFERROR(V652/W652, 0)</f>
      </c>
    </row>
    <row r="653" spans="1:24" x14ac:dyDescent="0.25">
      <c r="A653" s="8" t="s">
        <v>554</v>
      </c>
      <c r="B653" s="8" t="s">
        <v>661</v>
      </c>
      <c r="C653" s="8" t="s">
        <v>62</v>
      </c>
      <c r="D653" s="8" t="s">
        <v>702</v>
      </c>
      <c r="E653" s="9">
        <v>257.42</v>
      </c>
      <c r="F653" s="9">
        <v>191.46</v>
      </c>
      <c r="G653" s="10">
        <v>0</v>
      </c>
      <c r="H653" s="10">
        <v>5726.15</v>
      </c>
      <c r="I653" s="11">
        <f>IFERROR(G653/H653, 0)</f>
      </c>
      <c r="J653" s="10">
        <v>0</v>
      </c>
      <c r="K653" s="10">
        <v>0</v>
      </c>
      <c r="L653" s="10">
        <v>0</v>
      </c>
      <c r="M653" s="12">
        <f>IFERROR(L653/K653, 0)</f>
      </c>
      <c r="N653" s="13">
        <f>IFERROR(J653/K653, 0)</f>
      </c>
      <c r="O653" s="10">
        <v>0</v>
      </c>
      <c r="P653" s="10">
        <v>0</v>
      </c>
      <c r="Q653" s="10">
        <v>62987.65</v>
      </c>
      <c r="R653" s="11">
        <f>IFERROR(P653/Q653, 0)</f>
      </c>
      <c r="S653" s="10">
        <v>0</v>
      </c>
      <c r="T653" s="10">
        <v>713960.45</v>
      </c>
      <c r="U653" s="11">
        <f>IFERROR(S653/T653, 0)</f>
      </c>
      <c r="V653" s="10">
        <f>IFERROR(S653/E653, 0)</f>
      </c>
      <c r="W653" s="10">
        <f>IFERROR(T653/F653, 0)</f>
      </c>
      <c r="X653" s="11">
        <f>IFERROR(V653/W653, 0)</f>
      </c>
    </row>
    <row r="654" spans="1:24" x14ac:dyDescent="0.25">
      <c r="A654" s="8" t="s">
        <v>554</v>
      </c>
      <c r="B654" s="8" t="s">
        <v>661</v>
      </c>
      <c r="C654" s="8" t="s">
        <v>62</v>
      </c>
      <c r="D654" s="8" t="s">
        <v>703</v>
      </c>
      <c r="E654" s="9">
        <v>709.3</v>
      </c>
      <c r="F654" s="9">
        <v>89.25</v>
      </c>
      <c r="G654" s="10">
        <v>0</v>
      </c>
      <c r="H654" s="10">
        <v>2669.3262962962963</v>
      </c>
      <c r="I654" s="11">
        <f>IFERROR(G654/H654, 0)</f>
      </c>
      <c r="J654" s="10">
        <v>0</v>
      </c>
      <c r="K654" s="10">
        <v>0</v>
      </c>
      <c r="L654" s="10">
        <v>0</v>
      </c>
      <c r="M654" s="12">
        <f>IFERROR(L654/K654, 0)</f>
      </c>
      <c r="N654" s="13">
        <f>IFERROR(J654/K654, 0)</f>
      </c>
      <c r="O654" s="10">
        <v>0</v>
      </c>
      <c r="P654" s="10">
        <v>0</v>
      </c>
      <c r="Q654" s="10">
        <v>29362.58925925926</v>
      </c>
      <c r="R654" s="11">
        <f>IFERROR(P654/Q654, 0)</f>
      </c>
      <c r="S654" s="10">
        <v>0</v>
      </c>
      <c r="T654" s="10">
        <v>332822.8392592593</v>
      </c>
      <c r="U654" s="11">
        <f>IFERROR(S654/T654, 0)</f>
      </c>
      <c r="V654" s="10">
        <f>IFERROR(S654/E654, 0)</f>
      </c>
      <c r="W654" s="10">
        <f>IFERROR(T654/F654, 0)</f>
      </c>
      <c r="X654" s="11">
        <f>IFERROR(V654/W654, 0)</f>
      </c>
    </row>
    <row r="655" spans="1:24" x14ac:dyDescent="0.25">
      <c r="A655" s="8" t="s">
        <v>554</v>
      </c>
      <c r="B655" s="8" t="s">
        <v>661</v>
      </c>
      <c r="C655" s="8" t="s">
        <v>62</v>
      </c>
      <c r="D655" s="8" t="s">
        <v>704</v>
      </c>
      <c r="E655" s="9">
        <v>0.85</v>
      </c>
      <c r="F655" s="9">
        <v>0</v>
      </c>
      <c r="G655" s="10">
        <v>0</v>
      </c>
      <c r="H655" s="10">
        <v>0</v>
      </c>
      <c r="I655" s="11">
        <f>IFERROR(G655/H655, 0)</f>
      </c>
      <c r="J655" s="10">
        <v>0</v>
      </c>
      <c r="K655" s="10">
        <v>0</v>
      </c>
      <c r="L655" s="10">
        <v>0</v>
      </c>
      <c r="M655" s="12">
        <f>IFERROR(L655/K655, 0)</f>
      </c>
      <c r="N655" s="13">
        <f>IFERROR(J655/K655, 0)</f>
      </c>
      <c r="O655" s="10">
        <v>0</v>
      </c>
      <c r="P655" s="10">
        <v>0</v>
      </c>
      <c r="Q655" s="10">
        <v>0</v>
      </c>
      <c r="R655" s="11">
        <f>IFERROR(P655/Q655, 0)</f>
      </c>
      <c r="S655" s="10">
        <v>0</v>
      </c>
      <c r="T655" s="10">
        <v>0</v>
      </c>
      <c r="U655" s="11">
        <f>IFERROR(S655/T655, 0)</f>
      </c>
      <c r="V655" s="10">
        <f>IFERROR(S655/E655, 0)</f>
      </c>
      <c r="W655" s="10">
        <f>IFERROR(T655/F655, 0)</f>
      </c>
      <c r="X655" s="11">
        <f>IFERROR(V655/W655, 0)</f>
      </c>
    </row>
    <row r="656" spans="1:24" x14ac:dyDescent="0.25">
      <c r="A656" s="8" t="s">
        <v>554</v>
      </c>
      <c r="B656" s="8" t="s">
        <v>661</v>
      </c>
      <c r="C656" s="8" t="s">
        <v>62</v>
      </c>
      <c r="D656" s="8" t="s">
        <v>705</v>
      </c>
      <c r="E656" s="9">
        <v>24.63</v>
      </c>
      <c r="F656" s="9">
        <v>0</v>
      </c>
      <c r="G656" s="10">
        <v>0</v>
      </c>
      <c r="H656" s="10">
        <v>0</v>
      </c>
      <c r="I656" s="11">
        <f>IFERROR(G656/H656, 0)</f>
      </c>
      <c r="J656" s="10">
        <v>0</v>
      </c>
      <c r="K656" s="10">
        <v>0</v>
      </c>
      <c r="L656" s="10">
        <v>0</v>
      </c>
      <c r="M656" s="12">
        <f>IFERROR(L656/K656, 0)</f>
      </c>
      <c r="N656" s="13">
        <f>IFERROR(J656/K656, 0)</f>
      </c>
      <c r="O656" s="10">
        <v>0</v>
      </c>
      <c r="P656" s="10">
        <v>0</v>
      </c>
      <c r="Q656" s="10">
        <v>0</v>
      </c>
      <c r="R656" s="11">
        <f>IFERROR(P656/Q656, 0)</f>
      </c>
      <c r="S656" s="10">
        <v>0</v>
      </c>
      <c r="T656" s="10">
        <v>0</v>
      </c>
      <c r="U656" s="11">
        <f>IFERROR(S656/T656, 0)</f>
      </c>
      <c r="V656" s="10">
        <f>IFERROR(S656/E656, 0)</f>
      </c>
      <c r="W656" s="10">
        <f>IFERROR(T656/F656, 0)</f>
      </c>
      <c r="X656" s="11">
        <f>IFERROR(V656/W656, 0)</f>
      </c>
    </row>
    <row r="657" spans="1:24" x14ac:dyDescent="0.25">
      <c r="A657" s="8" t="s">
        <v>554</v>
      </c>
      <c r="B657" s="8" t="s">
        <v>661</v>
      </c>
      <c r="C657" s="8" t="s">
        <v>62</v>
      </c>
      <c r="D657" s="8" t="s">
        <v>706</v>
      </c>
      <c r="E657" s="9">
        <v>9</v>
      </c>
      <c r="F657" s="9">
        <v>0</v>
      </c>
      <c r="G657" s="10">
        <v>0</v>
      </c>
      <c r="H657" s="10">
        <v>0</v>
      </c>
      <c r="I657" s="11">
        <f>IFERROR(G657/H657, 0)</f>
      </c>
      <c r="J657" s="10">
        <v>0</v>
      </c>
      <c r="K657" s="10">
        <v>0</v>
      </c>
      <c r="L657" s="10">
        <v>0</v>
      </c>
      <c r="M657" s="12">
        <f>IFERROR(L657/K657, 0)</f>
      </c>
      <c r="N657" s="13">
        <f>IFERROR(J657/K657, 0)</f>
      </c>
      <c r="O657" s="10">
        <v>0</v>
      </c>
      <c r="P657" s="10">
        <v>0</v>
      </c>
      <c r="Q657" s="10">
        <v>0</v>
      </c>
      <c r="R657" s="11">
        <f>IFERROR(P657/Q657, 0)</f>
      </c>
      <c r="S657" s="10">
        <v>0</v>
      </c>
      <c r="T657" s="10">
        <v>0</v>
      </c>
      <c r="U657" s="11">
        <f>IFERROR(S657/T657, 0)</f>
      </c>
      <c r="V657" s="10">
        <f>IFERROR(S657/E657, 0)</f>
      </c>
      <c r="W657" s="10">
        <f>IFERROR(T657/F657, 0)</f>
      </c>
      <c r="X657" s="11">
        <f>IFERROR(V657/W657, 0)</f>
      </c>
    </row>
    <row r="658" spans="1:24" x14ac:dyDescent="0.25">
      <c r="A658" s="8" t="s">
        <v>554</v>
      </c>
      <c r="B658" s="8" t="s">
        <v>661</v>
      </c>
      <c r="C658" s="8" t="s">
        <v>62</v>
      </c>
      <c r="D658" s="8" t="s">
        <v>707</v>
      </c>
      <c r="E658" s="9">
        <v>575.11</v>
      </c>
      <c r="F658" s="9">
        <v>8148.14</v>
      </c>
      <c r="G658" s="10">
        <v>0</v>
      </c>
      <c r="H658" s="10">
        <v>243689.69518518518</v>
      </c>
      <c r="I658" s="11">
        <f>IFERROR(G658/H658, 0)</f>
      </c>
      <c r="J658" s="10">
        <v>0</v>
      </c>
      <c r="K658" s="10">
        <v>0</v>
      </c>
      <c r="L658" s="10">
        <v>0</v>
      </c>
      <c r="M658" s="12">
        <f>IFERROR(L658/K658, 0)</f>
      </c>
      <c r="N658" s="13">
        <f>IFERROR(J658/K658, 0)</f>
      </c>
      <c r="O658" s="10">
        <v>0</v>
      </c>
      <c r="P658" s="10">
        <v>0</v>
      </c>
      <c r="Q658" s="10">
        <v>2680586.647037037</v>
      </c>
      <c r="R658" s="11">
        <f>IFERROR(P658/Q658, 0)</f>
      </c>
      <c r="S658" s="10">
        <v>0</v>
      </c>
      <c r="T658" s="10">
        <v>30384257.24703704</v>
      </c>
      <c r="U658" s="11">
        <f>IFERROR(S658/T658, 0)</f>
      </c>
      <c r="V658" s="10">
        <f>IFERROR(S658/E658, 0)</f>
      </c>
      <c r="W658" s="10">
        <f>IFERROR(T658/F658, 0)</f>
      </c>
      <c r="X658" s="11">
        <f>IFERROR(V658/W658, 0)</f>
      </c>
    </row>
    <row r="659" spans="1:24" x14ac:dyDescent="0.25">
      <c r="A659" s="8" t="s">
        <v>554</v>
      </c>
      <c r="B659" s="8" t="s">
        <v>661</v>
      </c>
      <c r="C659" s="8" t="s">
        <v>62</v>
      </c>
      <c r="D659" s="8" t="s">
        <v>708</v>
      </c>
      <c r="E659" s="9">
        <v>0</v>
      </c>
      <c r="F659" s="9">
        <v>0</v>
      </c>
      <c r="G659" s="10">
        <v>0</v>
      </c>
      <c r="H659" s="10">
        <v>0</v>
      </c>
      <c r="I659" s="11">
        <f>IFERROR(G659/H659, 0)</f>
      </c>
      <c r="J659" s="10">
        <v>0</v>
      </c>
      <c r="K659" s="10">
        <v>0</v>
      </c>
      <c r="L659" s="10">
        <v>0</v>
      </c>
      <c r="M659" s="12">
        <f>IFERROR(L659/K659, 0)</f>
      </c>
      <c r="N659" s="13">
        <f>IFERROR(J659/K659, 0)</f>
      </c>
      <c r="O659" s="10">
        <v>0</v>
      </c>
      <c r="P659" s="10">
        <v>0</v>
      </c>
      <c r="Q659" s="10">
        <v>0</v>
      </c>
      <c r="R659" s="11">
        <f>IFERROR(P659/Q659, 0)</f>
      </c>
      <c r="S659" s="10">
        <v>0</v>
      </c>
      <c r="T659" s="10">
        <v>0</v>
      </c>
      <c r="U659" s="11">
        <f>IFERROR(S659/T659, 0)</f>
      </c>
      <c r="V659" s="10">
        <f>IFERROR(S659/E659, 0)</f>
      </c>
      <c r="W659" s="10">
        <f>IFERROR(T659/F659, 0)</f>
      </c>
      <c r="X659" s="11">
        <f>IFERROR(V659/W659, 0)</f>
      </c>
    </row>
    <row r="660" spans="1:24" x14ac:dyDescent="0.25">
      <c r="A660" s="8" t="s">
        <v>554</v>
      </c>
      <c r="B660" s="8" t="s">
        <v>661</v>
      </c>
      <c r="C660" s="8" t="s">
        <v>62</v>
      </c>
      <c r="D660" s="8" t="s">
        <v>709</v>
      </c>
      <c r="E660" s="9">
        <v>18.56</v>
      </c>
      <c r="F660" s="9">
        <v>13.8</v>
      </c>
      <c r="G660" s="10">
        <v>0</v>
      </c>
      <c r="H660" s="10">
        <v>412.85592592592593</v>
      </c>
      <c r="I660" s="11">
        <f>IFERROR(G660/H660, 0)</f>
      </c>
      <c r="J660" s="10">
        <v>0</v>
      </c>
      <c r="K660" s="10">
        <v>0</v>
      </c>
      <c r="L660" s="10">
        <v>0</v>
      </c>
      <c r="M660" s="12">
        <f>IFERROR(L660/K660, 0)</f>
      </c>
      <c r="N660" s="13">
        <f>IFERROR(J660/K660, 0)</f>
      </c>
      <c r="O660" s="10">
        <v>0</v>
      </c>
      <c r="P660" s="10">
        <v>0</v>
      </c>
      <c r="Q660" s="10">
        <v>4541.415185185185</v>
      </c>
      <c r="R660" s="11">
        <f>IFERROR(P660/Q660, 0)</f>
      </c>
      <c r="S660" s="10">
        <v>0</v>
      </c>
      <c r="T660" s="10">
        <v>51476.60518518519</v>
      </c>
      <c r="U660" s="11">
        <f>IFERROR(S660/T660, 0)</f>
      </c>
      <c r="V660" s="10">
        <f>IFERROR(S660/E660, 0)</f>
      </c>
      <c r="W660" s="10">
        <f>IFERROR(T660/F660, 0)</f>
      </c>
      <c r="X660" s="11">
        <f>IFERROR(V660/W660, 0)</f>
      </c>
    </row>
    <row r="661" spans="1:24" x14ac:dyDescent="0.25">
      <c r="A661" s="8" t="s">
        <v>554</v>
      </c>
      <c r="B661" s="8" t="s">
        <v>661</v>
      </c>
      <c r="C661" s="8" t="s">
        <v>62</v>
      </c>
      <c r="D661" s="8" t="s">
        <v>710</v>
      </c>
      <c r="E661" s="9">
        <v>0</v>
      </c>
      <c r="F661" s="9">
        <v>662.03</v>
      </c>
      <c r="G661" s="10">
        <v>0</v>
      </c>
      <c r="H661" s="10">
        <v>19799.727777777778</v>
      </c>
      <c r="I661" s="11">
        <f>IFERROR(G661/H661, 0)</f>
      </c>
      <c r="J661" s="10">
        <v>0</v>
      </c>
      <c r="K661" s="10">
        <v>0</v>
      </c>
      <c r="L661" s="10">
        <v>0</v>
      </c>
      <c r="M661" s="12">
        <f>IFERROR(L661/K661, 0)</f>
      </c>
      <c r="N661" s="13">
        <f>IFERROR(J661/K661, 0)</f>
      </c>
      <c r="O661" s="10">
        <v>0</v>
      </c>
      <c r="P661" s="10">
        <v>0</v>
      </c>
      <c r="Q661" s="10">
        <v>217797.00555555554</v>
      </c>
      <c r="R661" s="11">
        <f>IFERROR(P661/Q661, 0)</f>
      </c>
      <c r="S661" s="10">
        <v>0</v>
      </c>
      <c r="T661" s="10">
        <v>2468713.4455555556</v>
      </c>
      <c r="U661" s="11">
        <f>IFERROR(S661/T661, 0)</f>
      </c>
      <c r="V661" s="10">
        <f>IFERROR(S661/E661, 0)</f>
      </c>
      <c r="W661" s="10">
        <f>IFERROR(T661/F661, 0)</f>
      </c>
      <c r="X661" s="11">
        <f>IFERROR(V661/W661, 0)</f>
      </c>
    </row>
    <row r="662" spans="1:24" x14ac:dyDescent="0.25">
      <c r="A662" s="8" t="s">
        <v>554</v>
      </c>
      <c r="B662" s="8" t="s">
        <v>661</v>
      </c>
      <c r="C662" s="8" t="s">
        <v>62</v>
      </c>
      <c r="D662" s="8" t="s">
        <v>711</v>
      </c>
      <c r="E662" s="9">
        <v>3339</v>
      </c>
      <c r="F662" s="9">
        <v>2231.33</v>
      </c>
      <c r="G662" s="10">
        <v>16800</v>
      </c>
      <c r="H662" s="10">
        <v>66733.15777777777</v>
      </c>
      <c r="I662" s="11">
        <f>IFERROR(G662/H662, 0)</f>
      </c>
      <c r="J662" s="10">
        <v>13.22</v>
      </c>
      <c r="K662" s="10">
        <v>24</v>
      </c>
      <c r="L662" s="10">
        <v>23270</v>
      </c>
      <c r="M662" s="12">
        <f>IFERROR(L662/K662, 0)</f>
      </c>
      <c r="N662" s="13">
        <f>IFERROR(J662/K662, 0)</f>
      </c>
      <c r="O662" s="10">
        <v>8253</v>
      </c>
      <c r="P662" s="10">
        <v>545946</v>
      </c>
      <c r="Q662" s="10">
        <v>734064.7355555556</v>
      </c>
      <c r="R662" s="11">
        <f>IFERROR(P662/Q662, 0)</f>
      </c>
      <c r="S662" s="10">
        <v>6216291</v>
      </c>
      <c r="T662" s="10">
        <v>8320571.115555556</v>
      </c>
      <c r="U662" s="11">
        <f>IFERROR(S662/T662, 0)</f>
      </c>
      <c r="V662" s="10">
        <f>IFERROR(S662/E662, 0)</f>
      </c>
      <c r="W662" s="10">
        <f>IFERROR(T662/F662, 0)</f>
      </c>
      <c r="X662" s="11">
        <f>IFERROR(V662/W662, 0)</f>
      </c>
    </row>
    <row r="663" spans="1:24" x14ac:dyDescent="0.25">
      <c r="A663" s="8" t="s">
        <v>554</v>
      </c>
      <c r="B663" s="8" t="s">
        <v>661</v>
      </c>
      <c r="C663" s="8" t="s">
        <v>62</v>
      </c>
      <c r="D663" s="8" t="s">
        <v>712</v>
      </c>
      <c r="E663" s="9">
        <v>1100.98</v>
      </c>
      <c r="F663" s="9">
        <v>0</v>
      </c>
      <c r="G663" s="10">
        <v>0</v>
      </c>
      <c r="H663" s="10">
        <v>0</v>
      </c>
      <c r="I663" s="11">
        <f>IFERROR(G663/H663, 0)</f>
      </c>
      <c r="J663" s="10">
        <v>0</v>
      </c>
      <c r="K663" s="10">
        <v>0</v>
      </c>
      <c r="L663" s="10">
        <v>0</v>
      </c>
      <c r="M663" s="12">
        <f>IFERROR(L663/K663, 0)</f>
      </c>
      <c r="N663" s="13">
        <f>IFERROR(J663/K663, 0)</f>
      </c>
      <c r="O663" s="10">
        <v>0</v>
      </c>
      <c r="P663" s="10">
        <v>0</v>
      </c>
      <c r="Q663" s="10">
        <v>0</v>
      </c>
      <c r="R663" s="11">
        <f>IFERROR(P663/Q663, 0)</f>
      </c>
      <c r="S663" s="10">
        <v>0</v>
      </c>
      <c r="T663" s="10">
        <v>0</v>
      </c>
      <c r="U663" s="11">
        <f>IFERROR(S663/T663, 0)</f>
      </c>
      <c r="V663" s="10">
        <f>IFERROR(S663/E663, 0)</f>
      </c>
      <c r="W663" s="10">
        <f>IFERROR(T663/F663, 0)</f>
      </c>
      <c r="X663" s="11">
        <f>IFERROR(V663/W663, 0)</f>
      </c>
    </row>
    <row r="664" spans="1:24" x14ac:dyDescent="0.25">
      <c r="A664" s="8" t="s">
        <v>554</v>
      </c>
      <c r="B664" s="8" t="s">
        <v>661</v>
      </c>
      <c r="C664" s="8" t="s">
        <v>62</v>
      </c>
      <c r="D664" s="8" t="s">
        <v>713</v>
      </c>
      <c r="E664" s="9">
        <v>0</v>
      </c>
      <c r="F664" s="9">
        <v>0</v>
      </c>
      <c r="G664" s="10">
        <v>0</v>
      </c>
      <c r="H664" s="10">
        <v>0</v>
      </c>
      <c r="I664" s="11">
        <f>IFERROR(G664/H664, 0)</f>
      </c>
      <c r="J664" s="10">
        <v>0</v>
      </c>
      <c r="K664" s="10">
        <v>0</v>
      </c>
      <c r="L664" s="10">
        <v>0</v>
      </c>
      <c r="M664" s="12">
        <f>IFERROR(L664/K664, 0)</f>
      </c>
      <c r="N664" s="13">
        <f>IFERROR(J664/K664, 0)</f>
      </c>
      <c r="O664" s="10">
        <v>0</v>
      </c>
      <c r="P664" s="10">
        <v>0</v>
      </c>
      <c r="Q664" s="10">
        <v>0</v>
      </c>
      <c r="R664" s="11">
        <f>IFERROR(P664/Q664, 0)</f>
      </c>
      <c r="S664" s="10">
        <v>0</v>
      </c>
      <c r="T664" s="10">
        <v>0</v>
      </c>
      <c r="U664" s="11">
        <f>IFERROR(S664/T664, 0)</f>
      </c>
      <c r="V664" s="10">
        <f>IFERROR(S664/E664, 0)</f>
      </c>
      <c r="W664" s="10">
        <f>IFERROR(T664/F664, 0)</f>
      </c>
      <c r="X664" s="11">
        <f>IFERROR(V664/W664, 0)</f>
      </c>
    </row>
    <row r="665" spans="1:24" x14ac:dyDescent="0.25">
      <c r="A665" s="8" t="s">
        <v>554</v>
      </c>
      <c r="B665" s="8" t="s">
        <v>661</v>
      </c>
      <c r="C665" s="8" t="s">
        <v>62</v>
      </c>
      <c r="D665" s="8" t="s">
        <v>714</v>
      </c>
      <c r="E665" s="9">
        <v>173.68</v>
      </c>
      <c r="F665" s="9">
        <v>129.18</v>
      </c>
      <c r="G665" s="10">
        <v>0</v>
      </c>
      <c r="H665" s="10">
        <v>3863.404814814815</v>
      </c>
      <c r="I665" s="11">
        <f>IFERROR(G665/H665, 0)</f>
      </c>
      <c r="J665" s="10">
        <v>0</v>
      </c>
      <c r="K665" s="10">
        <v>0</v>
      </c>
      <c r="L665" s="10">
        <v>0</v>
      </c>
      <c r="M665" s="12">
        <f>IFERROR(L665/K665, 0)</f>
      </c>
      <c r="N665" s="13">
        <f>IFERROR(J665/K665, 0)</f>
      </c>
      <c r="O665" s="10">
        <v>0</v>
      </c>
      <c r="P665" s="10">
        <v>0</v>
      </c>
      <c r="Q665" s="10">
        <v>42497.45296296296</v>
      </c>
      <c r="R665" s="11">
        <f>IFERROR(P665/Q665, 0)</f>
      </c>
      <c r="S665" s="10">
        <v>0</v>
      </c>
      <c r="T665" s="10">
        <v>481705.582962963</v>
      </c>
      <c r="U665" s="11">
        <f>IFERROR(S665/T665, 0)</f>
      </c>
      <c r="V665" s="10">
        <f>IFERROR(S665/E665, 0)</f>
      </c>
      <c r="W665" s="10">
        <f>IFERROR(T665/F665, 0)</f>
      </c>
      <c r="X665" s="11">
        <f>IFERROR(V665/W665, 0)</f>
      </c>
    </row>
    <row r="666" spans="1:24" x14ac:dyDescent="0.25">
      <c r="A666" s="8" t="s">
        <v>554</v>
      </c>
      <c r="B666" s="8" t="s">
        <v>661</v>
      </c>
      <c r="C666" s="8" t="s">
        <v>64</v>
      </c>
      <c r="D666" s="8" t="s">
        <v>715</v>
      </c>
      <c r="E666" s="9">
        <v>9541.71</v>
      </c>
      <c r="F666" s="9">
        <v>7096.89</v>
      </c>
      <c r="G666" s="10">
        <v>17680</v>
      </c>
      <c r="H666" s="10">
        <v>212249.48</v>
      </c>
      <c r="I666" s="11">
        <f>IFERROR(G666/H666, 0)</f>
      </c>
      <c r="J666" s="10">
        <v>96</v>
      </c>
      <c r="K666" s="10">
        <v>17</v>
      </c>
      <c r="L666" s="10">
        <v>15290</v>
      </c>
      <c r="M666" s="12">
        <f>IFERROR(L666/K666, 0)</f>
      </c>
      <c r="N666" s="13">
        <f>IFERROR(J666/K666, 0)</f>
      </c>
      <c r="O666" s="10">
        <v>2790</v>
      </c>
      <c r="P666" s="10">
        <v>363060</v>
      </c>
      <c r="Q666" s="10">
        <v>2334744.28</v>
      </c>
      <c r="R666" s="11">
        <f>IFERROR(P666/Q666, 0)</f>
      </c>
      <c r="S666" s="10">
        <v>4830859</v>
      </c>
      <c r="T666" s="10">
        <v>26464158.86</v>
      </c>
      <c r="U666" s="11">
        <f>IFERROR(S666/T666, 0)</f>
      </c>
      <c r="V666" s="10">
        <f>IFERROR(S666/E666, 0)</f>
      </c>
      <c r="W666" s="10">
        <f>IFERROR(T666/F666, 0)</f>
      </c>
      <c r="X666" s="11">
        <f>IFERROR(V666/W666, 0)</f>
      </c>
    </row>
    <row r="667" spans="1:24" x14ac:dyDescent="0.25">
      <c r="A667" s="14" t="s">
        <v>716</v>
      </c>
      <c r="B667" s="14"/>
      <c r="C667" s="14"/>
      <c r="D667" s="14"/>
      <c r="E667" s="15">
        <f>SUM(E613:E666)</f>
      </c>
      <c r="F667" s="15">
        <f>SUM(F613:F666)</f>
      </c>
      <c r="G667" s="16">
        <f>SUM(G613:G666)</f>
      </c>
      <c r="H667" s="16">
        <f>SUM(H613:H666)</f>
      </c>
      <c r="I667" s="17">
        <f>IFERROR(G667/H667, 0)</f>
      </c>
      <c r="J667" s="16">
        <f>SUM(J613:J666)</f>
      </c>
      <c r="K667" s="16">
        <f>SUM(K613:K666)</f>
      </c>
      <c r="L667" s="16">
        <f>SUM(L613:L666)</f>
      </c>
      <c r="M667" s="18">
        <f>IFERROR(L667/K667, 0)</f>
      </c>
      <c r="N667" s="19">
        <f>IFERROR(J667/K667, 0)</f>
      </c>
      <c r="O667" s="16">
        <f>SUM(O613:O666)</f>
      </c>
      <c r="P667" s="16">
        <f>SUM(P613:P666)</f>
      </c>
      <c r="Q667" s="16">
        <f>SUM(Q613:Q666)</f>
      </c>
      <c r="R667" s="17">
        <f>IFERROR(P667/Q667, 0)</f>
      </c>
      <c r="S667" s="16">
        <f>SUM(S613:S666)</f>
      </c>
      <c r="T667" s="16">
        <f>SUM(T613:T666)</f>
      </c>
      <c r="U667" s="17">
        <f>IFERROR(S667/T667, 0)</f>
      </c>
      <c r="V667" s="16">
        <f>IFERROR(S667/E667, 0)</f>
      </c>
      <c r="W667" s="16">
        <f>IFERROR(T667/F667, 0)</f>
      </c>
      <c r="X667" s="17">
        <f>IFERROR(V667/W667, 0)</f>
      </c>
    </row>
    <row r="668" spans="1:24" x14ac:dyDescent="0.25">
      <c r="A668" s="20" t="s">
        <v>717</v>
      </c>
      <c r="B668" s="20"/>
      <c r="C668" s="20"/>
      <c r="D668" s="20"/>
      <c r="E668" s="21">
        <f>SUM(E612,E667)</f>
      </c>
      <c r="F668" s="21">
        <f>SUM(F612,F667)</f>
      </c>
      <c r="G668" s="22">
        <f>SUM(G612,G667)</f>
      </c>
      <c r="H668" s="22">
        <f>SUM(H612,H667)</f>
      </c>
      <c r="I668" s="23">
        <f>IFERROR(G668/H668, 0)</f>
      </c>
      <c r="J668" s="22">
        <f>SUM(J612,J667)</f>
      </c>
      <c r="K668" s="22">
        <f>SUM(K612,K667)</f>
      </c>
      <c r="L668" s="22">
        <f>SUM(L612,L667)</f>
      </c>
      <c r="M668" s="24">
        <f>IFERROR(L668/K668, 0)</f>
      </c>
      <c r="N668" s="25">
        <f>IFERROR(J668/K668, 0)</f>
      </c>
      <c r="O668" s="22">
        <f>SUM(O612,O667)</f>
      </c>
      <c r="P668" s="22">
        <f>SUM(P612,P667)</f>
      </c>
      <c r="Q668" s="22">
        <f>SUM(Q612,Q667)</f>
      </c>
      <c r="R668" s="23">
        <f>IFERROR(P668/Q668, 0)</f>
      </c>
      <c r="S668" s="22">
        <f>SUM(S612,S667)</f>
      </c>
      <c r="T668" s="22">
        <f>SUM(T612,T667)</f>
      </c>
      <c r="U668" s="23">
        <f>IFERROR(S668/T668, 0)</f>
      </c>
      <c r="V668" s="22">
        <f>IFERROR(S668/E668, 0)</f>
      </c>
      <c r="W668" s="22">
        <f>IFERROR(T668/F668, 0)</f>
      </c>
      <c r="X668" s="23">
        <f>IFERROR(V668/W668, 0)</f>
      </c>
    </row>
    <row r="669" spans="1:24" x14ac:dyDescent="0.25">
      <c r="A669" s="8" t="s">
        <v>718</v>
      </c>
      <c r="B669" s="8" t="s">
        <v>719</v>
      </c>
      <c r="C669" s="8" t="s">
        <v>60</v>
      </c>
      <c r="D669" s="8" t="s">
        <v>720</v>
      </c>
      <c r="E669" s="9">
        <v>0</v>
      </c>
      <c r="F669" s="9">
        <v>0.03</v>
      </c>
      <c r="G669" s="10">
        <v>0</v>
      </c>
      <c r="H669" s="10">
        <v>0.8896296296296297</v>
      </c>
      <c r="I669" s="11">
        <f>IFERROR(G669/H669, 0)</f>
      </c>
      <c r="J669" s="10">
        <v>0</v>
      </c>
      <c r="K669" s="10">
        <v>0</v>
      </c>
      <c r="L669" s="10">
        <v>0</v>
      </c>
      <c r="M669" s="12">
        <f>IFERROR(L669/K669, 0)</f>
      </c>
      <c r="N669" s="13">
        <f>IFERROR(J669/K669, 0)</f>
      </c>
      <c r="O669" s="10">
        <v>0</v>
      </c>
      <c r="P669" s="10">
        <v>0</v>
      </c>
      <c r="Q669" s="10">
        <v>9.785925925925927</v>
      </c>
      <c r="R669" s="11">
        <f>IFERROR(P669/Q669, 0)</f>
      </c>
      <c r="S669" s="10">
        <v>0</v>
      </c>
      <c r="T669" s="10">
        <v>110.94592592592592</v>
      </c>
      <c r="U669" s="11">
        <f>IFERROR(S669/T669, 0)</f>
      </c>
      <c r="V669" s="10">
        <f>IFERROR(S669/E669, 0)</f>
      </c>
      <c r="W669" s="10">
        <f>IFERROR(T669/F669, 0)</f>
      </c>
      <c r="X669" s="11">
        <f>IFERROR(V669/W669, 0)</f>
      </c>
    </row>
    <row r="670" spans="1:24" x14ac:dyDescent="0.25">
      <c r="A670" s="8" t="s">
        <v>718</v>
      </c>
      <c r="B670" s="8" t="s">
        <v>719</v>
      </c>
      <c r="C670" s="8" t="s">
        <v>60</v>
      </c>
      <c r="D670" s="8" t="s">
        <v>721</v>
      </c>
      <c r="E670" s="9">
        <v>1853.95</v>
      </c>
      <c r="F670" s="9">
        <v>1378.91</v>
      </c>
      <c r="G670" s="10">
        <v>16859</v>
      </c>
      <c r="H670" s="10">
        <v>41239.75703703704</v>
      </c>
      <c r="I670" s="11">
        <f>IFERROR(G670/H670, 0)</f>
      </c>
      <c r="J670" s="10">
        <v>59</v>
      </c>
      <c r="K670" s="10">
        <v>22</v>
      </c>
      <c r="L670" s="10">
        <v>16859</v>
      </c>
      <c r="M670" s="12">
        <f>IFERROR(L670/K670, 0)</f>
      </c>
      <c r="N670" s="13">
        <f>IFERROR(J670/K670, 0)</f>
      </c>
      <c r="O670" s="10">
        <v>0</v>
      </c>
      <c r="P670" s="10">
        <v>664933</v>
      </c>
      <c r="Q670" s="10">
        <v>453637.3274074074</v>
      </c>
      <c r="R670" s="11">
        <f>IFERROR(P670/Q670, 0)</f>
      </c>
      <c r="S670" s="10">
        <v>8091566</v>
      </c>
      <c r="T670" s="10">
        <v>5141946.537407408</v>
      </c>
      <c r="U670" s="11">
        <f>IFERROR(S670/T670, 0)</f>
      </c>
      <c r="V670" s="10">
        <f>IFERROR(S670/E670, 0)</f>
      </c>
      <c r="W670" s="10">
        <f>IFERROR(T670/F670, 0)</f>
      </c>
      <c r="X670" s="11">
        <f>IFERROR(V670/W670, 0)</f>
      </c>
    </row>
    <row r="671" spans="1:24" x14ac:dyDescent="0.25">
      <c r="A671" s="8" t="s">
        <v>718</v>
      </c>
      <c r="B671" s="8" t="s">
        <v>719</v>
      </c>
      <c r="C671" s="8" t="s">
        <v>60</v>
      </c>
      <c r="D671" s="8" t="s">
        <v>722</v>
      </c>
      <c r="E671" s="9">
        <v>1365.83</v>
      </c>
      <c r="F671" s="9">
        <v>1015.87</v>
      </c>
      <c r="G671" s="10">
        <v>102036</v>
      </c>
      <c r="H671" s="10">
        <v>30382.04962962963</v>
      </c>
      <c r="I671" s="11">
        <f>IFERROR(G671/H671, 0)</f>
      </c>
      <c r="J671" s="10">
        <v>49.3</v>
      </c>
      <c r="K671" s="10">
        <v>45</v>
      </c>
      <c r="L671" s="10">
        <v>102036</v>
      </c>
      <c r="M671" s="12">
        <f>IFERROR(L671/K671, 0)</f>
      </c>
      <c r="N671" s="13">
        <f>IFERROR(J671/K671, 0)</f>
      </c>
      <c r="O671" s="10">
        <v>0</v>
      </c>
      <c r="P671" s="10">
        <v>1007897</v>
      </c>
      <c r="Q671" s="10">
        <v>334202.54592592595</v>
      </c>
      <c r="R671" s="11">
        <f>IFERROR(P671/Q671, 0)</f>
      </c>
      <c r="S671" s="10">
        <v>10342169</v>
      </c>
      <c r="T671" s="10">
        <v>3788161.875925926</v>
      </c>
      <c r="U671" s="11">
        <f>IFERROR(S671/T671, 0)</f>
      </c>
      <c r="V671" s="10">
        <f>IFERROR(S671/E671, 0)</f>
      </c>
      <c r="W671" s="10">
        <f>IFERROR(T671/F671, 0)</f>
      </c>
      <c r="X671" s="11">
        <f>IFERROR(V671/W671, 0)</f>
      </c>
    </row>
    <row r="672" spans="1:24" x14ac:dyDescent="0.25">
      <c r="A672" s="8" t="s">
        <v>718</v>
      </c>
      <c r="B672" s="8" t="s">
        <v>719</v>
      </c>
      <c r="C672" s="8" t="s">
        <v>60</v>
      </c>
      <c r="D672" s="8" t="s">
        <v>723</v>
      </c>
      <c r="E672" s="9">
        <v>36.78</v>
      </c>
      <c r="F672" s="9">
        <v>27.36</v>
      </c>
      <c r="G672" s="10">
        <v>0</v>
      </c>
      <c r="H672" s="10">
        <v>818.1485185185185</v>
      </c>
      <c r="I672" s="11">
        <f>IFERROR(G672/H672, 0)</f>
      </c>
      <c r="J672" s="10">
        <v>0</v>
      </c>
      <c r="K672" s="10">
        <v>0</v>
      </c>
      <c r="L672" s="10">
        <v>0</v>
      </c>
      <c r="M672" s="12">
        <f>IFERROR(L672/K672, 0)</f>
      </c>
      <c r="N672" s="13">
        <f>IFERROR(J672/K672, 0)</f>
      </c>
      <c r="O672" s="10">
        <v>0</v>
      </c>
      <c r="P672" s="10">
        <v>0</v>
      </c>
      <c r="Q672" s="10">
        <v>8999.633703703703</v>
      </c>
      <c r="R672" s="11">
        <f>IFERROR(P672/Q672, 0)</f>
      </c>
      <c r="S672" s="10">
        <v>0</v>
      </c>
      <c r="T672" s="10">
        <v>102010.20370370371</v>
      </c>
      <c r="U672" s="11">
        <f>IFERROR(S672/T672, 0)</f>
      </c>
      <c r="V672" s="10">
        <f>IFERROR(S672/E672, 0)</f>
      </c>
      <c r="W672" s="10">
        <f>IFERROR(T672/F672, 0)</f>
      </c>
      <c r="X672" s="11">
        <f>IFERROR(V672/W672, 0)</f>
      </c>
    </row>
    <row r="673" spans="1:24" x14ac:dyDescent="0.25">
      <c r="A673" s="8" t="s">
        <v>718</v>
      </c>
      <c r="B673" s="8" t="s">
        <v>719</v>
      </c>
      <c r="C673" s="8" t="s">
        <v>60</v>
      </c>
      <c r="D673" s="8" t="s">
        <v>724</v>
      </c>
      <c r="E673" s="9">
        <v>1.61</v>
      </c>
      <c r="F673" s="9">
        <v>1.2</v>
      </c>
      <c r="G673" s="10">
        <v>0</v>
      </c>
      <c r="H673" s="10">
        <v>35.81333333333333</v>
      </c>
      <c r="I673" s="11">
        <f>IFERROR(G673/H673, 0)</f>
      </c>
      <c r="J673" s="10">
        <v>0</v>
      </c>
      <c r="K673" s="10">
        <v>0</v>
      </c>
      <c r="L673" s="10">
        <v>0</v>
      </c>
      <c r="M673" s="12">
        <f>IFERROR(L673/K673, 0)</f>
      </c>
      <c r="N673" s="13">
        <f>IFERROR(J673/K673, 0)</f>
      </c>
      <c r="O673" s="10">
        <v>0</v>
      </c>
      <c r="P673" s="10">
        <v>0</v>
      </c>
      <c r="Q673" s="10">
        <v>393.94666666666666</v>
      </c>
      <c r="R673" s="11">
        <f>IFERROR(P673/Q673, 0)</f>
      </c>
      <c r="S673" s="10">
        <v>0</v>
      </c>
      <c r="T673" s="10">
        <v>4465.366666666667</v>
      </c>
      <c r="U673" s="11">
        <f>IFERROR(S673/T673, 0)</f>
      </c>
      <c r="V673" s="10">
        <f>IFERROR(S673/E673, 0)</f>
      </c>
      <c r="W673" s="10">
        <f>IFERROR(T673/F673, 0)</f>
      </c>
      <c r="X673" s="11">
        <f>IFERROR(V673/W673, 0)</f>
      </c>
    </row>
    <row r="674" spans="1:24" x14ac:dyDescent="0.25">
      <c r="A674" s="8" t="s">
        <v>718</v>
      </c>
      <c r="B674" s="8" t="s">
        <v>719</v>
      </c>
      <c r="C674" s="8" t="s">
        <v>60</v>
      </c>
      <c r="D674" s="8" t="s">
        <v>725</v>
      </c>
      <c r="E674" s="9">
        <v>0</v>
      </c>
      <c r="F674" s="9">
        <v>0</v>
      </c>
      <c r="G674" s="10">
        <v>0</v>
      </c>
      <c r="H674" s="10">
        <v>0</v>
      </c>
      <c r="I674" s="11">
        <f>IFERROR(G674/H674, 0)</f>
      </c>
      <c r="J674" s="10">
        <v>0</v>
      </c>
      <c r="K674" s="10">
        <v>0</v>
      </c>
      <c r="L674" s="10">
        <v>0</v>
      </c>
      <c r="M674" s="12">
        <f>IFERROR(L674/K674, 0)</f>
      </c>
      <c r="N674" s="13">
        <f>IFERROR(J674/K674, 0)</f>
      </c>
      <c r="O674" s="10">
        <v>0</v>
      </c>
      <c r="P674" s="10">
        <v>0</v>
      </c>
      <c r="Q674" s="10">
        <v>0</v>
      </c>
      <c r="R674" s="11">
        <f>IFERROR(P674/Q674, 0)</f>
      </c>
      <c r="S674" s="10">
        <v>0</v>
      </c>
      <c r="T674" s="10">
        <v>0</v>
      </c>
      <c r="U674" s="11">
        <f>IFERROR(S674/T674, 0)</f>
      </c>
      <c r="V674" s="10">
        <f>IFERROR(S674/E674, 0)</f>
      </c>
      <c r="W674" s="10">
        <f>IFERROR(T674/F674, 0)</f>
      </c>
      <c r="X674" s="11">
        <f>IFERROR(V674/W674, 0)</f>
      </c>
    </row>
    <row r="675" spans="1:24" x14ac:dyDescent="0.25">
      <c r="A675" s="8" t="s">
        <v>718</v>
      </c>
      <c r="B675" s="8" t="s">
        <v>719</v>
      </c>
      <c r="C675" s="8" t="s">
        <v>60</v>
      </c>
      <c r="D675" s="8" t="s">
        <v>726</v>
      </c>
      <c r="E675" s="9">
        <v>941.98</v>
      </c>
      <c r="F675" s="9">
        <v>700.64</v>
      </c>
      <c r="G675" s="10">
        <v>0</v>
      </c>
      <c r="H675" s="10">
        <v>20954.21148148148</v>
      </c>
      <c r="I675" s="11">
        <f>IFERROR(G675/H675, 0)</f>
      </c>
      <c r="J675" s="10">
        <v>0</v>
      </c>
      <c r="K675" s="10">
        <v>0</v>
      </c>
      <c r="L675" s="10">
        <v>0</v>
      </c>
      <c r="M675" s="12">
        <f>IFERROR(L675/K675, 0)</f>
      </c>
      <c r="N675" s="13">
        <f>IFERROR(J675/K675, 0)</f>
      </c>
      <c r="O675" s="10">
        <v>0</v>
      </c>
      <c r="P675" s="10">
        <v>0</v>
      </c>
      <c r="Q675" s="10">
        <v>230496.3262962963</v>
      </c>
      <c r="R675" s="11">
        <f>IFERROR(P675/Q675, 0)</f>
      </c>
      <c r="S675" s="10">
        <v>0</v>
      </c>
      <c r="T675" s="10">
        <v>2612659.336296296</v>
      </c>
      <c r="U675" s="11">
        <f>IFERROR(S675/T675, 0)</f>
      </c>
      <c r="V675" s="10">
        <f>IFERROR(S675/E675, 0)</f>
      </c>
      <c r="W675" s="10">
        <f>IFERROR(T675/F675, 0)</f>
      </c>
      <c r="X675" s="11">
        <f>IFERROR(V675/W675, 0)</f>
      </c>
    </row>
    <row r="676" spans="1:24" x14ac:dyDescent="0.25">
      <c r="A676" s="8" t="s">
        <v>718</v>
      </c>
      <c r="B676" s="8" t="s">
        <v>719</v>
      </c>
      <c r="C676" s="8" t="s">
        <v>60</v>
      </c>
      <c r="D676" s="8" t="s">
        <v>727</v>
      </c>
      <c r="E676" s="9">
        <v>4.34</v>
      </c>
      <c r="F676" s="9">
        <v>3.2</v>
      </c>
      <c r="G676" s="10">
        <v>0</v>
      </c>
      <c r="H676" s="10">
        <v>95.65074074074074</v>
      </c>
      <c r="I676" s="11">
        <f>IFERROR(G676/H676, 0)</f>
      </c>
      <c r="J676" s="10">
        <v>0</v>
      </c>
      <c r="K676" s="10">
        <v>0</v>
      </c>
      <c r="L676" s="10">
        <v>0</v>
      </c>
      <c r="M676" s="12">
        <f>IFERROR(L676/K676, 0)</f>
      </c>
      <c r="N676" s="13">
        <f>IFERROR(J676/K676, 0)</f>
      </c>
      <c r="O676" s="10">
        <v>0</v>
      </c>
      <c r="P676" s="10">
        <v>0</v>
      </c>
      <c r="Q676" s="10">
        <v>1052.1581481481483</v>
      </c>
      <c r="R676" s="11">
        <f>IFERROR(P676/Q676, 0)</f>
      </c>
      <c r="S676" s="10">
        <v>0</v>
      </c>
      <c r="T676" s="10">
        <v>11926.148148148148</v>
      </c>
      <c r="U676" s="11">
        <f>IFERROR(S676/T676, 0)</f>
      </c>
      <c r="V676" s="10">
        <f>IFERROR(S676/E676, 0)</f>
      </c>
      <c r="W676" s="10">
        <f>IFERROR(T676/F676, 0)</f>
      </c>
      <c r="X676" s="11">
        <f>IFERROR(V676/W676, 0)</f>
      </c>
    </row>
    <row r="677" spans="1:24" x14ac:dyDescent="0.25">
      <c r="A677" s="8" t="s">
        <v>718</v>
      </c>
      <c r="B677" s="8" t="s">
        <v>719</v>
      </c>
      <c r="C677" s="8" t="s">
        <v>60</v>
      </c>
      <c r="D677" s="8" t="s">
        <v>728</v>
      </c>
      <c r="E677" s="9">
        <v>7.2</v>
      </c>
      <c r="F677" s="9">
        <v>0</v>
      </c>
      <c r="G677" s="10">
        <v>0</v>
      </c>
      <c r="H677" s="10">
        <v>0</v>
      </c>
      <c r="I677" s="11">
        <f>IFERROR(G677/H677, 0)</f>
      </c>
      <c r="J677" s="10">
        <v>0</v>
      </c>
      <c r="K677" s="10">
        <v>0</v>
      </c>
      <c r="L677" s="10">
        <v>0</v>
      </c>
      <c r="M677" s="12">
        <f>IFERROR(L677/K677, 0)</f>
      </c>
      <c r="N677" s="13">
        <f>IFERROR(J677/K677, 0)</f>
      </c>
      <c r="O677" s="10">
        <v>0</v>
      </c>
      <c r="P677" s="10">
        <v>0</v>
      </c>
      <c r="Q677" s="10">
        <v>0</v>
      </c>
      <c r="R677" s="11">
        <f>IFERROR(P677/Q677, 0)</f>
      </c>
      <c r="S677" s="10">
        <v>0</v>
      </c>
      <c r="T677" s="10">
        <v>0</v>
      </c>
      <c r="U677" s="11">
        <f>IFERROR(S677/T677, 0)</f>
      </c>
      <c r="V677" s="10">
        <f>IFERROR(S677/E677, 0)</f>
      </c>
      <c r="W677" s="10">
        <f>IFERROR(T677/F677, 0)</f>
      </c>
      <c r="X677" s="11">
        <f>IFERROR(V677/W677, 0)</f>
      </c>
    </row>
    <row r="678" spans="1:24" x14ac:dyDescent="0.25">
      <c r="A678" s="8" t="s">
        <v>718</v>
      </c>
      <c r="B678" s="8" t="s">
        <v>719</v>
      </c>
      <c r="C678" s="8" t="s">
        <v>60</v>
      </c>
      <c r="D678" s="8" t="s">
        <v>729</v>
      </c>
      <c r="E678" s="9">
        <v>94.64</v>
      </c>
      <c r="F678" s="9">
        <v>73.93</v>
      </c>
      <c r="G678" s="10">
        <v>0</v>
      </c>
      <c r="H678" s="10">
        <v>2211.091851851852</v>
      </c>
      <c r="I678" s="11">
        <f>IFERROR(G678/H678, 0)</f>
      </c>
      <c r="J678" s="10">
        <v>0</v>
      </c>
      <c r="K678" s="10">
        <v>0</v>
      </c>
      <c r="L678" s="10">
        <v>0</v>
      </c>
      <c r="M678" s="12">
        <f>IFERROR(L678/K678, 0)</f>
      </c>
      <c r="N678" s="13">
        <f>IFERROR(J678/K678, 0)</f>
      </c>
      <c r="O678" s="10">
        <v>0</v>
      </c>
      <c r="P678" s="10">
        <v>0</v>
      </c>
      <c r="Q678" s="10">
        <v>24322.01037037037</v>
      </c>
      <c r="R678" s="11">
        <f>IFERROR(P678/Q678, 0)</f>
      </c>
      <c r="S678" s="10">
        <v>0</v>
      </c>
      <c r="T678" s="10">
        <v>275688.2503703704</v>
      </c>
      <c r="U678" s="11">
        <f>IFERROR(S678/T678, 0)</f>
      </c>
      <c r="V678" s="10">
        <f>IFERROR(S678/E678, 0)</f>
      </c>
      <c r="W678" s="10">
        <f>IFERROR(T678/F678, 0)</f>
      </c>
      <c r="X678" s="11">
        <f>IFERROR(V678/W678, 0)</f>
      </c>
    </row>
    <row r="679" spans="1:24" x14ac:dyDescent="0.25">
      <c r="A679" s="8" t="s">
        <v>718</v>
      </c>
      <c r="B679" s="8" t="s">
        <v>719</v>
      </c>
      <c r="C679" s="8" t="s">
        <v>60</v>
      </c>
      <c r="D679" s="8" t="s">
        <v>730</v>
      </c>
      <c r="E679" s="9">
        <v>0</v>
      </c>
      <c r="F679" s="9">
        <v>0</v>
      </c>
      <c r="G679" s="10">
        <v>0</v>
      </c>
      <c r="H679" s="10">
        <v>0</v>
      </c>
      <c r="I679" s="11">
        <f>IFERROR(G679/H679, 0)</f>
      </c>
      <c r="J679" s="10">
        <v>0</v>
      </c>
      <c r="K679" s="10">
        <v>0</v>
      </c>
      <c r="L679" s="10">
        <v>0</v>
      </c>
      <c r="M679" s="12">
        <f>IFERROR(L679/K679, 0)</f>
      </c>
      <c r="N679" s="13">
        <f>IFERROR(J679/K679, 0)</f>
      </c>
      <c r="O679" s="10">
        <v>0</v>
      </c>
      <c r="P679" s="10">
        <v>0</v>
      </c>
      <c r="Q679" s="10">
        <v>0</v>
      </c>
      <c r="R679" s="11">
        <f>IFERROR(P679/Q679, 0)</f>
      </c>
      <c r="S679" s="10">
        <v>0</v>
      </c>
      <c r="T679" s="10">
        <v>0</v>
      </c>
      <c r="U679" s="11">
        <f>IFERROR(S679/T679, 0)</f>
      </c>
      <c r="V679" s="10">
        <f>IFERROR(S679/E679, 0)</f>
      </c>
      <c r="W679" s="10">
        <f>IFERROR(T679/F679, 0)</f>
      </c>
      <c r="X679" s="11">
        <f>IFERROR(V679/W679, 0)</f>
      </c>
    </row>
    <row r="680" spans="1:24" x14ac:dyDescent="0.25">
      <c r="A680" s="8" t="s">
        <v>718</v>
      </c>
      <c r="B680" s="8" t="s">
        <v>719</v>
      </c>
      <c r="C680" s="8" t="s">
        <v>60</v>
      </c>
      <c r="D680" s="8" t="s">
        <v>731</v>
      </c>
      <c r="E680" s="9">
        <v>1.72</v>
      </c>
      <c r="F680" s="9">
        <v>100.63</v>
      </c>
      <c r="G680" s="10">
        <v>0</v>
      </c>
      <c r="H680" s="10">
        <v>3009.6655555555553</v>
      </c>
      <c r="I680" s="11">
        <f>IFERROR(G680/H680, 0)</f>
      </c>
      <c r="J680" s="10">
        <v>0</v>
      </c>
      <c r="K680" s="10">
        <v>0</v>
      </c>
      <c r="L680" s="10">
        <v>0</v>
      </c>
      <c r="M680" s="12">
        <f>IFERROR(L680/K680, 0)</f>
      </c>
      <c r="N680" s="13">
        <f>IFERROR(J680/K680, 0)</f>
      </c>
      <c r="O680" s="10">
        <v>0</v>
      </c>
      <c r="P680" s="10">
        <v>0</v>
      </c>
      <c r="Q680" s="10">
        <v>33106.32111111111</v>
      </c>
      <c r="R680" s="11">
        <f>IFERROR(P680/Q680, 0)</f>
      </c>
      <c r="S680" s="10">
        <v>0</v>
      </c>
      <c r="T680" s="10">
        <v>375257.7611111111</v>
      </c>
      <c r="U680" s="11">
        <f>IFERROR(S680/T680, 0)</f>
      </c>
      <c r="V680" s="10">
        <f>IFERROR(S680/E680, 0)</f>
      </c>
      <c r="W680" s="10">
        <f>IFERROR(T680/F680, 0)</f>
      </c>
      <c r="X680" s="11">
        <f>IFERROR(V680/W680, 0)</f>
      </c>
    </row>
    <row r="681" spans="1:24" x14ac:dyDescent="0.25">
      <c r="A681" s="8" t="s">
        <v>718</v>
      </c>
      <c r="B681" s="8" t="s">
        <v>719</v>
      </c>
      <c r="C681" s="8" t="s">
        <v>60</v>
      </c>
      <c r="D681" s="8" t="s">
        <v>732</v>
      </c>
      <c r="E681" s="9">
        <v>1903.47</v>
      </c>
      <c r="F681" s="9">
        <v>1415.74</v>
      </c>
      <c r="G681" s="10">
        <v>159057</v>
      </c>
      <c r="H681" s="10">
        <v>42341.0762962963</v>
      </c>
      <c r="I681" s="11">
        <f>IFERROR(G681/H681, 0)</f>
      </c>
      <c r="J681" s="10">
        <v>225.44</v>
      </c>
      <c r="K681" s="10">
        <v>145</v>
      </c>
      <c r="L681" s="10">
        <v>159057</v>
      </c>
      <c r="M681" s="12">
        <f>IFERROR(L681/K681, 0)</f>
      </c>
      <c r="N681" s="13">
        <f>IFERROR(J681/K681, 0)</f>
      </c>
      <c r="O681" s="10">
        <v>0</v>
      </c>
      <c r="P681" s="10">
        <v>1621903</v>
      </c>
      <c r="Q681" s="10">
        <v>465751.8392592592</v>
      </c>
      <c r="R681" s="11">
        <f>IFERROR(P681/Q681, 0)</f>
      </c>
      <c r="S681" s="10">
        <v>20680000</v>
      </c>
      <c r="T681" s="10">
        <v>5279263.689259259</v>
      </c>
      <c r="U681" s="11">
        <f>IFERROR(S681/T681, 0)</f>
      </c>
      <c r="V681" s="10">
        <f>IFERROR(S681/E681, 0)</f>
      </c>
      <c r="W681" s="10">
        <f>IFERROR(T681/F681, 0)</f>
      </c>
      <c r="X681" s="11">
        <f>IFERROR(V681/W681, 0)</f>
      </c>
    </row>
    <row r="682" spans="1:24" x14ac:dyDescent="0.25">
      <c r="A682" s="8" t="s">
        <v>718</v>
      </c>
      <c r="B682" s="8" t="s">
        <v>719</v>
      </c>
      <c r="C682" s="8" t="s">
        <v>60</v>
      </c>
      <c r="D682" s="8" t="s">
        <v>733</v>
      </c>
      <c r="E682" s="9">
        <v>479.88</v>
      </c>
      <c r="F682" s="9">
        <v>356.92</v>
      </c>
      <c r="G682" s="10">
        <v>0</v>
      </c>
      <c r="H682" s="10">
        <v>10674.635925925926</v>
      </c>
      <c r="I682" s="11">
        <f>IFERROR(G682/H682, 0)</f>
      </c>
      <c r="J682" s="10">
        <v>0</v>
      </c>
      <c r="K682" s="10">
        <v>0</v>
      </c>
      <c r="L682" s="10">
        <v>0</v>
      </c>
      <c r="M682" s="12">
        <f>IFERROR(L682/K682, 0)</f>
      </c>
      <c r="N682" s="13">
        <f>IFERROR(J682/K682, 0)</f>
      </c>
      <c r="O682" s="10">
        <v>0</v>
      </c>
      <c r="P682" s="10">
        <v>0</v>
      </c>
      <c r="Q682" s="10">
        <v>117420.99518518518</v>
      </c>
      <c r="R682" s="11">
        <f>IFERROR(P682/Q682, 0)</f>
      </c>
      <c r="S682" s="10">
        <v>0</v>
      </c>
      <c r="T682" s="10">
        <v>1330958.5351851853</v>
      </c>
      <c r="U682" s="11">
        <f>IFERROR(S682/T682, 0)</f>
      </c>
      <c r="V682" s="10">
        <f>IFERROR(S682/E682, 0)</f>
      </c>
      <c r="W682" s="10">
        <f>IFERROR(T682/F682, 0)</f>
      </c>
      <c r="X682" s="11">
        <f>IFERROR(V682/W682, 0)</f>
      </c>
    </row>
    <row r="683" spans="1:24" x14ac:dyDescent="0.25">
      <c r="A683" s="8" t="s">
        <v>718</v>
      </c>
      <c r="B683" s="8" t="s">
        <v>719</v>
      </c>
      <c r="C683" s="8" t="s">
        <v>60</v>
      </c>
      <c r="D683" s="8" t="s">
        <v>734</v>
      </c>
      <c r="E683" s="9">
        <v>64.91</v>
      </c>
      <c r="F683" s="9">
        <v>47.75</v>
      </c>
      <c r="G683" s="10">
        <v>0</v>
      </c>
      <c r="H683" s="10">
        <v>1428.0896296296296</v>
      </c>
      <c r="I683" s="11">
        <f>IFERROR(G683/H683, 0)</f>
      </c>
      <c r="J683" s="10">
        <v>0</v>
      </c>
      <c r="K683" s="10">
        <v>0</v>
      </c>
      <c r="L683" s="10">
        <v>0</v>
      </c>
      <c r="M683" s="12">
        <f>IFERROR(L683/K683, 0)</f>
      </c>
      <c r="N683" s="13">
        <f>IFERROR(J683/K683, 0)</f>
      </c>
      <c r="O683" s="10">
        <v>0</v>
      </c>
      <c r="P683" s="10">
        <v>0</v>
      </c>
      <c r="Q683" s="10">
        <v>15708.985925925926</v>
      </c>
      <c r="R683" s="11">
        <f>IFERROR(P683/Q683, 0)</f>
      </c>
      <c r="S683" s="10">
        <v>0</v>
      </c>
      <c r="T683" s="10">
        <v>178060.23592592592</v>
      </c>
      <c r="U683" s="11">
        <f>IFERROR(S683/T683, 0)</f>
      </c>
      <c r="V683" s="10">
        <f>IFERROR(S683/E683, 0)</f>
      </c>
      <c r="W683" s="10">
        <f>IFERROR(T683/F683, 0)</f>
      </c>
      <c r="X683" s="11">
        <f>IFERROR(V683/W683, 0)</f>
      </c>
    </row>
    <row r="684" spans="1:24" x14ac:dyDescent="0.25">
      <c r="A684" s="8" t="s">
        <v>718</v>
      </c>
      <c r="B684" s="8" t="s">
        <v>719</v>
      </c>
      <c r="C684" s="8" t="s">
        <v>60</v>
      </c>
      <c r="D684" s="8" t="s">
        <v>735</v>
      </c>
      <c r="E684" s="9">
        <v>1014.59</v>
      </c>
      <c r="F684" s="9">
        <v>731.21</v>
      </c>
      <c r="G684" s="10">
        <v>37460</v>
      </c>
      <c r="H684" s="10">
        <v>21868.67814814815</v>
      </c>
      <c r="I684" s="11">
        <f>IFERROR(G684/H684, 0)</f>
      </c>
      <c r="J684" s="10">
        <v>115.13</v>
      </c>
      <c r="K684" s="10">
        <v>42</v>
      </c>
      <c r="L684" s="10">
        <v>37460</v>
      </c>
      <c r="M684" s="12">
        <f>IFERROR(L684/K684, 0)</f>
      </c>
      <c r="N684" s="13">
        <f>IFERROR(J684/K684, 0)</f>
      </c>
      <c r="O684" s="10">
        <v>0</v>
      </c>
      <c r="P684" s="10">
        <v>369455</v>
      </c>
      <c r="Q684" s="10">
        <v>240555.45962962962</v>
      </c>
      <c r="R684" s="11">
        <f>IFERROR(P684/Q684, 0)</f>
      </c>
      <c r="S684" s="10">
        <v>6017582</v>
      </c>
      <c r="T684" s="10">
        <v>2726678.8896296294</v>
      </c>
      <c r="U684" s="11">
        <f>IFERROR(S684/T684, 0)</f>
      </c>
      <c r="V684" s="10">
        <f>IFERROR(S684/E684, 0)</f>
      </c>
      <c r="W684" s="10">
        <f>IFERROR(T684/F684, 0)</f>
      </c>
      <c r="X684" s="11">
        <f>IFERROR(V684/W684, 0)</f>
      </c>
    </row>
    <row r="685" spans="1:24" x14ac:dyDescent="0.25">
      <c r="A685" s="8" t="s">
        <v>718</v>
      </c>
      <c r="B685" s="8" t="s">
        <v>719</v>
      </c>
      <c r="C685" s="8" t="s">
        <v>62</v>
      </c>
      <c r="D685" s="8" t="s">
        <v>736</v>
      </c>
      <c r="E685" s="9">
        <v>0</v>
      </c>
      <c r="F685" s="9">
        <v>0</v>
      </c>
      <c r="G685" s="10">
        <v>0</v>
      </c>
      <c r="H685" s="10">
        <v>0</v>
      </c>
      <c r="I685" s="11">
        <f>IFERROR(G685/H685, 0)</f>
      </c>
      <c r="J685" s="10">
        <v>0</v>
      </c>
      <c r="K685" s="10">
        <v>0</v>
      </c>
      <c r="L685" s="10">
        <v>0</v>
      </c>
      <c r="M685" s="12">
        <f>IFERROR(L685/K685, 0)</f>
      </c>
      <c r="N685" s="13">
        <f>IFERROR(J685/K685, 0)</f>
      </c>
      <c r="O685" s="10">
        <v>0</v>
      </c>
      <c r="P685" s="10">
        <v>0</v>
      </c>
      <c r="Q685" s="10">
        <v>0</v>
      </c>
      <c r="R685" s="11">
        <f>IFERROR(P685/Q685, 0)</f>
      </c>
      <c r="S685" s="10">
        <v>0</v>
      </c>
      <c r="T685" s="10">
        <v>0</v>
      </c>
      <c r="U685" s="11">
        <f>IFERROR(S685/T685, 0)</f>
      </c>
      <c r="V685" s="10">
        <f>IFERROR(S685/E685, 0)</f>
      </c>
      <c r="W685" s="10">
        <f>IFERROR(T685/F685, 0)</f>
      </c>
      <c r="X685" s="11">
        <f>IFERROR(V685/W685, 0)</f>
      </c>
    </row>
    <row r="686" spans="1:24" x14ac:dyDescent="0.25">
      <c r="A686" s="8" t="s">
        <v>718</v>
      </c>
      <c r="B686" s="8" t="s">
        <v>719</v>
      </c>
      <c r="C686" s="8" t="s">
        <v>62</v>
      </c>
      <c r="D686" s="8" t="s">
        <v>737</v>
      </c>
      <c r="E686" s="9">
        <v>2392.51</v>
      </c>
      <c r="F686" s="9">
        <v>1807.05</v>
      </c>
      <c r="G686" s="10">
        <v>0</v>
      </c>
      <c r="H686" s="10">
        <v>54044.07037037037</v>
      </c>
      <c r="I686" s="11">
        <f>IFERROR(G686/H686, 0)</f>
      </c>
      <c r="J686" s="10">
        <v>0</v>
      </c>
      <c r="K686" s="10">
        <v>0</v>
      </c>
      <c r="L686" s="10">
        <v>0</v>
      </c>
      <c r="M686" s="12">
        <f>IFERROR(L686/K686, 0)</f>
      </c>
      <c r="N686" s="13">
        <f>IFERROR(J686/K686, 0)</f>
      </c>
      <c r="O686" s="10">
        <v>0</v>
      </c>
      <c r="P686" s="10">
        <v>10030</v>
      </c>
      <c r="Q686" s="10">
        <v>594484.7740740741</v>
      </c>
      <c r="R686" s="11">
        <f>IFERROR(P686/Q686, 0)</f>
      </c>
      <c r="S686" s="10">
        <v>5866057</v>
      </c>
      <c r="T686" s="10">
        <v>6738442.254074074</v>
      </c>
      <c r="U686" s="11">
        <f>IFERROR(S686/T686, 0)</f>
      </c>
      <c r="V686" s="10">
        <f>IFERROR(S686/E686, 0)</f>
      </c>
      <c r="W686" s="10">
        <f>IFERROR(T686/F686, 0)</f>
      </c>
      <c r="X686" s="11">
        <f>IFERROR(V686/W686, 0)</f>
      </c>
    </row>
    <row r="687" spans="1:24" x14ac:dyDescent="0.25">
      <c r="A687" s="8" t="s">
        <v>718</v>
      </c>
      <c r="B687" s="8" t="s">
        <v>719</v>
      </c>
      <c r="C687" s="8" t="s">
        <v>62</v>
      </c>
      <c r="D687" s="8" t="s">
        <v>738</v>
      </c>
      <c r="E687" s="9">
        <v>0</v>
      </c>
      <c r="F687" s="9">
        <v>0</v>
      </c>
      <c r="G687" s="10">
        <v>0</v>
      </c>
      <c r="H687" s="10">
        <v>0</v>
      </c>
      <c r="I687" s="11">
        <f>IFERROR(G687/H687, 0)</f>
      </c>
      <c r="J687" s="10">
        <v>0</v>
      </c>
      <c r="K687" s="10">
        <v>0</v>
      </c>
      <c r="L687" s="10">
        <v>0</v>
      </c>
      <c r="M687" s="12">
        <f>IFERROR(L687/K687, 0)</f>
      </c>
      <c r="N687" s="13">
        <f>IFERROR(J687/K687, 0)</f>
      </c>
      <c r="O687" s="10">
        <v>0</v>
      </c>
      <c r="P687" s="10">
        <v>0</v>
      </c>
      <c r="Q687" s="10">
        <v>0</v>
      </c>
      <c r="R687" s="11">
        <f>IFERROR(P687/Q687, 0)</f>
      </c>
      <c r="S687" s="10">
        <v>0</v>
      </c>
      <c r="T687" s="10">
        <v>0</v>
      </c>
      <c r="U687" s="11">
        <f>IFERROR(S687/T687, 0)</f>
      </c>
      <c r="V687" s="10">
        <f>IFERROR(S687/E687, 0)</f>
      </c>
      <c r="W687" s="10">
        <f>IFERROR(T687/F687, 0)</f>
      </c>
      <c r="X687" s="11">
        <f>IFERROR(V687/W687, 0)</f>
      </c>
    </row>
    <row r="688" spans="1:24" x14ac:dyDescent="0.25">
      <c r="A688" s="8" t="s">
        <v>718</v>
      </c>
      <c r="B688" s="8" t="s">
        <v>719</v>
      </c>
      <c r="C688" s="8" t="s">
        <v>62</v>
      </c>
      <c r="D688" s="8" t="s">
        <v>739</v>
      </c>
      <c r="E688" s="9">
        <v>39</v>
      </c>
      <c r="F688" s="9">
        <v>77.7</v>
      </c>
      <c r="G688" s="10">
        <v>0</v>
      </c>
      <c r="H688" s="10">
        <v>2323.871111111111</v>
      </c>
      <c r="I688" s="11">
        <f>IFERROR(G688/H688, 0)</f>
      </c>
      <c r="J688" s="10">
        <v>0</v>
      </c>
      <c r="K688" s="10">
        <v>0</v>
      </c>
      <c r="L688" s="10">
        <v>0</v>
      </c>
      <c r="M688" s="12">
        <f>IFERROR(L688/K688, 0)</f>
      </c>
      <c r="N688" s="13">
        <f>IFERROR(J688/K688, 0)</f>
      </c>
      <c r="O688" s="10">
        <v>0</v>
      </c>
      <c r="P688" s="10">
        <v>0</v>
      </c>
      <c r="Q688" s="10">
        <v>25562.582222222223</v>
      </c>
      <c r="R688" s="11">
        <f>IFERROR(P688/Q688, 0)</f>
      </c>
      <c r="S688" s="10">
        <v>0</v>
      </c>
      <c r="T688" s="10">
        <v>289750.03222222225</v>
      </c>
      <c r="U688" s="11">
        <f>IFERROR(S688/T688, 0)</f>
      </c>
      <c r="V688" s="10">
        <f>IFERROR(S688/E688, 0)</f>
      </c>
      <c r="W688" s="10">
        <f>IFERROR(T688/F688, 0)</f>
      </c>
      <c r="X688" s="11">
        <f>IFERROR(V688/W688, 0)</f>
      </c>
    </row>
    <row r="689" spans="1:24" x14ac:dyDescent="0.25">
      <c r="A689" s="8" t="s">
        <v>718</v>
      </c>
      <c r="B689" s="8" t="s">
        <v>719</v>
      </c>
      <c r="C689" s="8" t="s">
        <v>62</v>
      </c>
      <c r="D689" s="8" t="s">
        <v>740</v>
      </c>
      <c r="E689" s="9">
        <v>2.92</v>
      </c>
      <c r="F689" s="9">
        <v>2.17</v>
      </c>
      <c r="G689" s="10">
        <v>0</v>
      </c>
      <c r="H689" s="10">
        <v>64.95370370370371</v>
      </c>
      <c r="I689" s="11">
        <f>IFERROR(G689/H689, 0)</f>
      </c>
      <c r="J689" s="10">
        <v>0</v>
      </c>
      <c r="K689" s="10">
        <v>0</v>
      </c>
      <c r="L689" s="10">
        <v>0</v>
      </c>
      <c r="M689" s="12">
        <f>IFERROR(L689/K689, 0)</f>
      </c>
      <c r="N689" s="13">
        <f>IFERROR(J689/K689, 0)</f>
      </c>
      <c r="O689" s="10">
        <v>0</v>
      </c>
      <c r="P689" s="10">
        <v>0</v>
      </c>
      <c r="Q689" s="10">
        <v>714.4907407407408</v>
      </c>
      <c r="R689" s="11">
        <f>IFERROR(P689/Q689, 0)</f>
      </c>
      <c r="S689" s="10">
        <v>0</v>
      </c>
      <c r="T689" s="10">
        <v>8098.6807407407405</v>
      </c>
      <c r="U689" s="11">
        <f>IFERROR(S689/T689, 0)</f>
      </c>
      <c r="V689" s="10">
        <f>IFERROR(S689/E689, 0)</f>
      </c>
      <c r="W689" s="10">
        <f>IFERROR(T689/F689, 0)</f>
      </c>
      <c r="X689" s="11">
        <f>IFERROR(V689/W689, 0)</f>
      </c>
    </row>
    <row r="690" spans="1:24" x14ac:dyDescent="0.25">
      <c r="A690" s="8" t="s">
        <v>718</v>
      </c>
      <c r="B690" s="8" t="s">
        <v>719</v>
      </c>
      <c r="C690" s="8" t="s">
        <v>62</v>
      </c>
      <c r="D690" s="8" t="s">
        <v>741</v>
      </c>
      <c r="E690" s="9">
        <v>2688.82</v>
      </c>
      <c r="F690" s="9">
        <v>2008.09</v>
      </c>
      <c r="G690" s="10">
        <v>191480</v>
      </c>
      <c r="H690" s="10">
        <v>60056.72777777778</v>
      </c>
      <c r="I690" s="11">
        <f>IFERROR(G690/H690, 0)</f>
      </c>
      <c r="J690" s="10">
        <v>258</v>
      </c>
      <c r="K690" s="10">
        <v>106</v>
      </c>
      <c r="L690" s="10">
        <v>191480</v>
      </c>
      <c r="M690" s="12">
        <f>IFERROR(L690/K690, 0)</f>
      </c>
      <c r="N690" s="13">
        <f>IFERROR(J690/K690, 0)</f>
      </c>
      <c r="O690" s="10">
        <v>0</v>
      </c>
      <c r="P690" s="10">
        <v>2299900</v>
      </c>
      <c r="Q690" s="10">
        <v>660624.0055555556</v>
      </c>
      <c r="R690" s="11">
        <f>IFERROR(P690/Q690, 0)</f>
      </c>
      <c r="S690" s="10">
        <v>29228087</v>
      </c>
      <c r="T690" s="10">
        <v>7488125.705555555</v>
      </c>
      <c r="U690" s="11">
        <f>IFERROR(S690/T690, 0)</f>
      </c>
      <c r="V690" s="10">
        <f>IFERROR(S690/E690, 0)</f>
      </c>
      <c r="W690" s="10">
        <f>IFERROR(T690/F690, 0)</f>
      </c>
      <c r="X690" s="11">
        <f>IFERROR(V690/W690, 0)</f>
      </c>
    </row>
    <row r="691" spans="1:24" x14ac:dyDescent="0.25">
      <c r="A691" s="8" t="s">
        <v>718</v>
      </c>
      <c r="B691" s="8" t="s">
        <v>719</v>
      </c>
      <c r="C691" s="8" t="s">
        <v>62</v>
      </c>
      <c r="D691" s="8" t="s">
        <v>742</v>
      </c>
      <c r="E691" s="9">
        <v>0</v>
      </c>
      <c r="F691" s="9">
        <v>76.16</v>
      </c>
      <c r="G691" s="10">
        <v>0</v>
      </c>
      <c r="H691" s="10">
        <v>2277.825185185185</v>
      </c>
      <c r="I691" s="11">
        <f>IFERROR(G691/H691, 0)</f>
      </c>
      <c r="J691" s="10">
        <v>0</v>
      </c>
      <c r="K691" s="10">
        <v>0</v>
      </c>
      <c r="L691" s="10">
        <v>0</v>
      </c>
      <c r="M691" s="12">
        <f>IFERROR(L691/K691, 0)</f>
      </c>
      <c r="N691" s="13">
        <f>IFERROR(J691/K691, 0)</f>
      </c>
      <c r="O691" s="10">
        <v>0</v>
      </c>
      <c r="P691" s="10">
        <v>0</v>
      </c>
      <c r="Q691" s="10">
        <v>25056.077037037037</v>
      </c>
      <c r="R691" s="11">
        <f>IFERROR(P691/Q691, 0)</f>
      </c>
      <c r="S691" s="10">
        <v>0</v>
      </c>
      <c r="T691" s="10">
        <v>284008.82703703706</v>
      </c>
      <c r="U691" s="11">
        <f>IFERROR(S691/T691, 0)</f>
      </c>
      <c r="V691" s="10">
        <f>IFERROR(S691/E691, 0)</f>
      </c>
      <c r="W691" s="10">
        <f>IFERROR(T691/F691, 0)</f>
      </c>
      <c r="X691" s="11">
        <f>IFERROR(V691/W691, 0)</f>
      </c>
    </row>
    <row r="692" spans="1:24" x14ac:dyDescent="0.25">
      <c r="A692" s="8" t="s">
        <v>718</v>
      </c>
      <c r="B692" s="8" t="s">
        <v>719</v>
      </c>
      <c r="C692" s="8" t="s">
        <v>62</v>
      </c>
      <c r="D692" s="8" t="s">
        <v>743</v>
      </c>
      <c r="E692" s="9">
        <v>0</v>
      </c>
      <c r="F692" s="9">
        <v>0</v>
      </c>
      <c r="G692" s="10">
        <v>0</v>
      </c>
      <c r="H692" s="10">
        <v>0</v>
      </c>
      <c r="I692" s="11">
        <f>IFERROR(G692/H692, 0)</f>
      </c>
      <c r="J692" s="10">
        <v>0</v>
      </c>
      <c r="K692" s="10">
        <v>0</v>
      </c>
      <c r="L692" s="10">
        <v>0</v>
      </c>
      <c r="M692" s="12">
        <f>IFERROR(L692/K692, 0)</f>
      </c>
      <c r="N692" s="13">
        <f>IFERROR(J692/K692, 0)</f>
      </c>
      <c r="O692" s="10">
        <v>0</v>
      </c>
      <c r="P692" s="10">
        <v>0</v>
      </c>
      <c r="Q692" s="10">
        <v>0</v>
      </c>
      <c r="R692" s="11">
        <f>IFERROR(P692/Q692, 0)</f>
      </c>
      <c r="S692" s="10">
        <v>0</v>
      </c>
      <c r="T692" s="10">
        <v>0</v>
      </c>
      <c r="U692" s="11">
        <f>IFERROR(S692/T692, 0)</f>
      </c>
      <c r="V692" s="10">
        <f>IFERROR(S692/E692, 0)</f>
      </c>
      <c r="W692" s="10">
        <f>IFERROR(T692/F692, 0)</f>
      </c>
      <c r="X692" s="11">
        <f>IFERROR(V692/W692, 0)</f>
      </c>
    </row>
    <row r="693" spans="1:24" x14ac:dyDescent="0.25">
      <c r="A693" s="8" t="s">
        <v>718</v>
      </c>
      <c r="B693" s="8" t="s">
        <v>719</v>
      </c>
      <c r="C693" s="8" t="s">
        <v>62</v>
      </c>
      <c r="D693" s="8" t="s">
        <v>744</v>
      </c>
      <c r="E693" s="9">
        <v>0</v>
      </c>
      <c r="F693" s="9">
        <v>60.24</v>
      </c>
      <c r="G693" s="10">
        <v>0</v>
      </c>
      <c r="H693" s="10">
        <v>1801.572962962963</v>
      </c>
      <c r="I693" s="11">
        <f>IFERROR(G693/H693, 0)</f>
      </c>
      <c r="J693" s="10">
        <v>0</v>
      </c>
      <c r="K693" s="10">
        <v>0</v>
      </c>
      <c r="L693" s="10">
        <v>0</v>
      </c>
      <c r="M693" s="12">
        <f>IFERROR(L693/K693, 0)</f>
      </c>
      <c r="N693" s="13">
        <f>IFERROR(J693/K693, 0)</f>
      </c>
      <c r="O693" s="10">
        <v>0</v>
      </c>
      <c r="P693" s="10">
        <v>0</v>
      </c>
      <c r="Q693" s="10">
        <v>19817.302592592594</v>
      </c>
      <c r="R693" s="11">
        <f>IFERROR(P693/Q693, 0)</f>
      </c>
      <c r="S693" s="10">
        <v>0</v>
      </c>
      <c r="T693" s="10">
        <v>224627.6925925926</v>
      </c>
      <c r="U693" s="11">
        <f>IFERROR(S693/T693, 0)</f>
      </c>
      <c r="V693" s="10">
        <f>IFERROR(S693/E693, 0)</f>
      </c>
      <c r="W693" s="10">
        <f>IFERROR(T693/F693, 0)</f>
      </c>
      <c r="X693" s="11">
        <f>IFERROR(V693/W693, 0)</f>
      </c>
    </row>
    <row r="694" spans="1:24" x14ac:dyDescent="0.25">
      <c r="A694" s="8" t="s">
        <v>718</v>
      </c>
      <c r="B694" s="8" t="s">
        <v>719</v>
      </c>
      <c r="C694" s="8" t="s">
        <v>62</v>
      </c>
      <c r="D694" s="8" t="s">
        <v>745</v>
      </c>
      <c r="E694" s="9">
        <v>0</v>
      </c>
      <c r="F694" s="9">
        <v>734.09</v>
      </c>
      <c r="G694" s="10">
        <v>0</v>
      </c>
      <c r="H694" s="10">
        <v>21954.764074074075</v>
      </c>
      <c r="I694" s="11">
        <f>IFERROR(G694/H694, 0)</f>
      </c>
      <c r="J694" s="10">
        <v>0</v>
      </c>
      <c r="K694" s="10">
        <v>0</v>
      </c>
      <c r="L694" s="10">
        <v>0</v>
      </c>
      <c r="M694" s="12">
        <f>IFERROR(L694/K694, 0)</f>
      </c>
      <c r="N694" s="13">
        <f>IFERROR(J694/K694, 0)</f>
      </c>
      <c r="O694" s="10">
        <v>0</v>
      </c>
      <c r="P694" s="10">
        <v>0</v>
      </c>
      <c r="Q694" s="10">
        <v>241502.4048148148</v>
      </c>
      <c r="R694" s="11">
        <f>IFERROR(P694/Q694, 0)</f>
      </c>
      <c r="S694" s="10">
        <v>0</v>
      </c>
      <c r="T694" s="10">
        <v>2737412.4248148147</v>
      </c>
      <c r="U694" s="11">
        <f>IFERROR(S694/T694, 0)</f>
      </c>
      <c r="V694" s="10">
        <f>IFERROR(S694/E694, 0)</f>
      </c>
      <c r="W694" s="10">
        <f>IFERROR(T694/F694, 0)</f>
      </c>
      <c r="X694" s="11">
        <f>IFERROR(V694/W694, 0)</f>
      </c>
    </row>
    <row r="695" spans="1:24" x14ac:dyDescent="0.25">
      <c r="A695" s="8" t="s">
        <v>718</v>
      </c>
      <c r="B695" s="8" t="s">
        <v>719</v>
      </c>
      <c r="C695" s="8" t="s">
        <v>62</v>
      </c>
      <c r="D695" s="8" t="s">
        <v>746</v>
      </c>
      <c r="E695" s="9">
        <v>0</v>
      </c>
      <c r="F695" s="9">
        <v>0</v>
      </c>
      <c r="G695" s="10">
        <v>0</v>
      </c>
      <c r="H695" s="10">
        <v>0</v>
      </c>
      <c r="I695" s="11">
        <f>IFERROR(G695/H695, 0)</f>
      </c>
      <c r="J695" s="10">
        <v>0</v>
      </c>
      <c r="K695" s="10">
        <v>0</v>
      </c>
      <c r="L695" s="10">
        <v>0</v>
      </c>
      <c r="M695" s="12">
        <f>IFERROR(L695/K695, 0)</f>
      </c>
      <c r="N695" s="13">
        <f>IFERROR(J695/K695, 0)</f>
      </c>
      <c r="O695" s="10">
        <v>0</v>
      </c>
      <c r="P695" s="10">
        <v>0</v>
      </c>
      <c r="Q695" s="10">
        <v>0</v>
      </c>
      <c r="R695" s="11">
        <f>IFERROR(P695/Q695, 0)</f>
      </c>
      <c r="S695" s="10">
        <v>0</v>
      </c>
      <c r="T695" s="10">
        <v>0</v>
      </c>
      <c r="U695" s="11">
        <f>IFERROR(S695/T695, 0)</f>
      </c>
      <c r="V695" s="10">
        <f>IFERROR(S695/E695, 0)</f>
      </c>
      <c r="W695" s="10">
        <f>IFERROR(T695/F695, 0)</f>
      </c>
      <c r="X695" s="11">
        <f>IFERROR(V695/W695, 0)</f>
      </c>
    </row>
    <row r="696" spans="1:24" x14ac:dyDescent="0.25">
      <c r="A696" s="8" t="s">
        <v>718</v>
      </c>
      <c r="B696" s="8" t="s">
        <v>719</v>
      </c>
      <c r="C696" s="8" t="s">
        <v>62</v>
      </c>
      <c r="D696" s="8" t="s">
        <v>747</v>
      </c>
      <c r="E696" s="9">
        <v>10</v>
      </c>
      <c r="F696" s="9">
        <v>7.44</v>
      </c>
      <c r="G696" s="10">
        <v>0</v>
      </c>
      <c r="H696" s="10">
        <v>222.4437037037037</v>
      </c>
      <c r="I696" s="11">
        <f>IFERROR(G696/H696, 0)</f>
      </c>
      <c r="J696" s="10">
        <v>0</v>
      </c>
      <c r="K696" s="10">
        <v>0</v>
      </c>
      <c r="L696" s="10">
        <v>0</v>
      </c>
      <c r="M696" s="12">
        <f>IFERROR(L696/K696, 0)</f>
      </c>
      <c r="N696" s="13">
        <f>IFERROR(J696/K696, 0)</f>
      </c>
      <c r="O696" s="10">
        <v>0</v>
      </c>
      <c r="P696" s="10">
        <v>0</v>
      </c>
      <c r="Q696" s="10">
        <v>2446.8807407407407</v>
      </c>
      <c r="R696" s="11">
        <f>IFERROR(P696/Q696, 0)</f>
      </c>
      <c r="S696" s="10">
        <v>0</v>
      </c>
      <c r="T696" s="10">
        <v>27735.24074074074</v>
      </c>
      <c r="U696" s="11">
        <f>IFERROR(S696/T696, 0)</f>
      </c>
      <c r="V696" s="10">
        <f>IFERROR(S696/E696, 0)</f>
      </c>
      <c r="W696" s="10">
        <f>IFERROR(T696/F696, 0)</f>
      </c>
      <c r="X696" s="11">
        <f>IFERROR(V696/W696, 0)</f>
      </c>
    </row>
    <row r="697" spans="1:24" x14ac:dyDescent="0.25">
      <c r="A697" s="8" t="s">
        <v>718</v>
      </c>
      <c r="B697" s="8" t="s">
        <v>719</v>
      </c>
      <c r="C697" s="8" t="s">
        <v>62</v>
      </c>
      <c r="D697" s="8" t="s">
        <v>748</v>
      </c>
      <c r="E697" s="9">
        <v>0</v>
      </c>
      <c r="F697" s="9">
        <v>0</v>
      </c>
      <c r="G697" s="10">
        <v>0</v>
      </c>
      <c r="H697" s="10">
        <v>0</v>
      </c>
      <c r="I697" s="11">
        <f>IFERROR(G697/H697, 0)</f>
      </c>
      <c r="J697" s="10">
        <v>0</v>
      </c>
      <c r="K697" s="10">
        <v>0</v>
      </c>
      <c r="L697" s="10">
        <v>0</v>
      </c>
      <c r="M697" s="12">
        <f>IFERROR(L697/K697, 0)</f>
      </c>
      <c r="N697" s="13">
        <f>IFERROR(J697/K697, 0)</f>
      </c>
      <c r="O697" s="10">
        <v>0</v>
      </c>
      <c r="P697" s="10">
        <v>0</v>
      </c>
      <c r="Q697" s="10">
        <v>0</v>
      </c>
      <c r="R697" s="11">
        <f>IFERROR(P697/Q697, 0)</f>
      </c>
      <c r="S697" s="10">
        <v>0</v>
      </c>
      <c r="T697" s="10">
        <v>0</v>
      </c>
      <c r="U697" s="11">
        <f>IFERROR(S697/T697, 0)</f>
      </c>
      <c r="V697" s="10">
        <f>IFERROR(S697/E697, 0)</f>
      </c>
      <c r="W697" s="10">
        <f>IFERROR(T697/F697, 0)</f>
      </c>
      <c r="X697" s="11">
        <f>IFERROR(V697/W697, 0)</f>
      </c>
    </row>
    <row r="698" spans="1:24" x14ac:dyDescent="0.25">
      <c r="A698" s="8" t="s">
        <v>718</v>
      </c>
      <c r="B698" s="8" t="s">
        <v>719</v>
      </c>
      <c r="C698" s="8" t="s">
        <v>62</v>
      </c>
      <c r="D698" s="8" t="s">
        <v>749</v>
      </c>
      <c r="E698" s="9">
        <v>0</v>
      </c>
      <c r="F698" s="9">
        <v>0</v>
      </c>
      <c r="G698" s="10">
        <v>0</v>
      </c>
      <c r="H698" s="10">
        <v>0</v>
      </c>
      <c r="I698" s="11">
        <f>IFERROR(G698/H698, 0)</f>
      </c>
      <c r="J698" s="10">
        <v>0</v>
      </c>
      <c r="K698" s="10">
        <v>0</v>
      </c>
      <c r="L698" s="10">
        <v>0</v>
      </c>
      <c r="M698" s="12">
        <f>IFERROR(L698/K698, 0)</f>
      </c>
      <c r="N698" s="13">
        <f>IFERROR(J698/K698, 0)</f>
      </c>
      <c r="O698" s="10">
        <v>0</v>
      </c>
      <c r="P698" s="10">
        <v>0</v>
      </c>
      <c r="Q698" s="10">
        <v>0</v>
      </c>
      <c r="R698" s="11">
        <f>IFERROR(P698/Q698, 0)</f>
      </c>
      <c r="S698" s="10">
        <v>0</v>
      </c>
      <c r="T698" s="10">
        <v>0</v>
      </c>
      <c r="U698" s="11">
        <f>IFERROR(S698/T698, 0)</f>
      </c>
      <c r="V698" s="10">
        <f>IFERROR(S698/E698, 0)</f>
      </c>
      <c r="W698" s="10">
        <f>IFERROR(T698/F698, 0)</f>
      </c>
      <c r="X698" s="11">
        <f>IFERROR(V698/W698, 0)</f>
      </c>
    </row>
    <row r="699" spans="1:24" x14ac:dyDescent="0.25">
      <c r="A699" s="8" t="s">
        <v>718</v>
      </c>
      <c r="B699" s="8" t="s">
        <v>719</v>
      </c>
      <c r="C699" s="8" t="s">
        <v>64</v>
      </c>
      <c r="D699" s="8" t="s">
        <v>750</v>
      </c>
      <c r="E699" s="9">
        <v>0</v>
      </c>
      <c r="F699" s="9">
        <v>0</v>
      </c>
      <c r="G699" s="10">
        <v>0</v>
      </c>
      <c r="H699" s="10">
        <v>0</v>
      </c>
      <c r="I699" s="11">
        <f>IFERROR(G699/H699, 0)</f>
      </c>
      <c r="J699" s="10">
        <v>0</v>
      </c>
      <c r="K699" s="10">
        <v>0</v>
      </c>
      <c r="L699" s="10">
        <v>0</v>
      </c>
      <c r="M699" s="12">
        <f>IFERROR(L699/K699, 0)</f>
      </c>
      <c r="N699" s="13">
        <f>IFERROR(J699/K699, 0)</f>
      </c>
      <c r="O699" s="10">
        <v>0</v>
      </c>
      <c r="P699" s="10">
        <v>0</v>
      </c>
      <c r="Q699" s="10">
        <v>0</v>
      </c>
      <c r="R699" s="11">
        <f>IFERROR(P699/Q699, 0)</f>
      </c>
      <c r="S699" s="10">
        <v>0</v>
      </c>
      <c r="T699" s="10">
        <v>0</v>
      </c>
      <c r="U699" s="11">
        <f>IFERROR(S699/T699, 0)</f>
      </c>
      <c r="V699" s="10">
        <f>IFERROR(S699/E699, 0)</f>
      </c>
      <c r="W699" s="10">
        <f>IFERROR(T699/F699, 0)</f>
      </c>
      <c r="X699" s="11">
        <f>IFERROR(V699/W699, 0)</f>
      </c>
    </row>
    <row r="700" spans="1:24" x14ac:dyDescent="0.25">
      <c r="A700" s="8" t="s">
        <v>718</v>
      </c>
      <c r="B700" s="8" t="s">
        <v>719</v>
      </c>
      <c r="C700" s="8" t="s">
        <v>64</v>
      </c>
      <c r="D700" s="8" t="s">
        <v>751</v>
      </c>
      <c r="E700" s="9">
        <v>10.48</v>
      </c>
      <c r="F700" s="9">
        <v>0</v>
      </c>
      <c r="G700" s="10">
        <v>0</v>
      </c>
      <c r="H700" s="10">
        <v>0</v>
      </c>
      <c r="I700" s="11">
        <f>IFERROR(G700/H700, 0)</f>
      </c>
      <c r="J700" s="10">
        <v>0</v>
      </c>
      <c r="K700" s="10">
        <v>0</v>
      </c>
      <c r="L700" s="10">
        <v>0</v>
      </c>
      <c r="M700" s="12">
        <f>IFERROR(L700/K700, 0)</f>
      </c>
      <c r="N700" s="13">
        <f>IFERROR(J700/K700, 0)</f>
      </c>
      <c r="O700" s="10">
        <v>0</v>
      </c>
      <c r="P700" s="10">
        <v>0</v>
      </c>
      <c r="Q700" s="10">
        <v>0</v>
      </c>
      <c r="R700" s="11">
        <f>IFERROR(P700/Q700, 0)</f>
      </c>
      <c r="S700" s="10">
        <v>0</v>
      </c>
      <c r="T700" s="10">
        <v>0</v>
      </c>
      <c r="U700" s="11">
        <f>IFERROR(S700/T700, 0)</f>
      </c>
      <c r="V700" s="10">
        <f>IFERROR(S700/E700, 0)</f>
      </c>
      <c r="W700" s="10">
        <f>IFERROR(T700/F700, 0)</f>
      </c>
      <c r="X700" s="11">
        <f>IFERROR(V700/W700, 0)</f>
      </c>
    </row>
    <row r="701" spans="1:24" x14ac:dyDescent="0.25">
      <c r="A701" s="8" t="s">
        <v>718</v>
      </c>
      <c r="B701" s="8" t="s">
        <v>719</v>
      </c>
      <c r="C701" s="8" t="s">
        <v>64</v>
      </c>
      <c r="D701" s="8" t="s">
        <v>752</v>
      </c>
      <c r="E701" s="9">
        <v>0</v>
      </c>
      <c r="F701" s="9">
        <v>133.72</v>
      </c>
      <c r="G701" s="10">
        <v>0</v>
      </c>
      <c r="H701" s="10">
        <v>3999.3181481481483</v>
      </c>
      <c r="I701" s="11">
        <f>IFERROR(G701/H701, 0)</f>
      </c>
      <c r="J701" s="10">
        <v>0</v>
      </c>
      <c r="K701" s="10">
        <v>0</v>
      </c>
      <c r="L701" s="10">
        <v>0</v>
      </c>
      <c r="M701" s="12">
        <f>IFERROR(L701/K701, 0)</f>
      </c>
      <c r="N701" s="13">
        <f>IFERROR(J701/K701, 0)</f>
      </c>
      <c r="O701" s="10">
        <v>0</v>
      </c>
      <c r="P701" s="10">
        <v>0</v>
      </c>
      <c r="Q701" s="10">
        <v>43992.49962962963</v>
      </c>
      <c r="R701" s="11">
        <f>IFERROR(P701/Q701, 0)</f>
      </c>
      <c r="S701" s="10">
        <v>0</v>
      </c>
      <c r="T701" s="10">
        <v>498651.8196296296</v>
      </c>
      <c r="U701" s="11">
        <f>IFERROR(S701/T701, 0)</f>
      </c>
      <c r="V701" s="10">
        <f>IFERROR(S701/E701, 0)</f>
      </c>
      <c r="W701" s="10">
        <f>IFERROR(T701/F701, 0)</f>
      </c>
      <c r="X701" s="11">
        <f>IFERROR(V701/W701, 0)</f>
      </c>
    </row>
    <row r="702" spans="1:24" x14ac:dyDescent="0.25">
      <c r="A702" s="8" t="s">
        <v>718</v>
      </c>
      <c r="B702" s="8" t="s">
        <v>719</v>
      </c>
      <c r="C702" s="8" t="s">
        <v>64</v>
      </c>
      <c r="D702" s="8" t="s">
        <v>753</v>
      </c>
      <c r="E702" s="9">
        <v>214</v>
      </c>
      <c r="F702" s="9">
        <v>159.17</v>
      </c>
      <c r="G702" s="10">
        <v>11298</v>
      </c>
      <c r="H702" s="10">
        <v>4760.298518518519</v>
      </c>
      <c r="I702" s="11">
        <f>IFERROR(G702/H702, 0)</f>
      </c>
      <c r="J702" s="10">
        <v>24.3</v>
      </c>
      <c r="K702" s="10">
        <v>9</v>
      </c>
      <c r="L702" s="10">
        <v>11298</v>
      </c>
      <c r="M702" s="12">
        <f>IFERROR(L702/K702, 0)</f>
      </c>
      <c r="N702" s="13">
        <f>IFERROR(J702/K702, 0)</f>
      </c>
      <c r="O702" s="10">
        <v>0</v>
      </c>
      <c r="P702" s="10">
        <v>111205</v>
      </c>
      <c r="Q702" s="10">
        <v>52363.2837037037</v>
      </c>
      <c r="R702" s="11">
        <f>IFERROR(P702/Q702, 0)</f>
      </c>
      <c r="S702" s="10">
        <v>1707578</v>
      </c>
      <c r="T702" s="10">
        <v>593534.0737037037</v>
      </c>
      <c r="U702" s="11">
        <f>IFERROR(S702/T702, 0)</f>
      </c>
      <c r="V702" s="10">
        <f>IFERROR(S702/E702, 0)</f>
      </c>
      <c r="W702" s="10">
        <f>IFERROR(T702/F702, 0)</f>
      </c>
      <c r="X702" s="11">
        <f>IFERROR(V702/W702, 0)</f>
      </c>
    </row>
    <row r="703" spans="1:24" x14ac:dyDescent="0.25">
      <c r="A703" s="8" t="s">
        <v>718</v>
      </c>
      <c r="B703" s="8" t="s">
        <v>719</v>
      </c>
      <c r="C703" s="8" t="s">
        <v>64</v>
      </c>
      <c r="D703" s="8" t="s">
        <v>754</v>
      </c>
      <c r="E703" s="9">
        <v>12.71</v>
      </c>
      <c r="F703" s="9">
        <v>9.46</v>
      </c>
      <c r="G703" s="10">
        <v>0</v>
      </c>
      <c r="H703" s="10">
        <v>282.94851851851854</v>
      </c>
      <c r="I703" s="11">
        <f>IFERROR(G703/H703, 0)</f>
      </c>
      <c r="J703" s="10">
        <v>0</v>
      </c>
      <c r="K703" s="10">
        <v>0</v>
      </c>
      <c r="L703" s="10">
        <v>0</v>
      </c>
      <c r="M703" s="12">
        <f>IFERROR(L703/K703, 0)</f>
      </c>
      <c r="N703" s="13">
        <f>IFERROR(J703/K703, 0)</f>
      </c>
      <c r="O703" s="10">
        <v>0</v>
      </c>
      <c r="P703" s="10">
        <v>0</v>
      </c>
      <c r="Q703" s="10">
        <v>3112.4337037037035</v>
      </c>
      <c r="R703" s="11">
        <f>IFERROR(P703/Q703, 0)</f>
      </c>
      <c r="S703" s="10">
        <v>0</v>
      </c>
      <c r="T703" s="10">
        <v>35279.223703703705</v>
      </c>
      <c r="U703" s="11">
        <f>IFERROR(S703/T703, 0)</f>
      </c>
      <c r="V703" s="10">
        <f>IFERROR(S703/E703, 0)</f>
      </c>
      <c r="W703" s="10">
        <f>IFERROR(T703/F703, 0)</f>
      </c>
      <c r="X703" s="11">
        <f>IFERROR(V703/W703, 0)</f>
      </c>
    </row>
    <row r="704" spans="1:24" x14ac:dyDescent="0.25">
      <c r="A704" s="8" t="s">
        <v>718</v>
      </c>
      <c r="B704" s="8" t="s">
        <v>719</v>
      </c>
      <c r="C704" s="8" t="s">
        <v>64</v>
      </c>
      <c r="D704" s="8" t="s">
        <v>755</v>
      </c>
      <c r="E704" s="9">
        <v>0</v>
      </c>
      <c r="F704" s="9">
        <v>0</v>
      </c>
      <c r="G704" s="10">
        <v>0</v>
      </c>
      <c r="H704" s="10">
        <v>0</v>
      </c>
      <c r="I704" s="11">
        <f>IFERROR(G704/H704, 0)</f>
      </c>
      <c r="J704" s="10">
        <v>0</v>
      </c>
      <c r="K704" s="10">
        <v>0</v>
      </c>
      <c r="L704" s="10">
        <v>0</v>
      </c>
      <c r="M704" s="12">
        <f>IFERROR(L704/K704, 0)</f>
      </c>
      <c r="N704" s="13">
        <f>IFERROR(J704/K704, 0)</f>
      </c>
      <c r="O704" s="10">
        <v>0</v>
      </c>
      <c r="P704" s="10">
        <v>0</v>
      </c>
      <c r="Q704" s="10">
        <v>0</v>
      </c>
      <c r="R704" s="11">
        <f>IFERROR(P704/Q704, 0)</f>
      </c>
      <c r="S704" s="10">
        <v>0</v>
      </c>
      <c r="T704" s="10">
        <v>0</v>
      </c>
      <c r="U704" s="11">
        <f>IFERROR(S704/T704, 0)</f>
      </c>
      <c r="V704" s="10">
        <f>IFERROR(S704/E704, 0)</f>
      </c>
      <c r="W704" s="10">
        <f>IFERROR(T704/F704, 0)</f>
      </c>
      <c r="X704" s="11">
        <f>IFERROR(V704/W704, 0)</f>
      </c>
    </row>
    <row r="705" spans="1:24" x14ac:dyDescent="0.25">
      <c r="A705" s="8" t="s">
        <v>718</v>
      </c>
      <c r="B705" s="8" t="s">
        <v>719</v>
      </c>
      <c r="C705" s="8" t="s">
        <v>64</v>
      </c>
      <c r="D705" s="8" t="s">
        <v>756</v>
      </c>
      <c r="E705" s="9">
        <v>0</v>
      </c>
      <c r="F705" s="9">
        <v>0</v>
      </c>
      <c r="G705" s="10">
        <v>0</v>
      </c>
      <c r="H705" s="10">
        <v>0</v>
      </c>
      <c r="I705" s="11">
        <f>IFERROR(G705/H705, 0)</f>
      </c>
      <c r="J705" s="10">
        <v>0</v>
      </c>
      <c r="K705" s="10">
        <v>0</v>
      </c>
      <c r="L705" s="10">
        <v>0</v>
      </c>
      <c r="M705" s="12">
        <f>IFERROR(L705/K705, 0)</f>
      </c>
      <c r="N705" s="13">
        <f>IFERROR(J705/K705, 0)</f>
      </c>
      <c r="O705" s="10">
        <v>0</v>
      </c>
      <c r="P705" s="10">
        <v>0</v>
      </c>
      <c r="Q705" s="10">
        <v>0</v>
      </c>
      <c r="R705" s="11">
        <f>IFERROR(P705/Q705, 0)</f>
      </c>
      <c r="S705" s="10">
        <v>0</v>
      </c>
      <c r="T705" s="10">
        <v>0</v>
      </c>
      <c r="U705" s="11">
        <f>IFERROR(S705/T705, 0)</f>
      </c>
      <c r="V705" s="10">
        <f>IFERROR(S705/E705, 0)</f>
      </c>
      <c r="W705" s="10">
        <f>IFERROR(T705/F705, 0)</f>
      </c>
      <c r="X705" s="11">
        <f>IFERROR(V705/W705, 0)</f>
      </c>
    </row>
    <row r="706" spans="1:24" x14ac:dyDescent="0.25">
      <c r="A706" s="8" t="s">
        <v>718</v>
      </c>
      <c r="B706" s="8" t="s">
        <v>719</v>
      </c>
      <c r="C706" s="8" t="s">
        <v>64</v>
      </c>
      <c r="D706" s="8" t="s">
        <v>757</v>
      </c>
      <c r="E706" s="9">
        <v>0</v>
      </c>
      <c r="F706" s="9">
        <v>0</v>
      </c>
      <c r="G706" s="10">
        <v>0</v>
      </c>
      <c r="H706" s="10">
        <v>0</v>
      </c>
      <c r="I706" s="11">
        <f>IFERROR(G706/H706, 0)</f>
      </c>
      <c r="J706" s="10">
        <v>0</v>
      </c>
      <c r="K706" s="10">
        <v>0</v>
      </c>
      <c r="L706" s="10">
        <v>0</v>
      </c>
      <c r="M706" s="12">
        <f>IFERROR(L706/K706, 0)</f>
      </c>
      <c r="N706" s="13">
        <f>IFERROR(J706/K706, 0)</f>
      </c>
      <c r="O706" s="10">
        <v>0</v>
      </c>
      <c r="P706" s="10">
        <v>0</v>
      </c>
      <c r="Q706" s="10">
        <v>0</v>
      </c>
      <c r="R706" s="11">
        <f>IFERROR(P706/Q706, 0)</f>
      </c>
      <c r="S706" s="10">
        <v>0</v>
      </c>
      <c r="T706" s="10">
        <v>0</v>
      </c>
      <c r="U706" s="11">
        <f>IFERROR(S706/T706, 0)</f>
      </c>
      <c r="V706" s="10">
        <f>IFERROR(S706/E706, 0)</f>
      </c>
      <c r="W706" s="10">
        <f>IFERROR(T706/F706, 0)</f>
      </c>
      <c r="X706" s="11">
        <f>IFERROR(V706/W706, 0)</f>
      </c>
    </row>
    <row r="707" spans="1:24" x14ac:dyDescent="0.25">
      <c r="A707" s="8" t="s">
        <v>718</v>
      </c>
      <c r="B707" s="8" t="s">
        <v>719</v>
      </c>
      <c r="C707" s="8" t="s">
        <v>64</v>
      </c>
      <c r="D707" s="8" t="s">
        <v>758</v>
      </c>
      <c r="E707" s="9">
        <v>0</v>
      </c>
      <c r="F707" s="9">
        <v>0</v>
      </c>
      <c r="G707" s="10">
        <v>0</v>
      </c>
      <c r="H707" s="10">
        <v>0</v>
      </c>
      <c r="I707" s="11">
        <f>IFERROR(G707/H707, 0)</f>
      </c>
      <c r="J707" s="10">
        <v>0</v>
      </c>
      <c r="K707" s="10">
        <v>0</v>
      </c>
      <c r="L707" s="10">
        <v>0</v>
      </c>
      <c r="M707" s="12">
        <f>IFERROR(L707/K707, 0)</f>
      </c>
      <c r="N707" s="13">
        <f>IFERROR(J707/K707, 0)</f>
      </c>
      <c r="O707" s="10">
        <v>0</v>
      </c>
      <c r="P707" s="10">
        <v>0</v>
      </c>
      <c r="Q707" s="10">
        <v>0</v>
      </c>
      <c r="R707" s="11">
        <f>IFERROR(P707/Q707, 0)</f>
      </c>
      <c r="S707" s="10">
        <v>0</v>
      </c>
      <c r="T707" s="10">
        <v>0</v>
      </c>
      <c r="U707" s="11">
        <f>IFERROR(S707/T707, 0)</f>
      </c>
      <c r="V707" s="10">
        <f>IFERROR(S707/E707, 0)</f>
      </c>
      <c r="W707" s="10">
        <f>IFERROR(T707/F707, 0)</f>
      </c>
      <c r="X707" s="11">
        <f>IFERROR(V707/W707, 0)</f>
      </c>
    </row>
    <row r="708" spans="1:24" x14ac:dyDescent="0.25">
      <c r="A708" s="8" t="s">
        <v>718</v>
      </c>
      <c r="B708" s="8" t="s">
        <v>719</v>
      </c>
      <c r="C708" s="8" t="s">
        <v>64</v>
      </c>
      <c r="D708" s="8" t="s">
        <v>759</v>
      </c>
      <c r="E708" s="9">
        <v>890.01</v>
      </c>
      <c r="F708" s="9">
        <v>0</v>
      </c>
      <c r="G708" s="10">
        <v>0</v>
      </c>
      <c r="H708" s="10">
        <v>0</v>
      </c>
      <c r="I708" s="11">
        <f>IFERROR(G708/H708, 0)</f>
      </c>
      <c r="J708" s="10">
        <v>0</v>
      </c>
      <c r="K708" s="10">
        <v>0</v>
      </c>
      <c r="L708" s="10">
        <v>0</v>
      </c>
      <c r="M708" s="12">
        <f>IFERROR(L708/K708, 0)</f>
      </c>
      <c r="N708" s="13">
        <f>IFERROR(J708/K708, 0)</f>
      </c>
      <c r="O708" s="10">
        <v>0</v>
      </c>
      <c r="P708" s="10">
        <v>0</v>
      </c>
      <c r="Q708" s="10">
        <v>0</v>
      </c>
      <c r="R708" s="11">
        <f>IFERROR(P708/Q708, 0)</f>
      </c>
      <c r="S708" s="10">
        <v>1215332</v>
      </c>
      <c r="T708" s="10">
        <v>0</v>
      </c>
      <c r="U708" s="11">
        <f>IFERROR(S708/T708, 0)</f>
      </c>
      <c r="V708" s="10">
        <f>IFERROR(S708/E708, 0)</f>
      </c>
      <c r="W708" s="10">
        <f>IFERROR(T708/F708, 0)</f>
      </c>
      <c r="X708" s="11">
        <f>IFERROR(V708/W708, 0)</f>
      </c>
    </row>
    <row r="709" spans="1:24" x14ac:dyDescent="0.25">
      <c r="A709" s="8" t="s">
        <v>718</v>
      </c>
      <c r="B709" s="8" t="s">
        <v>719</v>
      </c>
      <c r="C709" s="8" t="s">
        <v>64</v>
      </c>
      <c r="D709" s="8" t="s">
        <v>760</v>
      </c>
      <c r="E709" s="9">
        <v>15.73</v>
      </c>
      <c r="F709" s="9">
        <v>11.7</v>
      </c>
      <c r="G709" s="10">
        <v>0</v>
      </c>
      <c r="H709" s="10">
        <v>349.90407407407406</v>
      </c>
      <c r="I709" s="11">
        <f>IFERROR(G709/H709, 0)</f>
      </c>
      <c r="J709" s="10">
        <v>0</v>
      </c>
      <c r="K709" s="10">
        <v>0</v>
      </c>
      <c r="L709" s="10">
        <v>0</v>
      </c>
      <c r="M709" s="12">
        <f>IFERROR(L709/K709, 0)</f>
      </c>
      <c r="N709" s="13">
        <f>IFERROR(J709/K709, 0)</f>
      </c>
      <c r="O709" s="10">
        <v>0</v>
      </c>
      <c r="P709" s="10">
        <v>0</v>
      </c>
      <c r="Q709" s="10">
        <v>3848.944814814815</v>
      </c>
      <c r="R709" s="11">
        <f>IFERROR(P709/Q709, 0)</f>
      </c>
      <c r="S709" s="10">
        <v>0</v>
      </c>
      <c r="T709" s="10">
        <v>43627.52481481482</v>
      </c>
      <c r="U709" s="11">
        <f>IFERROR(S709/T709, 0)</f>
      </c>
      <c r="V709" s="10">
        <f>IFERROR(S709/E709, 0)</f>
      </c>
      <c r="W709" s="10">
        <f>IFERROR(T709/F709, 0)</f>
      </c>
      <c r="X709" s="11">
        <f>IFERROR(V709/W709, 0)</f>
      </c>
    </row>
    <row r="710" spans="1:24" x14ac:dyDescent="0.25">
      <c r="A710" s="8" t="s">
        <v>718</v>
      </c>
      <c r="B710" s="8" t="s">
        <v>719</v>
      </c>
      <c r="C710" s="8" t="s">
        <v>64</v>
      </c>
      <c r="D710" s="8" t="s">
        <v>761</v>
      </c>
      <c r="E710" s="9">
        <v>0</v>
      </c>
      <c r="F710" s="9">
        <v>0</v>
      </c>
      <c r="G710" s="10">
        <v>0</v>
      </c>
      <c r="H710" s="10">
        <v>0</v>
      </c>
      <c r="I710" s="11">
        <f>IFERROR(G710/H710, 0)</f>
      </c>
      <c r="J710" s="10">
        <v>0</v>
      </c>
      <c r="K710" s="10">
        <v>0</v>
      </c>
      <c r="L710" s="10">
        <v>0</v>
      </c>
      <c r="M710" s="12">
        <f>IFERROR(L710/K710, 0)</f>
      </c>
      <c r="N710" s="13">
        <f>IFERROR(J710/K710, 0)</f>
      </c>
      <c r="O710" s="10">
        <v>0</v>
      </c>
      <c r="P710" s="10">
        <v>0</v>
      </c>
      <c r="Q710" s="10">
        <v>0</v>
      </c>
      <c r="R710" s="11">
        <f>IFERROR(P710/Q710, 0)</f>
      </c>
      <c r="S710" s="10">
        <v>0</v>
      </c>
      <c r="T710" s="10">
        <v>0</v>
      </c>
      <c r="U710" s="11">
        <f>IFERROR(S710/T710, 0)</f>
      </c>
      <c r="V710" s="10">
        <f>IFERROR(S710/E710, 0)</f>
      </c>
      <c r="W710" s="10">
        <f>IFERROR(T710/F710, 0)</f>
      </c>
      <c r="X710" s="11">
        <f>IFERROR(V710/W710, 0)</f>
      </c>
    </row>
    <row r="711" spans="1:24" x14ac:dyDescent="0.25">
      <c r="A711" s="8" t="s">
        <v>718</v>
      </c>
      <c r="B711" s="8" t="s">
        <v>719</v>
      </c>
      <c r="C711" s="8" t="s">
        <v>64</v>
      </c>
      <c r="D711" s="8" t="s">
        <v>762</v>
      </c>
      <c r="E711" s="9">
        <v>0.49</v>
      </c>
      <c r="F711" s="9">
        <v>0.36</v>
      </c>
      <c r="G711" s="10">
        <v>0</v>
      </c>
      <c r="H711" s="10">
        <v>10.89962962962963</v>
      </c>
      <c r="I711" s="11">
        <f>IFERROR(G711/H711, 0)</f>
      </c>
      <c r="J711" s="10">
        <v>0</v>
      </c>
      <c r="K711" s="10">
        <v>0</v>
      </c>
      <c r="L711" s="10">
        <v>0</v>
      </c>
      <c r="M711" s="12">
        <f>IFERROR(L711/K711, 0)</f>
      </c>
      <c r="N711" s="13">
        <f>IFERROR(J711/K711, 0)</f>
      </c>
      <c r="O711" s="10">
        <v>0</v>
      </c>
      <c r="P711" s="10">
        <v>0</v>
      </c>
      <c r="Q711" s="10">
        <v>119.89592592592592</v>
      </c>
      <c r="R711" s="11">
        <f>IFERROR(P711/Q711, 0)</f>
      </c>
      <c r="S711" s="10">
        <v>0</v>
      </c>
      <c r="T711" s="10">
        <v>1359.025925925926</v>
      </c>
      <c r="U711" s="11">
        <f>IFERROR(S711/T711, 0)</f>
      </c>
      <c r="V711" s="10">
        <f>IFERROR(S711/E711, 0)</f>
      </c>
      <c r="W711" s="10">
        <f>IFERROR(T711/F711, 0)</f>
      </c>
      <c r="X711" s="11">
        <f>IFERROR(V711/W711, 0)</f>
      </c>
    </row>
    <row r="712" spans="1:24" x14ac:dyDescent="0.25">
      <c r="A712" s="8" t="s">
        <v>718</v>
      </c>
      <c r="B712" s="8" t="s">
        <v>719</v>
      </c>
      <c r="C712" s="8" t="s">
        <v>64</v>
      </c>
      <c r="D712" s="8" t="s">
        <v>763</v>
      </c>
      <c r="E712" s="9">
        <v>0</v>
      </c>
      <c r="F712" s="9">
        <v>0</v>
      </c>
      <c r="G712" s="10">
        <v>0</v>
      </c>
      <c r="H712" s="10">
        <v>0</v>
      </c>
      <c r="I712" s="11">
        <f>IFERROR(G712/H712, 0)</f>
      </c>
      <c r="J712" s="10">
        <v>0</v>
      </c>
      <c r="K712" s="10">
        <v>0</v>
      </c>
      <c r="L712" s="10">
        <v>0</v>
      </c>
      <c r="M712" s="12">
        <f>IFERROR(L712/K712, 0)</f>
      </c>
      <c r="N712" s="13">
        <f>IFERROR(J712/K712, 0)</f>
      </c>
      <c r="O712" s="10">
        <v>0</v>
      </c>
      <c r="P712" s="10">
        <v>0</v>
      </c>
      <c r="Q712" s="10">
        <v>0</v>
      </c>
      <c r="R712" s="11">
        <f>IFERROR(P712/Q712, 0)</f>
      </c>
      <c r="S712" s="10">
        <v>0</v>
      </c>
      <c r="T712" s="10">
        <v>0</v>
      </c>
      <c r="U712" s="11">
        <f>IFERROR(S712/T712, 0)</f>
      </c>
      <c r="V712" s="10">
        <f>IFERROR(S712/E712, 0)</f>
      </c>
      <c r="W712" s="10">
        <f>IFERROR(T712/F712, 0)</f>
      </c>
      <c r="X712" s="11">
        <f>IFERROR(V712/W712, 0)</f>
      </c>
    </row>
    <row r="713" spans="1:24" x14ac:dyDescent="0.25">
      <c r="A713" s="8" t="s">
        <v>718</v>
      </c>
      <c r="B713" s="8" t="s">
        <v>719</v>
      </c>
      <c r="C713" s="8" t="s">
        <v>92</v>
      </c>
      <c r="D713" s="8" t="s">
        <v>764</v>
      </c>
      <c r="E713" s="9">
        <v>0</v>
      </c>
      <c r="F713" s="9">
        <v>0</v>
      </c>
      <c r="G713" s="10">
        <v>0</v>
      </c>
      <c r="H713" s="10">
        <v>0</v>
      </c>
      <c r="I713" s="11">
        <f>IFERROR(G713/H713, 0)</f>
      </c>
      <c r="J713" s="10">
        <v>0</v>
      </c>
      <c r="K713" s="10">
        <v>0</v>
      </c>
      <c r="L713" s="10">
        <v>0</v>
      </c>
      <c r="M713" s="12">
        <f>IFERROR(L713/K713, 0)</f>
      </c>
      <c r="N713" s="13">
        <f>IFERROR(J713/K713, 0)</f>
      </c>
      <c r="O713" s="10">
        <v>0</v>
      </c>
      <c r="P713" s="10">
        <v>0</v>
      </c>
      <c r="Q713" s="10">
        <v>0</v>
      </c>
      <c r="R713" s="11">
        <f>IFERROR(P713/Q713, 0)</f>
      </c>
      <c r="S713" s="10">
        <v>0</v>
      </c>
      <c r="T713" s="10">
        <v>0</v>
      </c>
      <c r="U713" s="11">
        <f>IFERROR(S713/T713, 0)</f>
      </c>
      <c r="V713" s="10">
        <f>IFERROR(S713/E713, 0)</f>
      </c>
      <c r="W713" s="10">
        <f>IFERROR(T713/F713, 0)</f>
      </c>
      <c r="X713" s="11">
        <f>IFERROR(V713/W713, 0)</f>
      </c>
    </row>
    <row r="714" spans="1:24" x14ac:dyDescent="0.25">
      <c r="A714" s="8" t="s">
        <v>718</v>
      </c>
      <c r="B714" s="8" t="s">
        <v>719</v>
      </c>
      <c r="C714" s="8" t="s">
        <v>92</v>
      </c>
      <c r="D714" s="8" t="s">
        <v>765</v>
      </c>
      <c r="E714" s="9">
        <v>4.9</v>
      </c>
      <c r="F714" s="9">
        <v>0</v>
      </c>
      <c r="G714" s="10">
        <v>0</v>
      </c>
      <c r="H714" s="10">
        <v>0</v>
      </c>
      <c r="I714" s="11">
        <f>IFERROR(G714/H714, 0)</f>
      </c>
      <c r="J714" s="10">
        <v>0</v>
      </c>
      <c r="K714" s="10">
        <v>0</v>
      </c>
      <c r="L714" s="10">
        <v>0</v>
      </c>
      <c r="M714" s="12">
        <f>IFERROR(L714/K714, 0)</f>
      </c>
      <c r="N714" s="13">
        <f>IFERROR(J714/K714, 0)</f>
      </c>
      <c r="O714" s="10">
        <v>0</v>
      </c>
      <c r="P714" s="10">
        <v>0</v>
      </c>
      <c r="Q714" s="10">
        <v>0</v>
      </c>
      <c r="R714" s="11">
        <f>IFERROR(P714/Q714, 0)</f>
      </c>
      <c r="S714" s="10">
        <v>0</v>
      </c>
      <c r="T714" s="10">
        <v>0</v>
      </c>
      <c r="U714" s="11">
        <f>IFERROR(S714/T714, 0)</f>
      </c>
      <c r="V714" s="10">
        <f>IFERROR(S714/E714, 0)</f>
      </c>
      <c r="W714" s="10">
        <f>IFERROR(T714/F714, 0)</f>
      </c>
      <c r="X714" s="11">
        <f>IFERROR(V714/W714, 0)</f>
      </c>
    </row>
    <row r="715" spans="1:24" x14ac:dyDescent="0.25">
      <c r="A715" s="8" t="s">
        <v>718</v>
      </c>
      <c r="B715" s="8" t="s">
        <v>719</v>
      </c>
      <c r="C715" s="8" t="s">
        <v>92</v>
      </c>
      <c r="D715" s="8" t="s">
        <v>766</v>
      </c>
      <c r="E715" s="9">
        <v>0</v>
      </c>
      <c r="F715" s="9">
        <v>0</v>
      </c>
      <c r="G715" s="10">
        <v>0</v>
      </c>
      <c r="H715" s="10">
        <v>0</v>
      </c>
      <c r="I715" s="11">
        <f>IFERROR(G715/H715, 0)</f>
      </c>
      <c r="J715" s="10">
        <v>0</v>
      </c>
      <c r="K715" s="10">
        <v>0</v>
      </c>
      <c r="L715" s="10">
        <v>0</v>
      </c>
      <c r="M715" s="12">
        <f>IFERROR(L715/K715, 0)</f>
      </c>
      <c r="N715" s="13">
        <f>IFERROR(J715/K715, 0)</f>
      </c>
      <c r="O715" s="10">
        <v>0</v>
      </c>
      <c r="P715" s="10">
        <v>0</v>
      </c>
      <c r="Q715" s="10">
        <v>0</v>
      </c>
      <c r="R715" s="11">
        <f>IFERROR(P715/Q715, 0)</f>
      </c>
      <c r="S715" s="10">
        <v>0</v>
      </c>
      <c r="T715" s="10">
        <v>0</v>
      </c>
      <c r="U715" s="11">
        <f>IFERROR(S715/T715, 0)</f>
      </c>
      <c r="V715" s="10">
        <f>IFERROR(S715/E715, 0)</f>
      </c>
      <c r="W715" s="10">
        <f>IFERROR(T715/F715, 0)</f>
      </c>
      <c r="X715" s="11">
        <f>IFERROR(V715/W715, 0)</f>
      </c>
    </row>
    <row r="716" spans="1:24" x14ac:dyDescent="0.25">
      <c r="A716" s="8" t="s">
        <v>718</v>
      </c>
      <c r="B716" s="8" t="s">
        <v>719</v>
      </c>
      <c r="C716" s="8" t="s">
        <v>92</v>
      </c>
      <c r="D716" s="8" t="s">
        <v>767</v>
      </c>
      <c r="E716" s="9">
        <v>29.19</v>
      </c>
      <c r="F716" s="9">
        <v>21.71</v>
      </c>
      <c r="G716" s="10">
        <v>0</v>
      </c>
      <c r="H716" s="10">
        <v>649.3137037037037</v>
      </c>
      <c r="I716" s="11">
        <f>IFERROR(G716/H716, 0)</f>
      </c>
      <c r="J716" s="10">
        <v>0</v>
      </c>
      <c r="K716" s="10">
        <v>0</v>
      </c>
      <c r="L716" s="10">
        <v>0</v>
      </c>
      <c r="M716" s="12">
        <f>IFERROR(L716/K716, 0)</f>
      </c>
      <c r="N716" s="13">
        <f>IFERROR(J716/K716, 0)</f>
      </c>
      <c r="O716" s="10">
        <v>0</v>
      </c>
      <c r="P716" s="10">
        <v>0</v>
      </c>
      <c r="Q716" s="10">
        <v>7142.450740740741</v>
      </c>
      <c r="R716" s="11">
        <f>IFERROR(P716/Q716, 0)</f>
      </c>
      <c r="S716" s="10">
        <v>0</v>
      </c>
      <c r="T716" s="10">
        <v>80959.15074074075</v>
      </c>
      <c r="U716" s="11">
        <f>IFERROR(S716/T716, 0)</f>
      </c>
      <c r="V716" s="10">
        <f>IFERROR(S716/E716, 0)</f>
      </c>
      <c r="W716" s="10">
        <f>IFERROR(T716/F716, 0)</f>
      </c>
      <c r="X716" s="11">
        <f>IFERROR(V716/W716, 0)</f>
      </c>
    </row>
    <row r="717" spans="1:24" x14ac:dyDescent="0.25">
      <c r="A717" s="8" t="s">
        <v>718</v>
      </c>
      <c r="B717" s="8" t="s">
        <v>719</v>
      </c>
      <c r="C717" s="8" t="s">
        <v>92</v>
      </c>
      <c r="D717" s="8" t="s">
        <v>768</v>
      </c>
      <c r="E717" s="9">
        <v>0</v>
      </c>
      <c r="F717" s="9">
        <v>0</v>
      </c>
      <c r="G717" s="10">
        <v>0</v>
      </c>
      <c r="H717" s="10">
        <v>0</v>
      </c>
      <c r="I717" s="11">
        <f>IFERROR(G717/H717, 0)</f>
      </c>
      <c r="J717" s="10">
        <v>0</v>
      </c>
      <c r="K717" s="10">
        <v>0</v>
      </c>
      <c r="L717" s="10">
        <v>0</v>
      </c>
      <c r="M717" s="12">
        <f>IFERROR(L717/K717, 0)</f>
      </c>
      <c r="N717" s="13">
        <f>IFERROR(J717/K717, 0)</f>
      </c>
      <c r="O717" s="10">
        <v>0</v>
      </c>
      <c r="P717" s="10">
        <v>0</v>
      </c>
      <c r="Q717" s="10">
        <v>0</v>
      </c>
      <c r="R717" s="11">
        <f>IFERROR(P717/Q717, 0)</f>
      </c>
      <c r="S717" s="10">
        <v>0</v>
      </c>
      <c r="T717" s="10">
        <v>0</v>
      </c>
      <c r="U717" s="11">
        <f>IFERROR(S717/T717, 0)</f>
      </c>
      <c r="V717" s="10">
        <f>IFERROR(S717/E717, 0)</f>
      </c>
      <c r="W717" s="10">
        <f>IFERROR(T717/F717, 0)</f>
      </c>
      <c r="X717" s="11">
        <f>IFERROR(V717/W717, 0)</f>
      </c>
    </row>
    <row r="718" spans="1:24" x14ac:dyDescent="0.25">
      <c r="A718" s="8" t="s">
        <v>718</v>
      </c>
      <c r="B718" s="8" t="s">
        <v>719</v>
      </c>
      <c r="C718" s="8" t="s">
        <v>92</v>
      </c>
      <c r="D718" s="8" t="s">
        <v>769</v>
      </c>
      <c r="E718" s="9">
        <v>1259.23</v>
      </c>
      <c r="F718" s="9">
        <v>936.58</v>
      </c>
      <c r="G718" s="10">
        <v>38456</v>
      </c>
      <c r="H718" s="10">
        <v>28010.798148148147</v>
      </c>
      <c r="I718" s="11">
        <f>IFERROR(G718/H718, 0)</f>
      </c>
      <c r="J718" s="10">
        <v>48.36</v>
      </c>
      <c r="K718" s="10">
        <v>57</v>
      </c>
      <c r="L718" s="10">
        <v>38456</v>
      </c>
      <c r="M718" s="12">
        <f>IFERROR(L718/K718, 0)</f>
      </c>
      <c r="N718" s="13">
        <f>IFERROR(J718/K718, 0)</f>
      </c>
      <c r="O718" s="10">
        <v>0</v>
      </c>
      <c r="P718" s="10">
        <v>504919</v>
      </c>
      <c r="Q718" s="10">
        <v>308118.77962962963</v>
      </c>
      <c r="R718" s="11">
        <f>IFERROR(P718/Q718, 0)</f>
      </c>
      <c r="S718" s="10">
        <v>7615129</v>
      </c>
      <c r="T718" s="10">
        <v>3492504.2596296296</v>
      </c>
      <c r="U718" s="11">
        <f>IFERROR(S718/T718, 0)</f>
      </c>
      <c r="V718" s="10">
        <f>IFERROR(S718/E718, 0)</f>
      </c>
      <c r="W718" s="10">
        <f>IFERROR(T718/F718, 0)</f>
      </c>
      <c r="X718" s="11">
        <f>IFERROR(V718/W718, 0)</f>
      </c>
    </row>
    <row r="719" spans="1:24" x14ac:dyDescent="0.25">
      <c r="A719" s="8" t="s">
        <v>718</v>
      </c>
      <c r="B719" s="8" t="s">
        <v>719</v>
      </c>
      <c r="C719" s="8" t="s">
        <v>92</v>
      </c>
      <c r="D719" s="8" t="s">
        <v>770</v>
      </c>
      <c r="E719" s="9">
        <v>0</v>
      </c>
      <c r="F719" s="9">
        <v>279.84</v>
      </c>
      <c r="G719" s="10">
        <v>0</v>
      </c>
      <c r="H719" s="10">
        <v>8369.227777777778</v>
      </c>
      <c r="I719" s="11">
        <f>IFERROR(G719/H719, 0)</f>
      </c>
      <c r="J719" s="10">
        <v>0</v>
      </c>
      <c r="K719" s="10">
        <v>0</v>
      </c>
      <c r="L719" s="10">
        <v>0</v>
      </c>
      <c r="M719" s="12">
        <f>IFERROR(L719/K719, 0)</f>
      </c>
      <c r="N719" s="13">
        <f>IFERROR(J719/K719, 0)</f>
      </c>
      <c r="O719" s="10">
        <v>0</v>
      </c>
      <c r="P719" s="10">
        <v>0</v>
      </c>
      <c r="Q719" s="10">
        <v>92061.50555555556</v>
      </c>
      <c r="R719" s="11">
        <f>IFERROR(P719/Q719, 0)</f>
      </c>
      <c r="S719" s="10">
        <v>0</v>
      </c>
      <c r="T719" s="10">
        <v>1043510.5555555555</v>
      </c>
      <c r="U719" s="11">
        <f>IFERROR(S719/T719, 0)</f>
      </c>
      <c r="V719" s="10">
        <f>IFERROR(S719/E719, 0)</f>
      </c>
      <c r="W719" s="10">
        <f>IFERROR(T719/F719, 0)</f>
      </c>
      <c r="X719" s="11">
        <f>IFERROR(V719/W719, 0)</f>
      </c>
    </row>
    <row r="720" spans="1:24" x14ac:dyDescent="0.25">
      <c r="A720" s="8" t="s">
        <v>718</v>
      </c>
      <c r="B720" s="8" t="s">
        <v>719</v>
      </c>
      <c r="C720" s="8" t="s">
        <v>92</v>
      </c>
      <c r="D720" s="8" t="s">
        <v>771</v>
      </c>
      <c r="E720" s="9">
        <v>0</v>
      </c>
      <c r="F720" s="9">
        <v>0</v>
      </c>
      <c r="G720" s="10">
        <v>0</v>
      </c>
      <c r="H720" s="10">
        <v>0</v>
      </c>
      <c r="I720" s="11">
        <f>IFERROR(G720/H720, 0)</f>
      </c>
      <c r="J720" s="10">
        <v>0</v>
      </c>
      <c r="K720" s="10">
        <v>0</v>
      </c>
      <c r="L720" s="10">
        <v>0</v>
      </c>
      <c r="M720" s="12">
        <f>IFERROR(L720/K720, 0)</f>
      </c>
      <c r="N720" s="13">
        <f>IFERROR(J720/K720, 0)</f>
      </c>
      <c r="O720" s="10">
        <v>0</v>
      </c>
      <c r="P720" s="10">
        <v>0</v>
      </c>
      <c r="Q720" s="10">
        <v>0</v>
      </c>
      <c r="R720" s="11">
        <f>IFERROR(P720/Q720, 0)</f>
      </c>
      <c r="S720" s="10">
        <v>0</v>
      </c>
      <c r="T720" s="10">
        <v>0</v>
      </c>
      <c r="U720" s="11">
        <f>IFERROR(S720/T720, 0)</f>
      </c>
      <c r="V720" s="10">
        <f>IFERROR(S720/E720, 0)</f>
      </c>
      <c r="W720" s="10">
        <f>IFERROR(T720/F720, 0)</f>
      </c>
      <c r="X720" s="11">
        <f>IFERROR(V720/W720, 0)</f>
      </c>
    </row>
    <row r="721" spans="1:24" x14ac:dyDescent="0.25">
      <c r="A721" s="8" t="s">
        <v>718</v>
      </c>
      <c r="B721" s="8" t="s">
        <v>719</v>
      </c>
      <c r="C721" s="8" t="s">
        <v>92</v>
      </c>
      <c r="D721" s="8" t="s">
        <v>772</v>
      </c>
      <c r="E721" s="9">
        <v>0</v>
      </c>
      <c r="F721" s="9">
        <v>1382.44</v>
      </c>
      <c r="G721" s="10">
        <v>0</v>
      </c>
      <c r="H721" s="10">
        <v>41345.195185185185</v>
      </c>
      <c r="I721" s="11">
        <f>IFERROR(G721/H721, 0)</f>
      </c>
      <c r="J721" s="10">
        <v>0</v>
      </c>
      <c r="K721" s="10">
        <v>0</v>
      </c>
      <c r="L721" s="10">
        <v>0</v>
      </c>
      <c r="M721" s="12">
        <f>IFERROR(L721/K721, 0)</f>
      </c>
      <c r="N721" s="13">
        <f>IFERROR(J721/K721, 0)</f>
      </c>
      <c r="O721" s="10">
        <v>0</v>
      </c>
      <c r="P721" s="10">
        <v>0</v>
      </c>
      <c r="Q721" s="10">
        <v>454797.147037037</v>
      </c>
      <c r="R721" s="11">
        <f>IFERROR(P721/Q721, 0)</f>
      </c>
      <c r="S721" s="10">
        <v>0</v>
      </c>
      <c r="T721" s="10">
        <v>5155093.027037037</v>
      </c>
      <c r="U721" s="11">
        <f>IFERROR(S721/T721, 0)</f>
      </c>
      <c r="V721" s="10">
        <f>IFERROR(S721/E721, 0)</f>
      </c>
      <c r="W721" s="10">
        <f>IFERROR(T721/F721, 0)</f>
      </c>
      <c r="X721" s="11">
        <f>IFERROR(V721/W721, 0)</f>
      </c>
    </row>
    <row r="722" spans="1:24" x14ac:dyDescent="0.25">
      <c r="A722" s="8" t="s">
        <v>718</v>
      </c>
      <c r="B722" s="8" t="s">
        <v>719</v>
      </c>
      <c r="C722" s="8" t="s">
        <v>92</v>
      </c>
      <c r="D722" s="8" t="s">
        <v>773</v>
      </c>
      <c r="E722" s="9">
        <v>29.12</v>
      </c>
      <c r="F722" s="9">
        <v>21.72</v>
      </c>
      <c r="G722" s="10">
        <v>0</v>
      </c>
      <c r="H722" s="10">
        <v>649.5359259259259</v>
      </c>
      <c r="I722" s="11">
        <f>IFERROR(G722/H722, 0)</f>
      </c>
      <c r="J722" s="10">
        <v>0</v>
      </c>
      <c r="K722" s="10">
        <v>0</v>
      </c>
      <c r="L722" s="10">
        <v>0</v>
      </c>
      <c r="M722" s="12">
        <f>IFERROR(L722/K722, 0)</f>
      </c>
      <c r="N722" s="13">
        <f>IFERROR(J722/K722, 0)</f>
      </c>
      <c r="O722" s="10">
        <v>0</v>
      </c>
      <c r="P722" s="10">
        <v>0</v>
      </c>
      <c r="Q722" s="10">
        <v>7144.895185185185</v>
      </c>
      <c r="R722" s="11">
        <f>IFERROR(P722/Q722, 0)</f>
      </c>
      <c r="S722" s="10">
        <v>0</v>
      </c>
      <c r="T722" s="10">
        <v>80986.88518518518</v>
      </c>
      <c r="U722" s="11">
        <f>IFERROR(S722/T722, 0)</f>
      </c>
      <c r="V722" s="10">
        <f>IFERROR(S722/E722, 0)</f>
      </c>
      <c r="W722" s="10">
        <f>IFERROR(T722/F722, 0)</f>
      </c>
      <c r="X722" s="11">
        <f>IFERROR(V722/W722, 0)</f>
      </c>
    </row>
    <row r="723" spans="1:24" x14ac:dyDescent="0.25">
      <c r="A723" s="8" t="s">
        <v>718</v>
      </c>
      <c r="B723" s="8" t="s">
        <v>719</v>
      </c>
      <c r="C723" s="8" t="s">
        <v>92</v>
      </c>
      <c r="D723" s="8" t="s">
        <v>774</v>
      </c>
      <c r="E723" s="9">
        <v>32</v>
      </c>
      <c r="F723" s="9">
        <v>23.8</v>
      </c>
      <c r="G723" s="10">
        <v>0</v>
      </c>
      <c r="H723" s="10">
        <v>711.8203703703704</v>
      </c>
      <c r="I723" s="11">
        <f>IFERROR(G723/H723, 0)</f>
      </c>
      <c r="J723" s="10">
        <v>0</v>
      </c>
      <c r="K723" s="10">
        <v>0</v>
      </c>
      <c r="L723" s="10">
        <v>0</v>
      </c>
      <c r="M723" s="12">
        <f>IFERROR(L723/K723, 0)</f>
      </c>
      <c r="N723" s="13">
        <f>IFERROR(J723/K723, 0)</f>
      </c>
      <c r="O723" s="10">
        <v>0</v>
      </c>
      <c r="P723" s="10">
        <v>10968</v>
      </c>
      <c r="Q723" s="10">
        <v>7830.024074074074</v>
      </c>
      <c r="R723" s="11">
        <f>IFERROR(P723/Q723, 0)</f>
      </c>
      <c r="S723" s="10">
        <v>126091</v>
      </c>
      <c r="T723" s="10">
        <v>88752.75407407408</v>
      </c>
      <c r="U723" s="11">
        <f>IFERROR(S723/T723, 0)</f>
      </c>
      <c r="V723" s="10">
        <f>IFERROR(S723/E723, 0)</f>
      </c>
      <c r="W723" s="10">
        <f>IFERROR(T723/F723, 0)</f>
      </c>
      <c r="X723" s="11">
        <f>IFERROR(V723/W723, 0)</f>
      </c>
    </row>
    <row r="724" spans="1:24" x14ac:dyDescent="0.25">
      <c r="A724" s="8" t="s">
        <v>718</v>
      </c>
      <c r="B724" s="8" t="s">
        <v>719</v>
      </c>
      <c r="C724" s="8" t="s">
        <v>96</v>
      </c>
      <c r="D724" s="8" t="s">
        <v>775</v>
      </c>
      <c r="E724" s="9">
        <v>219.05</v>
      </c>
      <c r="F724" s="9">
        <v>165.21</v>
      </c>
      <c r="G724" s="10">
        <v>0</v>
      </c>
      <c r="H724" s="10">
        <v>4941.145555555556</v>
      </c>
      <c r="I724" s="11">
        <f>IFERROR(G724/H724, 0)</f>
      </c>
      <c r="J724" s="10">
        <v>0</v>
      </c>
      <c r="K724" s="10">
        <v>0</v>
      </c>
      <c r="L724" s="10">
        <v>0</v>
      </c>
      <c r="M724" s="12">
        <f>IFERROR(L724/K724, 0)</f>
      </c>
      <c r="N724" s="13">
        <f>IFERROR(J724/K724, 0)</f>
      </c>
      <c r="O724" s="10">
        <v>0</v>
      </c>
      <c r="P724" s="10">
        <v>277120</v>
      </c>
      <c r="Q724" s="10">
        <v>54352.601111111115</v>
      </c>
      <c r="R724" s="11">
        <f>IFERROR(P724/Q724, 0)</f>
      </c>
      <c r="S724" s="10">
        <v>2561044</v>
      </c>
      <c r="T724" s="10">
        <v>616082.8211111111</v>
      </c>
      <c r="U724" s="11">
        <f>IFERROR(S724/T724, 0)</f>
      </c>
      <c r="V724" s="10">
        <f>IFERROR(S724/E724, 0)</f>
      </c>
      <c r="W724" s="10">
        <f>IFERROR(T724/F724, 0)</f>
      </c>
      <c r="X724" s="11">
        <f>IFERROR(V724/W724, 0)</f>
      </c>
    </row>
    <row r="725" spans="1:24" x14ac:dyDescent="0.25">
      <c r="A725" s="8" t="s">
        <v>718</v>
      </c>
      <c r="B725" s="8" t="s">
        <v>719</v>
      </c>
      <c r="C725" s="8" t="s">
        <v>96</v>
      </c>
      <c r="D725" s="8" t="s">
        <v>776</v>
      </c>
      <c r="E725" s="9">
        <v>0</v>
      </c>
      <c r="F725" s="9">
        <v>124.4</v>
      </c>
      <c r="G725" s="10">
        <v>0</v>
      </c>
      <c r="H725" s="10">
        <v>3720.3737037037035</v>
      </c>
      <c r="I725" s="11">
        <f>IFERROR(G725/H725, 0)</f>
      </c>
      <c r="J725" s="10">
        <v>0</v>
      </c>
      <c r="K725" s="10">
        <v>0</v>
      </c>
      <c r="L725" s="10">
        <v>0</v>
      </c>
      <c r="M725" s="12">
        <f>IFERROR(L725/K725, 0)</f>
      </c>
      <c r="N725" s="13">
        <f>IFERROR(J725/K725, 0)</f>
      </c>
      <c r="O725" s="10">
        <v>0</v>
      </c>
      <c r="P725" s="10">
        <v>0</v>
      </c>
      <c r="Q725" s="10">
        <v>40924.11074074074</v>
      </c>
      <c r="R725" s="11">
        <f>IFERROR(P725/Q725, 0)</f>
      </c>
      <c r="S725" s="10">
        <v>0</v>
      </c>
      <c r="T725" s="10">
        <v>463871.84074074076</v>
      </c>
      <c r="U725" s="11">
        <f>IFERROR(S725/T725, 0)</f>
      </c>
      <c r="V725" s="10">
        <f>IFERROR(S725/E725, 0)</f>
      </c>
      <c r="W725" s="10">
        <f>IFERROR(T725/F725, 0)</f>
      </c>
      <c r="X725" s="11">
        <f>IFERROR(V725/W725, 0)</f>
      </c>
    </row>
    <row r="726" spans="1:24" x14ac:dyDescent="0.25">
      <c r="A726" s="8" t="s">
        <v>718</v>
      </c>
      <c r="B726" s="8" t="s">
        <v>719</v>
      </c>
      <c r="C726" s="8" t="s">
        <v>96</v>
      </c>
      <c r="D726" s="8" t="s">
        <v>777</v>
      </c>
      <c r="E726" s="9">
        <v>0</v>
      </c>
      <c r="F726" s="9">
        <v>35.49</v>
      </c>
      <c r="G726" s="10">
        <v>0</v>
      </c>
      <c r="H726" s="10">
        <v>1061.5022222222221</v>
      </c>
      <c r="I726" s="11">
        <f>IFERROR(G726/H726, 0)</f>
      </c>
      <c r="J726" s="10">
        <v>0</v>
      </c>
      <c r="K726" s="10">
        <v>0</v>
      </c>
      <c r="L726" s="10">
        <v>0</v>
      </c>
      <c r="M726" s="12">
        <f>IFERROR(L726/K726, 0)</f>
      </c>
      <c r="N726" s="13">
        <f>IFERROR(J726/K726, 0)</f>
      </c>
      <c r="O726" s="10">
        <v>0</v>
      </c>
      <c r="P726" s="10">
        <v>0</v>
      </c>
      <c r="Q726" s="10">
        <v>11676.524444444445</v>
      </c>
      <c r="R726" s="11">
        <f>IFERROR(P726/Q726, 0)</f>
      </c>
      <c r="S726" s="10">
        <v>0</v>
      </c>
      <c r="T726" s="10">
        <v>132352.54444444444</v>
      </c>
      <c r="U726" s="11">
        <f>IFERROR(S726/T726, 0)</f>
      </c>
      <c r="V726" s="10">
        <f>IFERROR(S726/E726, 0)</f>
      </c>
      <c r="W726" s="10">
        <f>IFERROR(T726/F726, 0)</f>
      </c>
      <c r="X726" s="11">
        <f>IFERROR(V726/W726, 0)</f>
      </c>
    </row>
    <row r="727" spans="1:24" x14ac:dyDescent="0.25">
      <c r="A727" s="8" t="s">
        <v>718</v>
      </c>
      <c r="B727" s="8" t="s">
        <v>719</v>
      </c>
      <c r="C727" s="8" t="s">
        <v>96</v>
      </c>
      <c r="D727" s="8" t="s">
        <v>778</v>
      </c>
      <c r="E727" s="9">
        <v>0</v>
      </c>
      <c r="F727" s="9">
        <v>98.01</v>
      </c>
      <c r="G727" s="10">
        <v>0</v>
      </c>
      <c r="H727" s="10">
        <v>2931.142592592593</v>
      </c>
      <c r="I727" s="11">
        <f>IFERROR(G727/H727, 0)</f>
      </c>
      <c r="J727" s="10">
        <v>0</v>
      </c>
      <c r="K727" s="10">
        <v>0</v>
      </c>
      <c r="L727" s="10">
        <v>0</v>
      </c>
      <c r="M727" s="12">
        <f>IFERROR(L727/K727, 0)</f>
      </c>
      <c r="N727" s="13">
        <f>IFERROR(J727/K727, 0)</f>
      </c>
      <c r="O727" s="10">
        <v>0</v>
      </c>
      <c r="P727" s="10">
        <v>0</v>
      </c>
      <c r="Q727" s="10">
        <v>32242.568518518518</v>
      </c>
      <c r="R727" s="11">
        <f>IFERROR(P727/Q727, 0)</f>
      </c>
      <c r="S727" s="10">
        <v>0</v>
      </c>
      <c r="T727" s="10">
        <v>365467.2185185185</v>
      </c>
      <c r="U727" s="11">
        <f>IFERROR(S727/T727, 0)</f>
      </c>
      <c r="V727" s="10">
        <f>IFERROR(S727/E727, 0)</f>
      </c>
      <c r="W727" s="10">
        <f>IFERROR(T727/F727, 0)</f>
      </c>
      <c r="X727" s="11">
        <f>IFERROR(V727/W727, 0)</f>
      </c>
    </row>
    <row r="728" spans="1:24" x14ac:dyDescent="0.25">
      <c r="A728" s="8" t="s">
        <v>718</v>
      </c>
      <c r="B728" s="8" t="s">
        <v>719</v>
      </c>
      <c r="C728" s="8" t="s">
        <v>96</v>
      </c>
      <c r="D728" s="8" t="s">
        <v>779</v>
      </c>
      <c r="E728" s="9">
        <v>24</v>
      </c>
      <c r="F728" s="9">
        <v>14.88</v>
      </c>
      <c r="G728" s="10">
        <v>0</v>
      </c>
      <c r="H728" s="10">
        <v>444.8877777777778</v>
      </c>
      <c r="I728" s="11">
        <f>IFERROR(G728/H728, 0)</f>
      </c>
      <c r="J728" s="10">
        <v>0</v>
      </c>
      <c r="K728" s="10">
        <v>0</v>
      </c>
      <c r="L728" s="10">
        <v>0</v>
      </c>
      <c r="M728" s="12">
        <f>IFERROR(L728/K728, 0)</f>
      </c>
      <c r="N728" s="13">
        <f>IFERROR(J728/K728, 0)</f>
      </c>
      <c r="O728" s="10">
        <v>0</v>
      </c>
      <c r="P728" s="10">
        <v>0</v>
      </c>
      <c r="Q728" s="10">
        <v>4893.765555555556</v>
      </c>
      <c r="R728" s="11">
        <f>IFERROR(P728/Q728, 0)</f>
      </c>
      <c r="S728" s="10">
        <v>0</v>
      </c>
      <c r="T728" s="10">
        <v>55470.47555555555</v>
      </c>
      <c r="U728" s="11">
        <f>IFERROR(S728/T728, 0)</f>
      </c>
      <c r="V728" s="10">
        <f>IFERROR(S728/E728, 0)</f>
      </c>
      <c r="W728" s="10">
        <f>IFERROR(T728/F728, 0)</f>
      </c>
      <c r="X728" s="11">
        <f>IFERROR(V728/W728, 0)</f>
      </c>
    </row>
    <row r="729" spans="1:24" x14ac:dyDescent="0.25">
      <c r="A729" s="8" t="s">
        <v>718</v>
      </c>
      <c r="B729" s="8" t="s">
        <v>719</v>
      </c>
      <c r="C729" s="8" t="s">
        <v>96</v>
      </c>
      <c r="D729" s="8" t="s">
        <v>780</v>
      </c>
      <c r="E729" s="9">
        <v>139.54</v>
      </c>
      <c r="F729" s="9">
        <v>78.36</v>
      </c>
      <c r="G729" s="10">
        <v>6311</v>
      </c>
      <c r="H729" s="10">
        <v>2343.445925925926</v>
      </c>
      <c r="I729" s="11">
        <f>IFERROR(G729/H729, 0)</f>
      </c>
      <c r="J729" s="10">
        <v>14.63</v>
      </c>
      <c r="K729" s="10">
        <v>5</v>
      </c>
      <c r="L729" s="10">
        <v>6311</v>
      </c>
      <c r="M729" s="12">
        <f>IFERROR(L729/K729, 0)</f>
      </c>
      <c r="N729" s="13">
        <f>IFERROR(J729/K729, 0)</f>
      </c>
      <c r="O729" s="10">
        <v>0</v>
      </c>
      <c r="P729" s="10">
        <v>73069</v>
      </c>
      <c r="Q729" s="10">
        <v>25777.905185185184</v>
      </c>
      <c r="R729" s="11">
        <f>IFERROR(P729/Q729, 0)</f>
      </c>
      <c r="S729" s="10">
        <v>709004</v>
      </c>
      <c r="T729" s="10">
        <v>292190.7051851852</v>
      </c>
      <c r="U729" s="11">
        <f>IFERROR(S729/T729, 0)</f>
      </c>
      <c r="V729" s="10">
        <f>IFERROR(S729/E729, 0)</f>
      </c>
      <c r="W729" s="10">
        <f>IFERROR(T729/F729, 0)</f>
      </c>
      <c r="X729" s="11">
        <f>IFERROR(V729/W729, 0)</f>
      </c>
    </row>
    <row r="730" spans="1:24" x14ac:dyDescent="0.25">
      <c r="A730" s="8" t="s">
        <v>718</v>
      </c>
      <c r="B730" s="8" t="s">
        <v>719</v>
      </c>
      <c r="C730" s="8" t="s">
        <v>96</v>
      </c>
      <c r="D730" s="8" t="s">
        <v>781</v>
      </c>
      <c r="E730" s="9">
        <v>345.27</v>
      </c>
      <c r="F730" s="9">
        <v>257.81</v>
      </c>
      <c r="G730" s="10">
        <v>35130</v>
      </c>
      <c r="H730" s="10">
        <v>7710.348888888889</v>
      </c>
      <c r="I730" s="11">
        <f>IFERROR(G730/H730, 0)</f>
      </c>
      <c r="J730" s="10">
        <v>15.2</v>
      </c>
      <c r="K730" s="10">
        <v>11</v>
      </c>
      <c r="L730" s="10">
        <v>35130</v>
      </c>
      <c r="M730" s="12">
        <f>IFERROR(L730/K730, 0)</f>
      </c>
      <c r="N730" s="13">
        <f>IFERROR(J730/K730, 0)</f>
      </c>
      <c r="O730" s="10">
        <v>0</v>
      </c>
      <c r="P730" s="10">
        <v>414300</v>
      </c>
      <c r="Q730" s="10">
        <v>84813.83777777778</v>
      </c>
      <c r="R730" s="11">
        <f>IFERROR(P730/Q730, 0)</f>
      </c>
      <c r="S730" s="10">
        <v>3489188</v>
      </c>
      <c r="T730" s="10">
        <v>961358.7877777778</v>
      </c>
      <c r="U730" s="11">
        <f>IFERROR(S730/T730, 0)</f>
      </c>
      <c r="V730" s="10">
        <f>IFERROR(S730/E730, 0)</f>
      </c>
      <c r="W730" s="10">
        <f>IFERROR(T730/F730, 0)</f>
      </c>
      <c r="X730" s="11">
        <f>IFERROR(V730/W730, 0)</f>
      </c>
    </row>
    <row r="731" spans="1:24" x14ac:dyDescent="0.25">
      <c r="A731" s="8" t="s">
        <v>718</v>
      </c>
      <c r="B731" s="8" t="s">
        <v>719</v>
      </c>
      <c r="C731" s="8" t="s">
        <v>96</v>
      </c>
      <c r="D731" s="8" t="s">
        <v>782</v>
      </c>
      <c r="E731" s="9">
        <v>154.11</v>
      </c>
      <c r="F731" s="9">
        <v>114.62</v>
      </c>
      <c r="G731" s="10">
        <v>7991</v>
      </c>
      <c r="H731" s="10">
        <v>3428.0822222222223</v>
      </c>
      <c r="I731" s="11">
        <f>IFERROR(G731/H731, 0)</f>
      </c>
      <c r="J731" s="10">
        <v>19.95</v>
      </c>
      <c r="K731" s="10">
        <v>7</v>
      </c>
      <c r="L731" s="10">
        <v>7991</v>
      </c>
      <c r="M731" s="12">
        <f>IFERROR(L731/K731, 0)</f>
      </c>
      <c r="N731" s="13">
        <f>IFERROR(J731/K731, 0)</f>
      </c>
      <c r="O731" s="10">
        <v>0</v>
      </c>
      <c r="P731" s="10">
        <v>88470</v>
      </c>
      <c r="Q731" s="10">
        <v>37708.904444444444</v>
      </c>
      <c r="R731" s="11">
        <f>IFERROR(P731/Q731, 0)</f>
      </c>
      <c r="S731" s="10">
        <v>869915</v>
      </c>
      <c r="T731" s="10">
        <v>427427.7344444444</v>
      </c>
      <c r="U731" s="11">
        <f>IFERROR(S731/T731, 0)</f>
      </c>
      <c r="V731" s="10">
        <f>IFERROR(S731/E731, 0)</f>
      </c>
      <c r="W731" s="10">
        <f>IFERROR(T731/F731, 0)</f>
      </c>
      <c r="X731" s="11">
        <f>IFERROR(V731/W731, 0)</f>
      </c>
    </row>
    <row r="732" spans="1:24" x14ac:dyDescent="0.25">
      <c r="A732" s="8" t="s">
        <v>718</v>
      </c>
      <c r="B732" s="8" t="s">
        <v>719</v>
      </c>
      <c r="C732" s="8" t="s">
        <v>96</v>
      </c>
      <c r="D732" s="8" t="s">
        <v>783</v>
      </c>
      <c r="E732" s="9">
        <v>0</v>
      </c>
      <c r="F732" s="9">
        <v>0</v>
      </c>
      <c r="G732" s="10">
        <v>0</v>
      </c>
      <c r="H732" s="10">
        <v>0</v>
      </c>
      <c r="I732" s="11">
        <f>IFERROR(G732/H732, 0)</f>
      </c>
      <c r="J732" s="10">
        <v>0</v>
      </c>
      <c r="K732" s="10">
        <v>0</v>
      </c>
      <c r="L732" s="10">
        <v>0</v>
      </c>
      <c r="M732" s="12">
        <f>IFERROR(L732/K732, 0)</f>
      </c>
      <c r="N732" s="13">
        <f>IFERROR(J732/K732, 0)</f>
      </c>
      <c r="O732" s="10">
        <v>0</v>
      </c>
      <c r="P732" s="10">
        <v>0</v>
      </c>
      <c r="Q732" s="10">
        <v>0</v>
      </c>
      <c r="R732" s="11">
        <f>IFERROR(P732/Q732, 0)</f>
      </c>
      <c r="S732" s="10">
        <v>0</v>
      </c>
      <c r="T732" s="10">
        <v>0</v>
      </c>
      <c r="U732" s="11">
        <f>IFERROR(S732/T732, 0)</f>
      </c>
      <c r="V732" s="10">
        <f>IFERROR(S732/E732, 0)</f>
      </c>
      <c r="W732" s="10">
        <f>IFERROR(T732/F732, 0)</f>
      </c>
      <c r="X732" s="11">
        <f>IFERROR(V732/W732, 0)</f>
      </c>
    </row>
    <row r="733" spans="1:24" x14ac:dyDescent="0.25">
      <c r="A733" s="8" t="s">
        <v>718</v>
      </c>
      <c r="B733" s="8" t="s">
        <v>719</v>
      </c>
      <c r="C733" s="8" t="s">
        <v>96</v>
      </c>
      <c r="D733" s="8" t="s">
        <v>784</v>
      </c>
      <c r="E733" s="9">
        <v>809.19</v>
      </c>
      <c r="F733" s="9">
        <v>601.89</v>
      </c>
      <c r="G733" s="10">
        <v>39901</v>
      </c>
      <c r="H733" s="10">
        <v>18001.04703703704</v>
      </c>
      <c r="I733" s="11">
        <f>IFERROR(G733/H733, 0)</f>
      </c>
      <c r="J733" s="10">
        <v>86.24</v>
      </c>
      <c r="K733" s="10">
        <v>32</v>
      </c>
      <c r="L733" s="10">
        <v>39901</v>
      </c>
      <c r="M733" s="12">
        <f>IFERROR(L733/K733, 0)</f>
      </c>
      <c r="N733" s="13">
        <f>IFERROR(J733/K733, 0)</f>
      </c>
      <c r="O733" s="10">
        <v>0</v>
      </c>
      <c r="P733" s="10">
        <v>516072</v>
      </c>
      <c r="Q733" s="10">
        <v>198011.5174074074</v>
      </c>
      <c r="R733" s="11">
        <f>IFERROR(P733/Q733, 0)</f>
      </c>
      <c r="S733" s="10">
        <v>5196758</v>
      </c>
      <c r="T733" s="10">
        <v>2244446.3274074076</v>
      </c>
      <c r="U733" s="11">
        <f>IFERROR(S733/T733, 0)</f>
      </c>
      <c r="V733" s="10">
        <f>IFERROR(S733/E733, 0)</f>
      </c>
      <c r="W733" s="10">
        <f>IFERROR(T733/F733, 0)</f>
      </c>
      <c r="X733" s="11">
        <f>IFERROR(V733/W733, 0)</f>
      </c>
    </row>
    <row r="734" spans="1:24" x14ac:dyDescent="0.25">
      <c r="A734" s="8" t="s">
        <v>718</v>
      </c>
      <c r="B734" s="8" t="s">
        <v>719</v>
      </c>
      <c r="C734" s="8" t="s">
        <v>96</v>
      </c>
      <c r="D734" s="8" t="s">
        <v>785</v>
      </c>
      <c r="E734" s="9">
        <v>315.47</v>
      </c>
      <c r="F734" s="9">
        <v>1167.19</v>
      </c>
      <c r="G734" s="10">
        <v>0</v>
      </c>
      <c r="H734" s="10">
        <v>34907.67</v>
      </c>
      <c r="I734" s="11">
        <f>IFERROR(G734/H734, 0)</f>
      </c>
      <c r="J734" s="10">
        <v>0</v>
      </c>
      <c r="K734" s="10">
        <v>0</v>
      </c>
      <c r="L734" s="10">
        <v>0</v>
      </c>
      <c r="M734" s="12">
        <f>IFERROR(L734/K734, 0)</f>
      </c>
      <c r="N734" s="13">
        <f>IFERROR(J734/K734, 0)</f>
      </c>
      <c r="O734" s="10">
        <v>0</v>
      </c>
      <c r="P734" s="10">
        <v>0</v>
      </c>
      <c r="Q734" s="10">
        <v>383984.37</v>
      </c>
      <c r="R734" s="11">
        <f>IFERROR(P734/Q734, 0)</f>
      </c>
      <c r="S734" s="10">
        <v>0</v>
      </c>
      <c r="T734" s="10">
        <v>4352435.27</v>
      </c>
      <c r="U734" s="11">
        <f>IFERROR(S734/T734, 0)</f>
      </c>
      <c r="V734" s="10">
        <f>IFERROR(S734/E734, 0)</f>
      </c>
      <c r="W734" s="10">
        <f>IFERROR(T734/F734, 0)</f>
      </c>
      <c r="X734" s="11">
        <f>IFERROR(V734/W734, 0)</f>
      </c>
    </row>
    <row r="735" spans="1:24" x14ac:dyDescent="0.25">
      <c r="A735" s="14" t="s">
        <v>786</v>
      </c>
      <c r="B735" s="14"/>
      <c r="C735" s="14"/>
      <c r="D735" s="14"/>
      <c r="E735" s="15">
        <f>SUM(E669:E734)</f>
      </c>
      <c r="F735" s="15">
        <f>SUM(F669:F734)</f>
      </c>
      <c r="G735" s="16">
        <f>SUM(G669:G734)</f>
      </c>
      <c r="H735" s="16">
        <f>SUM(H669:H734)</f>
      </c>
      <c r="I735" s="17">
        <f>IFERROR(G735/H735, 0)</f>
      </c>
      <c r="J735" s="16">
        <f>SUM(J669:J734)</f>
      </c>
      <c r="K735" s="16">
        <f>SUM(K669:K734)</f>
      </c>
      <c r="L735" s="16">
        <f>SUM(L669:L734)</f>
      </c>
      <c r="M735" s="18">
        <f>IFERROR(L735/K735, 0)</f>
      </c>
      <c r="N735" s="19">
        <f>IFERROR(J735/K735, 0)</f>
      </c>
      <c r="O735" s="16">
        <f>SUM(O669:O734)</f>
      </c>
      <c r="P735" s="16">
        <f>SUM(P669:P734)</f>
      </c>
      <c r="Q735" s="16">
        <f>SUM(Q669:Q734)</f>
      </c>
      <c r="R735" s="17">
        <f>IFERROR(P735/Q735, 0)</f>
      </c>
      <c r="S735" s="16">
        <f>SUM(S669:S734)</f>
      </c>
      <c r="T735" s="16">
        <f>SUM(T669:T734)</f>
      </c>
      <c r="U735" s="17">
        <f>IFERROR(S735/T735, 0)</f>
      </c>
      <c r="V735" s="16">
        <f>IFERROR(S735/E735, 0)</f>
      </c>
      <c r="W735" s="16">
        <f>IFERROR(T735/F735, 0)</f>
      </c>
      <c r="X735" s="17">
        <f>IFERROR(V735/W735, 0)</f>
      </c>
    </row>
    <row r="736" spans="1:24" x14ac:dyDescent="0.25">
      <c r="A736" s="20" t="s">
        <v>787</v>
      </c>
      <c r="B736" s="20"/>
      <c r="C736" s="20"/>
      <c r="D736" s="20"/>
      <c r="E736" s="21">
        <f>SUM(E735)</f>
      </c>
      <c r="F736" s="21">
        <f>SUM(F735)</f>
      </c>
      <c r="G736" s="22">
        <f>SUM(G735)</f>
      </c>
      <c r="H736" s="22">
        <f>SUM(H735)</f>
      </c>
      <c r="I736" s="23">
        <f>IFERROR(G736/H736, 0)</f>
      </c>
      <c r="J736" s="22">
        <f>SUM(J735)</f>
      </c>
      <c r="K736" s="22">
        <f>SUM(K735)</f>
      </c>
      <c r="L736" s="22">
        <f>SUM(L735)</f>
      </c>
      <c r="M736" s="24">
        <f>IFERROR(L736/K736, 0)</f>
      </c>
      <c r="N736" s="25">
        <f>IFERROR(J736/K736, 0)</f>
      </c>
      <c r="O736" s="22">
        <f>SUM(O735)</f>
      </c>
      <c r="P736" s="22">
        <f>SUM(P735)</f>
      </c>
      <c r="Q736" s="22">
        <f>SUM(Q735)</f>
      </c>
      <c r="R736" s="23">
        <f>IFERROR(P736/Q736, 0)</f>
      </c>
      <c r="S736" s="22">
        <f>SUM(S735)</f>
      </c>
      <c r="T736" s="22">
        <f>SUM(T735)</f>
      </c>
      <c r="U736" s="23">
        <f>IFERROR(S736/T736, 0)</f>
      </c>
      <c r="V736" s="22">
        <f>IFERROR(S736/E736, 0)</f>
      </c>
      <c r="W736" s="22">
        <f>IFERROR(T736/F736, 0)</f>
      </c>
      <c r="X736" s="23">
        <f>IFERROR(V736/W736, 0)</f>
      </c>
    </row>
    <row r="737" spans="1:24" x14ac:dyDescent="0.25">
      <c r="A737" s="8" t="s">
        <v>788</v>
      </c>
      <c r="B737" s="8" t="s">
        <v>789</v>
      </c>
      <c r="C737" s="8" t="s">
        <v>24</v>
      </c>
      <c r="D737" s="8" t="s">
        <v>790</v>
      </c>
      <c r="E737" s="9">
        <v>0</v>
      </c>
      <c r="F737" s="9">
        <v>0</v>
      </c>
      <c r="G737" s="10">
        <v>0</v>
      </c>
      <c r="H737" s="10">
        <v>0</v>
      </c>
      <c r="I737" s="11">
        <f>IFERROR(G737/H737, 0)</f>
      </c>
      <c r="J737" s="10">
        <v>0</v>
      </c>
      <c r="K737" s="10">
        <v>0</v>
      </c>
      <c r="L737" s="10">
        <v>0</v>
      </c>
      <c r="M737" s="12">
        <f>IFERROR(L737/K737, 0)</f>
      </c>
      <c r="N737" s="13">
        <f>IFERROR(J737/K737, 0)</f>
      </c>
      <c r="O737" s="10">
        <v>0</v>
      </c>
      <c r="P737" s="10">
        <v>0</v>
      </c>
      <c r="Q737" s="10">
        <v>0</v>
      </c>
      <c r="R737" s="11">
        <f>IFERROR(P737/Q737, 0)</f>
      </c>
      <c r="S737" s="10">
        <v>0</v>
      </c>
      <c r="T737" s="10">
        <v>0</v>
      </c>
      <c r="U737" s="11">
        <f>IFERROR(S737/T737, 0)</f>
      </c>
      <c r="V737" s="10">
        <f>IFERROR(S737/E737, 0)</f>
      </c>
      <c r="W737" s="10">
        <f>IFERROR(T737/F737, 0)</f>
      </c>
      <c r="X737" s="11">
        <f>IFERROR(V737/W737, 0)</f>
      </c>
    </row>
    <row r="738" spans="1:24" x14ac:dyDescent="0.25">
      <c r="A738" s="8" t="s">
        <v>788</v>
      </c>
      <c r="B738" s="8" t="s">
        <v>789</v>
      </c>
      <c r="C738" s="8" t="s">
        <v>24</v>
      </c>
      <c r="D738" s="8" t="s">
        <v>791</v>
      </c>
      <c r="E738" s="9">
        <v>0</v>
      </c>
      <c r="F738" s="9">
        <v>0</v>
      </c>
      <c r="G738" s="10">
        <v>0</v>
      </c>
      <c r="H738" s="10">
        <v>0</v>
      </c>
      <c r="I738" s="11">
        <f>IFERROR(G738/H738, 0)</f>
      </c>
      <c r="J738" s="10">
        <v>0</v>
      </c>
      <c r="K738" s="10">
        <v>0</v>
      </c>
      <c r="L738" s="10">
        <v>0</v>
      </c>
      <c r="M738" s="12">
        <f>IFERROR(L738/K738, 0)</f>
      </c>
      <c r="N738" s="13">
        <f>IFERROR(J738/K738, 0)</f>
      </c>
      <c r="O738" s="10">
        <v>0</v>
      </c>
      <c r="P738" s="10">
        <v>0</v>
      </c>
      <c r="Q738" s="10">
        <v>0</v>
      </c>
      <c r="R738" s="11">
        <f>IFERROR(P738/Q738, 0)</f>
      </c>
      <c r="S738" s="10">
        <v>0</v>
      </c>
      <c r="T738" s="10">
        <v>0</v>
      </c>
      <c r="U738" s="11">
        <f>IFERROR(S738/T738, 0)</f>
      </c>
      <c r="V738" s="10">
        <f>IFERROR(S738/E738, 0)</f>
      </c>
      <c r="W738" s="10">
        <f>IFERROR(T738/F738, 0)</f>
      </c>
      <c r="X738" s="11">
        <f>IFERROR(V738/W738, 0)</f>
      </c>
    </row>
    <row r="739" spans="1:24" x14ac:dyDescent="0.25">
      <c r="A739" s="8" t="s">
        <v>788</v>
      </c>
      <c r="B739" s="8" t="s">
        <v>789</v>
      </c>
      <c r="C739" s="8" t="s">
        <v>24</v>
      </c>
      <c r="D739" s="8" t="s">
        <v>792</v>
      </c>
      <c r="E739" s="9">
        <v>0</v>
      </c>
      <c r="F739" s="9">
        <v>0</v>
      </c>
      <c r="G739" s="10">
        <v>0</v>
      </c>
      <c r="H739" s="10">
        <v>0</v>
      </c>
      <c r="I739" s="11">
        <f>IFERROR(G739/H739, 0)</f>
      </c>
      <c r="J739" s="10">
        <v>0</v>
      </c>
      <c r="K739" s="10">
        <v>0</v>
      </c>
      <c r="L739" s="10">
        <v>0</v>
      </c>
      <c r="M739" s="12">
        <f>IFERROR(L739/K739, 0)</f>
      </c>
      <c r="N739" s="13">
        <f>IFERROR(J739/K739, 0)</f>
      </c>
      <c r="O739" s="10">
        <v>0</v>
      </c>
      <c r="P739" s="10">
        <v>0</v>
      </c>
      <c r="Q739" s="10">
        <v>0</v>
      </c>
      <c r="R739" s="11">
        <f>IFERROR(P739/Q739, 0)</f>
      </c>
      <c r="S739" s="10">
        <v>0</v>
      </c>
      <c r="T739" s="10">
        <v>0</v>
      </c>
      <c r="U739" s="11">
        <f>IFERROR(S739/T739, 0)</f>
      </c>
      <c r="V739" s="10">
        <f>IFERROR(S739/E739, 0)</f>
      </c>
      <c r="W739" s="10">
        <f>IFERROR(T739/F739, 0)</f>
      </c>
      <c r="X739" s="11">
        <f>IFERROR(V739/W739, 0)</f>
      </c>
    </row>
    <row r="740" spans="1:24" x14ac:dyDescent="0.25">
      <c r="A740" s="8" t="s">
        <v>788</v>
      </c>
      <c r="B740" s="8" t="s">
        <v>789</v>
      </c>
      <c r="C740" s="8" t="s">
        <v>24</v>
      </c>
      <c r="D740" s="8" t="s">
        <v>793</v>
      </c>
      <c r="E740" s="9">
        <v>0</v>
      </c>
      <c r="F740" s="9">
        <v>0</v>
      </c>
      <c r="G740" s="10">
        <v>0</v>
      </c>
      <c r="H740" s="10">
        <v>0</v>
      </c>
      <c r="I740" s="11">
        <f>IFERROR(G740/H740, 0)</f>
      </c>
      <c r="J740" s="10">
        <v>0</v>
      </c>
      <c r="K740" s="10">
        <v>0</v>
      </c>
      <c r="L740" s="10">
        <v>0</v>
      </c>
      <c r="M740" s="12">
        <f>IFERROR(L740/K740, 0)</f>
      </c>
      <c r="N740" s="13">
        <f>IFERROR(J740/K740, 0)</f>
      </c>
      <c r="O740" s="10">
        <v>0</v>
      </c>
      <c r="P740" s="10">
        <v>0</v>
      </c>
      <c r="Q740" s="10">
        <v>0</v>
      </c>
      <c r="R740" s="11">
        <f>IFERROR(P740/Q740, 0)</f>
      </c>
      <c r="S740" s="10">
        <v>0</v>
      </c>
      <c r="T740" s="10">
        <v>0</v>
      </c>
      <c r="U740" s="11">
        <f>IFERROR(S740/T740, 0)</f>
      </c>
      <c r="V740" s="10">
        <f>IFERROR(S740/E740, 0)</f>
      </c>
      <c r="W740" s="10">
        <f>IFERROR(T740/F740, 0)</f>
      </c>
      <c r="X740" s="11">
        <f>IFERROR(V740/W740, 0)</f>
      </c>
    </row>
    <row r="741" spans="1:24" x14ac:dyDescent="0.25">
      <c r="A741" s="8" t="s">
        <v>788</v>
      </c>
      <c r="B741" s="8" t="s">
        <v>789</v>
      </c>
      <c r="C741" s="8" t="s">
        <v>24</v>
      </c>
      <c r="D741" s="8" t="s">
        <v>794</v>
      </c>
      <c r="E741" s="9">
        <v>69.82</v>
      </c>
      <c r="F741" s="9">
        <v>48.26</v>
      </c>
      <c r="G741" s="10">
        <v>0</v>
      </c>
      <c r="H741" s="10">
        <v>1443.4381481481482</v>
      </c>
      <c r="I741" s="11">
        <f>IFERROR(G741/H741, 0)</f>
      </c>
      <c r="J741" s="10">
        <v>0</v>
      </c>
      <c r="K741" s="10">
        <v>0</v>
      </c>
      <c r="L741" s="10">
        <v>0</v>
      </c>
      <c r="M741" s="12">
        <f>IFERROR(L741/K741, 0)</f>
      </c>
      <c r="N741" s="13">
        <f>IFERROR(J741/K741, 0)</f>
      </c>
      <c r="O741" s="10">
        <v>0</v>
      </c>
      <c r="P741" s="10">
        <v>0</v>
      </c>
      <c r="Q741" s="10">
        <v>15877.81962962963</v>
      </c>
      <c r="R741" s="11">
        <f>IFERROR(P741/Q741, 0)</f>
      </c>
      <c r="S741" s="10">
        <v>0</v>
      </c>
      <c r="T741" s="10">
        <v>179973.93962962963</v>
      </c>
      <c r="U741" s="11">
        <f>IFERROR(S741/T741, 0)</f>
      </c>
      <c r="V741" s="10">
        <f>IFERROR(S741/E741, 0)</f>
      </c>
      <c r="W741" s="10">
        <f>IFERROR(T741/F741, 0)</f>
      </c>
      <c r="X741" s="11">
        <f>IFERROR(V741/W741, 0)</f>
      </c>
    </row>
    <row r="742" spans="1:24" x14ac:dyDescent="0.25">
      <c r="A742" s="8" t="s">
        <v>788</v>
      </c>
      <c r="B742" s="8" t="s">
        <v>789</v>
      </c>
      <c r="C742" s="8" t="s">
        <v>24</v>
      </c>
      <c r="D742" s="8" t="s">
        <v>795</v>
      </c>
      <c r="E742" s="9">
        <v>0</v>
      </c>
      <c r="F742" s="9">
        <v>0</v>
      </c>
      <c r="G742" s="10">
        <v>0</v>
      </c>
      <c r="H742" s="10">
        <v>0</v>
      </c>
      <c r="I742" s="11">
        <f>IFERROR(G742/H742, 0)</f>
      </c>
      <c r="J742" s="10">
        <v>0</v>
      </c>
      <c r="K742" s="10">
        <v>0</v>
      </c>
      <c r="L742" s="10">
        <v>0</v>
      </c>
      <c r="M742" s="12">
        <f>IFERROR(L742/K742, 0)</f>
      </c>
      <c r="N742" s="13">
        <f>IFERROR(J742/K742, 0)</f>
      </c>
      <c r="O742" s="10">
        <v>0</v>
      </c>
      <c r="P742" s="10">
        <v>0</v>
      </c>
      <c r="Q742" s="10">
        <v>0</v>
      </c>
      <c r="R742" s="11">
        <f>IFERROR(P742/Q742, 0)</f>
      </c>
      <c r="S742" s="10">
        <v>0</v>
      </c>
      <c r="T742" s="10">
        <v>0</v>
      </c>
      <c r="U742" s="11">
        <f>IFERROR(S742/T742, 0)</f>
      </c>
      <c r="V742" s="10">
        <f>IFERROR(S742/E742, 0)</f>
      </c>
      <c r="W742" s="10">
        <f>IFERROR(T742/F742, 0)</f>
      </c>
      <c r="X742" s="11">
        <f>IFERROR(V742/W742, 0)</f>
      </c>
    </row>
    <row r="743" spans="1:24" x14ac:dyDescent="0.25">
      <c r="A743" s="8" t="s">
        <v>788</v>
      </c>
      <c r="B743" s="8" t="s">
        <v>789</v>
      </c>
      <c r="C743" s="8" t="s">
        <v>24</v>
      </c>
      <c r="D743" s="8" t="s">
        <v>796</v>
      </c>
      <c r="E743" s="9">
        <v>0</v>
      </c>
      <c r="F743" s="9">
        <v>0</v>
      </c>
      <c r="G743" s="10">
        <v>0</v>
      </c>
      <c r="H743" s="10">
        <v>0</v>
      </c>
      <c r="I743" s="11">
        <f>IFERROR(G743/H743, 0)</f>
      </c>
      <c r="J743" s="10">
        <v>0</v>
      </c>
      <c r="K743" s="10">
        <v>0</v>
      </c>
      <c r="L743" s="10">
        <v>0</v>
      </c>
      <c r="M743" s="12">
        <f>IFERROR(L743/K743, 0)</f>
      </c>
      <c r="N743" s="13">
        <f>IFERROR(J743/K743, 0)</f>
      </c>
      <c r="O743" s="10">
        <v>0</v>
      </c>
      <c r="P743" s="10">
        <v>0</v>
      </c>
      <c r="Q743" s="10">
        <v>0</v>
      </c>
      <c r="R743" s="11">
        <f>IFERROR(P743/Q743, 0)</f>
      </c>
      <c r="S743" s="10">
        <v>0</v>
      </c>
      <c r="T743" s="10">
        <v>0</v>
      </c>
      <c r="U743" s="11">
        <f>IFERROR(S743/T743, 0)</f>
      </c>
      <c r="V743" s="10">
        <f>IFERROR(S743/E743, 0)</f>
      </c>
      <c r="W743" s="10">
        <f>IFERROR(T743/F743, 0)</f>
      </c>
      <c r="X743" s="11">
        <f>IFERROR(V743/W743, 0)</f>
      </c>
    </row>
    <row r="744" spans="1:24" x14ac:dyDescent="0.25">
      <c r="A744" s="8" t="s">
        <v>788</v>
      </c>
      <c r="B744" s="8" t="s">
        <v>789</v>
      </c>
      <c r="C744" s="8" t="s">
        <v>24</v>
      </c>
      <c r="D744" s="8" t="s">
        <v>797</v>
      </c>
      <c r="E744" s="9">
        <v>0</v>
      </c>
      <c r="F744" s="9">
        <v>0</v>
      </c>
      <c r="G744" s="10">
        <v>0</v>
      </c>
      <c r="H744" s="10">
        <v>0</v>
      </c>
      <c r="I744" s="11">
        <f>IFERROR(G744/H744, 0)</f>
      </c>
      <c r="J744" s="10">
        <v>0</v>
      </c>
      <c r="K744" s="10">
        <v>0</v>
      </c>
      <c r="L744" s="10">
        <v>0</v>
      </c>
      <c r="M744" s="12">
        <f>IFERROR(L744/K744, 0)</f>
      </c>
      <c r="N744" s="13">
        <f>IFERROR(J744/K744, 0)</f>
      </c>
      <c r="O744" s="10">
        <v>0</v>
      </c>
      <c r="P744" s="10">
        <v>0</v>
      </c>
      <c r="Q744" s="10">
        <v>0</v>
      </c>
      <c r="R744" s="11">
        <f>IFERROR(P744/Q744, 0)</f>
      </c>
      <c r="S744" s="10">
        <v>0</v>
      </c>
      <c r="T744" s="10">
        <v>0</v>
      </c>
      <c r="U744" s="11">
        <f>IFERROR(S744/T744, 0)</f>
      </c>
      <c r="V744" s="10">
        <f>IFERROR(S744/E744, 0)</f>
      </c>
      <c r="W744" s="10">
        <f>IFERROR(T744/F744, 0)</f>
      </c>
      <c r="X744" s="11">
        <f>IFERROR(V744/W744, 0)</f>
      </c>
    </row>
    <row r="745" spans="1:24" x14ac:dyDescent="0.25">
      <c r="A745" s="8" t="s">
        <v>788</v>
      </c>
      <c r="B745" s="8" t="s">
        <v>789</v>
      </c>
      <c r="C745" s="8" t="s">
        <v>24</v>
      </c>
      <c r="D745" s="8" t="s">
        <v>798</v>
      </c>
      <c r="E745" s="9">
        <v>0</v>
      </c>
      <c r="F745" s="9">
        <v>0</v>
      </c>
      <c r="G745" s="10">
        <v>0</v>
      </c>
      <c r="H745" s="10">
        <v>0</v>
      </c>
      <c r="I745" s="11">
        <f>IFERROR(G745/H745, 0)</f>
      </c>
      <c r="J745" s="10">
        <v>0</v>
      </c>
      <c r="K745" s="10">
        <v>0</v>
      </c>
      <c r="L745" s="10">
        <v>0</v>
      </c>
      <c r="M745" s="12">
        <f>IFERROR(L745/K745, 0)</f>
      </c>
      <c r="N745" s="13">
        <f>IFERROR(J745/K745, 0)</f>
      </c>
      <c r="O745" s="10">
        <v>0</v>
      </c>
      <c r="P745" s="10">
        <v>0</v>
      </c>
      <c r="Q745" s="10">
        <v>0</v>
      </c>
      <c r="R745" s="11">
        <f>IFERROR(P745/Q745, 0)</f>
      </c>
      <c r="S745" s="10">
        <v>0</v>
      </c>
      <c r="T745" s="10">
        <v>0</v>
      </c>
      <c r="U745" s="11">
        <f>IFERROR(S745/T745, 0)</f>
      </c>
      <c r="V745" s="10">
        <f>IFERROR(S745/E745, 0)</f>
      </c>
      <c r="W745" s="10">
        <f>IFERROR(T745/F745, 0)</f>
      </c>
      <c r="X745" s="11">
        <f>IFERROR(V745/W745, 0)</f>
      </c>
    </row>
    <row r="746" spans="1:24" x14ac:dyDescent="0.25">
      <c r="A746" s="8" t="s">
        <v>788</v>
      </c>
      <c r="B746" s="8" t="s">
        <v>789</v>
      </c>
      <c r="C746" s="8" t="s">
        <v>24</v>
      </c>
      <c r="D746" s="8" t="s">
        <v>799</v>
      </c>
      <c r="E746" s="9">
        <v>0</v>
      </c>
      <c r="F746" s="9">
        <v>6.23</v>
      </c>
      <c r="G746" s="10">
        <v>0</v>
      </c>
      <c r="H746" s="10">
        <v>186.40777777777777</v>
      </c>
      <c r="I746" s="11">
        <f>IFERROR(G746/H746, 0)</f>
      </c>
      <c r="J746" s="10">
        <v>0</v>
      </c>
      <c r="K746" s="10">
        <v>0</v>
      </c>
      <c r="L746" s="10">
        <v>0</v>
      </c>
      <c r="M746" s="12">
        <f>IFERROR(L746/K746, 0)</f>
      </c>
      <c r="N746" s="13">
        <f>IFERROR(J746/K746, 0)</f>
      </c>
      <c r="O746" s="10">
        <v>0</v>
      </c>
      <c r="P746" s="10">
        <v>0</v>
      </c>
      <c r="Q746" s="10">
        <v>2050.4855555555555</v>
      </c>
      <c r="R746" s="11">
        <f>IFERROR(P746/Q746, 0)</f>
      </c>
      <c r="S746" s="10">
        <v>0</v>
      </c>
      <c r="T746" s="10">
        <v>23242.125555555554</v>
      </c>
      <c r="U746" s="11">
        <f>IFERROR(S746/T746, 0)</f>
      </c>
      <c r="V746" s="10">
        <f>IFERROR(S746/E746, 0)</f>
      </c>
      <c r="W746" s="10">
        <f>IFERROR(T746/F746, 0)</f>
      </c>
      <c r="X746" s="11">
        <f>IFERROR(V746/W746, 0)</f>
      </c>
    </row>
    <row r="747" spans="1:24" x14ac:dyDescent="0.25">
      <c r="A747" s="8" t="s">
        <v>788</v>
      </c>
      <c r="B747" s="8" t="s">
        <v>789</v>
      </c>
      <c r="C747" s="8" t="s">
        <v>24</v>
      </c>
      <c r="D747" s="8" t="s">
        <v>800</v>
      </c>
      <c r="E747" s="9">
        <v>251.04</v>
      </c>
      <c r="F747" s="9">
        <v>186.72</v>
      </c>
      <c r="G747" s="10">
        <v>0</v>
      </c>
      <c r="H747" s="10">
        <v>5584.230740740741</v>
      </c>
      <c r="I747" s="11">
        <f>IFERROR(G747/H747, 0)</f>
      </c>
      <c r="J747" s="10">
        <v>0</v>
      </c>
      <c r="K747" s="10">
        <v>0</v>
      </c>
      <c r="L747" s="10">
        <v>0</v>
      </c>
      <c r="M747" s="12">
        <f>IFERROR(L747/K747, 0)</f>
      </c>
      <c r="N747" s="13">
        <f>IFERROR(J747/K747, 0)</f>
      </c>
      <c r="O747" s="10">
        <v>0</v>
      </c>
      <c r="P747" s="10">
        <v>11877</v>
      </c>
      <c r="Q747" s="10">
        <v>61426.538148148145</v>
      </c>
      <c r="R747" s="11">
        <f>IFERROR(P747/Q747, 0)</f>
      </c>
      <c r="S747" s="10">
        <v>138784</v>
      </c>
      <c r="T747" s="10">
        <v>696265.3881481482</v>
      </c>
      <c r="U747" s="11">
        <f>IFERROR(S747/T747, 0)</f>
      </c>
      <c r="V747" s="10">
        <f>IFERROR(S747/E747, 0)</f>
      </c>
      <c r="W747" s="10">
        <f>IFERROR(T747/F747, 0)</f>
      </c>
      <c r="X747" s="11">
        <f>IFERROR(V747/W747, 0)</f>
      </c>
    </row>
    <row r="748" spans="1:24" x14ac:dyDescent="0.25">
      <c r="A748" s="8" t="s">
        <v>788</v>
      </c>
      <c r="B748" s="8" t="s">
        <v>789</v>
      </c>
      <c r="C748" s="8" t="s">
        <v>24</v>
      </c>
      <c r="D748" s="8" t="s">
        <v>801</v>
      </c>
      <c r="E748" s="9">
        <v>0</v>
      </c>
      <c r="F748" s="9">
        <v>0</v>
      </c>
      <c r="G748" s="10">
        <v>0</v>
      </c>
      <c r="H748" s="10">
        <v>0</v>
      </c>
      <c r="I748" s="11">
        <f>IFERROR(G748/H748, 0)</f>
      </c>
      <c r="J748" s="10">
        <v>0</v>
      </c>
      <c r="K748" s="10">
        <v>0</v>
      </c>
      <c r="L748" s="10">
        <v>0</v>
      </c>
      <c r="M748" s="12">
        <f>IFERROR(L748/K748, 0)</f>
      </c>
      <c r="N748" s="13">
        <f>IFERROR(J748/K748, 0)</f>
      </c>
      <c r="O748" s="10">
        <v>0</v>
      </c>
      <c r="P748" s="10">
        <v>0</v>
      </c>
      <c r="Q748" s="10">
        <v>0</v>
      </c>
      <c r="R748" s="11">
        <f>IFERROR(P748/Q748, 0)</f>
      </c>
      <c r="S748" s="10">
        <v>0</v>
      </c>
      <c r="T748" s="10">
        <v>0</v>
      </c>
      <c r="U748" s="11">
        <f>IFERROR(S748/T748, 0)</f>
      </c>
      <c r="V748" s="10">
        <f>IFERROR(S748/E748, 0)</f>
      </c>
      <c r="W748" s="10">
        <f>IFERROR(T748/F748, 0)</f>
      </c>
      <c r="X748" s="11">
        <f>IFERROR(V748/W748, 0)</f>
      </c>
    </row>
    <row r="749" spans="1:24" x14ac:dyDescent="0.25">
      <c r="A749" s="8" t="s">
        <v>788</v>
      </c>
      <c r="B749" s="8" t="s">
        <v>789</v>
      </c>
      <c r="C749" s="8" t="s">
        <v>24</v>
      </c>
      <c r="D749" s="8" t="s">
        <v>802</v>
      </c>
      <c r="E749" s="9">
        <v>0</v>
      </c>
      <c r="F749" s="9">
        <v>124.23</v>
      </c>
      <c r="G749" s="10">
        <v>0</v>
      </c>
      <c r="H749" s="10">
        <v>3715.2574074074073</v>
      </c>
      <c r="I749" s="11">
        <f>IFERROR(G749/H749, 0)</f>
      </c>
      <c r="J749" s="10">
        <v>0</v>
      </c>
      <c r="K749" s="10">
        <v>0</v>
      </c>
      <c r="L749" s="10">
        <v>0</v>
      </c>
      <c r="M749" s="12">
        <f>IFERROR(L749/K749, 0)</f>
      </c>
      <c r="N749" s="13">
        <f>IFERROR(J749/K749, 0)</f>
      </c>
      <c r="O749" s="10">
        <v>0</v>
      </c>
      <c r="P749" s="10">
        <v>0</v>
      </c>
      <c r="Q749" s="10">
        <v>40867.83148148148</v>
      </c>
      <c r="R749" s="11">
        <f>IFERROR(P749/Q749, 0)</f>
      </c>
      <c r="S749" s="10">
        <v>0</v>
      </c>
      <c r="T749" s="10">
        <v>463233.92148148146</v>
      </c>
      <c r="U749" s="11">
        <f>IFERROR(S749/T749, 0)</f>
      </c>
      <c r="V749" s="10">
        <f>IFERROR(S749/E749, 0)</f>
      </c>
      <c r="W749" s="10">
        <f>IFERROR(T749/F749, 0)</f>
      </c>
      <c r="X749" s="11">
        <f>IFERROR(V749/W749, 0)</f>
      </c>
    </row>
    <row r="750" spans="1:24" x14ac:dyDescent="0.25">
      <c r="A750" s="8" t="s">
        <v>788</v>
      </c>
      <c r="B750" s="8" t="s">
        <v>789</v>
      </c>
      <c r="C750" s="8" t="s">
        <v>24</v>
      </c>
      <c r="D750" s="8" t="s">
        <v>803</v>
      </c>
      <c r="E750" s="9">
        <v>861.71</v>
      </c>
      <c r="F750" s="9">
        <v>63.22</v>
      </c>
      <c r="G750" s="10">
        <v>0</v>
      </c>
      <c r="H750" s="10">
        <v>1890.772962962963</v>
      </c>
      <c r="I750" s="11">
        <f>IFERROR(G750/H750, 0)</f>
      </c>
      <c r="J750" s="10">
        <v>0</v>
      </c>
      <c r="K750" s="10">
        <v>0</v>
      </c>
      <c r="L750" s="10">
        <v>0</v>
      </c>
      <c r="M750" s="12">
        <f>IFERROR(L750/K750, 0)</f>
      </c>
      <c r="N750" s="13">
        <f>IFERROR(J750/K750, 0)</f>
      </c>
      <c r="O750" s="10">
        <v>0</v>
      </c>
      <c r="P750" s="10">
        <v>0</v>
      </c>
      <c r="Q750" s="10">
        <v>20798.50259259259</v>
      </c>
      <c r="R750" s="11">
        <f>IFERROR(P750/Q750, 0)</f>
      </c>
      <c r="S750" s="10">
        <v>0</v>
      </c>
      <c r="T750" s="10">
        <v>235749.5225925926</v>
      </c>
      <c r="U750" s="11">
        <f>IFERROR(S750/T750, 0)</f>
      </c>
      <c r="V750" s="10">
        <f>IFERROR(S750/E750, 0)</f>
      </c>
      <c r="W750" s="10">
        <f>IFERROR(T750/F750, 0)</f>
      </c>
      <c r="X750" s="11">
        <f>IFERROR(V750/W750, 0)</f>
      </c>
    </row>
    <row r="751" spans="1:24" x14ac:dyDescent="0.25">
      <c r="A751" s="8" t="s">
        <v>788</v>
      </c>
      <c r="B751" s="8" t="s">
        <v>789</v>
      </c>
      <c r="C751" s="8" t="s">
        <v>24</v>
      </c>
      <c r="D751" s="8" t="s">
        <v>804</v>
      </c>
      <c r="E751" s="9">
        <v>887.87</v>
      </c>
      <c r="F751" s="9">
        <v>466.72</v>
      </c>
      <c r="G751" s="10">
        <v>18300</v>
      </c>
      <c r="H751" s="10">
        <v>13958.352222222222</v>
      </c>
      <c r="I751" s="11">
        <f>IFERROR(G751/H751, 0)</f>
      </c>
      <c r="J751" s="10">
        <v>13</v>
      </c>
      <c r="K751" s="10">
        <v>8</v>
      </c>
      <c r="L751" s="10">
        <v>18300</v>
      </c>
      <c r="M751" s="12">
        <f>IFERROR(L751/K751, 0)</f>
      </c>
      <c r="N751" s="13">
        <f>IFERROR(J751/K751, 0)</f>
      </c>
      <c r="O751" s="10">
        <v>0</v>
      </c>
      <c r="P751" s="10">
        <v>207280</v>
      </c>
      <c r="Q751" s="10">
        <v>153541.87444444443</v>
      </c>
      <c r="R751" s="11">
        <f>IFERROR(P751/Q751, 0)</f>
      </c>
      <c r="S751" s="10">
        <v>1889580</v>
      </c>
      <c r="T751" s="10">
        <v>1740386.1244444444</v>
      </c>
      <c r="U751" s="11">
        <f>IFERROR(S751/T751, 0)</f>
      </c>
      <c r="V751" s="10">
        <f>IFERROR(S751/E751, 0)</f>
      </c>
      <c r="W751" s="10">
        <f>IFERROR(T751/F751, 0)</f>
      </c>
      <c r="X751" s="11">
        <f>IFERROR(V751/W751, 0)</f>
      </c>
    </row>
    <row r="752" spans="1:24" x14ac:dyDescent="0.25">
      <c r="A752" s="8" t="s">
        <v>788</v>
      </c>
      <c r="B752" s="8" t="s">
        <v>789</v>
      </c>
      <c r="C752" s="8" t="s">
        <v>24</v>
      </c>
      <c r="D752" s="8" t="s">
        <v>805</v>
      </c>
      <c r="E752" s="9">
        <v>0</v>
      </c>
      <c r="F752" s="9">
        <v>5.05</v>
      </c>
      <c r="G752" s="10">
        <v>0</v>
      </c>
      <c r="H752" s="10">
        <v>151.03925925925927</v>
      </c>
      <c r="I752" s="11">
        <f>IFERROR(G752/H752, 0)</f>
      </c>
      <c r="J752" s="10">
        <v>0</v>
      </c>
      <c r="K752" s="10">
        <v>0</v>
      </c>
      <c r="L752" s="10">
        <v>0</v>
      </c>
      <c r="M752" s="12">
        <f>IFERROR(L752/K752, 0)</f>
      </c>
      <c r="N752" s="13">
        <f>IFERROR(J752/K752, 0)</f>
      </c>
      <c r="O752" s="10">
        <v>0</v>
      </c>
      <c r="P752" s="10">
        <v>0</v>
      </c>
      <c r="Q752" s="10">
        <v>1661.431851851852</v>
      </c>
      <c r="R752" s="11">
        <f>IFERROR(P752/Q752, 0)</f>
      </c>
      <c r="S752" s="10">
        <v>0</v>
      </c>
      <c r="T752" s="10">
        <v>18832.221851851853</v>
      </c>
      <c r="U752" s="11">
        <f>IFERROR(S752/T752, 0)</f>
      </c>
      <c r="V752" s="10">
        <f>IFERROR(S752/E752, 0)</f>
      </c>
      <c r="W752" s="10">
        <f>IFERROR(T752/F752, 0)</f>
      </c>
      <c r="X752" s="11">
        <f>IFERROR(V752/W752, 0)</f>
      </c>
    </row>
    <row r="753" spans="1:24" x14ac:dyDescent="0.25">
      <c r="A753" s="8" t="s">
        <v>788</v>
      </c>
      <c r="B753" s="8" t="s">
        <v>789</v>
      </c>
      <c r="C753" s="8" t="s">
        <v>24</v>
      </c>
      <c r="D753" s="8" t="s">
        <v>806</v>
      </c>
      <c r="E753" s="9">
        <v>0</v>
      </c>
      <c r="F753" s="9">
        <v>0</v>
      </c>
      <c r="G753" s="10">
        <v>0</v>
      </c>
      <c r="H753" s="10">
        <v>0</v>
      </c>
      <c r="I753" s="11">
        <f>IFERROR(G753/H753, 0)</f>
      </c>
      <c r="J753" s="10">
        <v>0</v>
      </c>
      <c r="K753" s="10">
        <v>0</v>
      </c>
      <c r="L753" s="10">
        <v>0</v>
      </c>
      <c r="M753" s="12">
        <f>IFERROR(L753/K753, 0)</f>
      </c>
      <c r="N753" s="13">
        <f>IFERROR(J753/K753, 0)</f>
      </c>
      <c r="O753" s="10">
        <v>0</v>
      </c>
      <c r="P753" s="10">
        <v>0</v>
      </c>
      <c r="Q753" s="10">
        <v>0</v>
      </c>
      <c r="R753" s="11">
        <f>IFERROR(P753/Q753, 0)</f>
      </c>
      <c r="S753" s="10">
        <v>0</v>
      </c>
      <c r="T753" s="10">
        <v>0</v>
      </c>
      <c r="U753" s="11">
        <f>IFERROR(S753/T753, 0)</f>
      </c>
      <c r="V753" s="10">
        <f>IFERROR(S753/E753, 0)</f>
      </c>
      <c r="W753" s="10">
        <f>IFERROR(T753/F753, 0)</f>
      </c>
      <c r="X753" s="11">
        <f>IFERROR(V753/W753, 0)</f>
      </c>
    </row>
    <row r="754" spans="1:24" x14ac:dyDescent="0.25">
      <c r="A754" s="8" t="s">
        <v>788</v>
      </c>
      <c r="B754" s="8" t="s">
        <v>789</v>
      </c>
      <c r="C754" s="8" t="s">
        <v>24</v>
      </c>
      <c r="D754" s="8" t="s">
        <v>807</v>
      </c>
      <c r="E754" s="9">
        <v>46.39</v>
      </c>
      <c r="F754" s="9">
        <v>1424.1</v>
      </c>
      <c r="G754" s="10">
        <v>0</v>
      </c>
      <c r="H754" s="10">
        <v>42591.13888888889</v>
      </c>
      <c r="I754" s="11">
        <f>IFERROR(G754/H754, 0)</f>
      </c>
      <c r="J754" s="10">
        <v>0</v>
      </c>
      <c r="K754" s="10">
        <v>0</v>
      </c>
      <c r="L754" s="10">
        <v>0</v>
      </c>
      <c r="M754" s="12">
        <f>IFERROR(L754/K754, 0)</f>
      </c>
      <c r="N754" s="13">
        <f>IFERROR(J754/K754, 0)</f>
      </c>
      <c r="O754" s="10">
        <v>0</v>
      </c>
      <c r="P754" s="10">
        <v>0</v>
      </c>
      <c r="Q754" s="10">
        <v>468502.52777777775</v>
      </c>
      <c r="R754" s="11">
        <f>IFERROR(P754/Q754, 0)</f>
      </c>
      <c r="S754" s="10">
        <v>0</v>
      </c>
      <c r="T754" s="10">
        <v>5310442.537777778</v>
      </c>
      <c r="U754" s="11">
        <f>IFERROR(S754/T754, 0)</f>
      </c>
      <c r="V754" s="10">
        <f>IFERROR(S754/E754, 0)</f>
      </c>
      <c r="W754" s="10">
        <f>IFERROR(T754/F754, 0)</f>
      </c>
      <c r="X754" s="11">
        <f>IFERROR(V754/W754, 0)</f>
      </c>
    </row>
    <row r="755" spans="1:24" x14ac:dyDescent="0.25">
      <c r="A755" s="8" t="s">
        <v>788</v>
      </c>
      <c r="B755" s="8" t="s">
        <v>789</v>
      </c>
      <c r="C755" s="8" t="s">
        <v>24</v>
      </c>
      <c r="D755" s="8" t="s">
        <v>808</v>
      </c>
      <c r="E755" s="9">
        <v>0</v>
      </c>
      <c r="F755" s="9">
        <v>368.86</v>
      </c>
      <c r="G755" s="10">
        <v>0</v>
      </c>
      <c r="H755" s="10">
        <v>11031.658148148148</v>
      </c>
      <c r="I755" s="11">
        <f>IFERROR(G755/H755, 0)</f>
      </c>
      <c r="J755" s="10">
        <v>0</v>
      </c>
      <c r="K755" s="10">
        <v>0</v>
      </c>
      <c r="L755" s="10">
        <v>0</v>
      </c>
      <c r="M755" s="12">
        <f>IFERROR(L755/K755, 0)</f>
      </c>
      <c r="N755" s="13">
        <f>IFERROR(J755/K755, 0)</f>
      </c>
      <c r="O755" s="10">
        <v>0</v>
      </c>
      <c r="P755" s="10">
        <v>0</v>
      </c>
      <c r="Q755" s="10">
        <v>121348.23962962962</v>
      </c>
      <c r="R755" s="11">
        <f>IFERROR(P755/Q755, 0)</f>
      </c>
      <c r="S755" s="10">
        <v>0</v>
      </c>
      <c r="T755" s="10">
        <v>1375473.6196296297</v>
      </c>
      <c r="U755" s="11">
        <f>IFERROR(S755/T755, 0)</f>
      </c>
      <c r="V755" s="10">
        <f>IFERROR(S755/E755, 0)</f>
      </c>
      <c r="W755" s="10">
        <f>IFERROR(T755/F755, 0)</f>
      </c>
      <c r="X755" s="11">
        <f>IFERROR(V755/W755, 0)</f>
      </c>
    </row>
    <row r="756" spans="1:24" x14ac:dyDescent="0.25">
      <c r="A756" s="8" t="s">
        <v>788</v>
      </c>
      <c r="B756" s="8" t="s">
        <v>789</v>
      </c>
      <c r="C756" s="8" t="s">
        <v>24</v>
      </c>
      <c r="D756" s="8" t="s">
        <v>809</v>
      </c>
      <c r="E756" s="9">
        <v>0</v>
      </c>
      <c r="F756" s="9">
        <v>49.22</v>
      </c>
      <c r="G756" s="10">
        <v>0</v>
      </c>
      <c r="H756" s="10">
        <v>1471.911111111111</v>
      </c>
      <c r="I756" s="11">
        <f>IFERROR(G756/H756, 0)</f>
      </c>
      <c r="J756" s="10">
        <v>0</v>
      </c>
      <c r="K756" s="10">
        <v>0</v>
      </c>
      <c r="L756" s="10">
        <v>0</v>
      </c>
      <c r="M756" s="12">
        <f>IFERROR(L756/K756, 0)</f>
      </c>
      <c r="N756" s="13">
        <f>IFERROR(J756/K756, 0)</f>
      </c>
      <c r="O756" s="10">
        <v>0</v>
      </c>
      <c r="P756" s="10">
        <v>0</v>
      </c>
      <c r="Q756" s="10">
        <v>16191.022222222222</v>
      </c>
      <c r="R756" s="11">
        <f>IFERROR(P756/Q756, 0)</f>
      </c>
      <c r="S756" s="10">
        <v>0</v>
      </c>
      <c r="T756" s="10">
        <v>183524.07222222222</v>
      </c>
      <c r="U756" s="11">
        <f>IFERROR(S756/T756, 0)</f>
      </c>
      <c r="V756" s="10">
        <f>IFERROR(S756/E756, 0)</f>
      </c>
      <c r="W756" s="10">
        <f>IFERROR(T756/F756, 0)</f>
      </c>
      <c r="X756" s="11">
        <f>IFERROR(V756/W756, 0)</f>
      </c>
    </row>
    <row r="757" spans="1:24" x14ac:dyDescent="0.25">
      <c r="A757" s="14" t="s">
        <v>810</v>
      </c>
      <c r="B757" s="14"/>
      <c r="C757" s="14"/>
      <c r="D757" s="14"/>
      <c r="E757" s="15">
        <f>SUM(E737:E756)</f>
      </c>
      <c r="F757" s="15">
        <f>SUM(F737:F756)</f>
      </c>
      <c r="G757" s="16">
        <f>SUM(G737:G756)</f>
      </c>
      <c r="H757" s="16">
        <f>SUM(H737:H756)</f>
      </c>
      <c r="I757" s="17">
        <f>IFERROR(G757/H757, 0)</f>
      </c>
      <c r="J757" s="16">
        <f>SUM(J737:J756)</f>
      </c>
      <c r="K757" s="16">
        <f>SUM(K737:K756)</f>
      </c>
      <c r="L757" s="16">
        <f>SUM(L737:L756)</f>
      </c>
      <c r="M757" s="18">
        <f>IFERROR(L757/K757, 0)</f>
      </c>
      <c r="N757" s="19">
        <f>IFERROR(J757/K757, 0)</f>
      </c>
      <c r="O757" s="16">
        <f>SUM(O737:O756)</f>
      </c>
      <c r="P757" s="16">
        <f>SUM(P737:P756)</f>
      </c>
      <c r="Q757" s="16">
        <f>SUM(Q737:Q756)</f>
      </c>
      <c r="R757" s="17">
        <f>IFERROR(P757/Q757, 0)</f>
      </c>
      <c r="S757" s="16">
        <f>SUM(S737:S756)</f>
      </c>
      <c r="T757" s="16">
        <f>SUM(T737:T756)</f>
      </c>
      <c r="U757" s="17">
        <f>IFERROR(S757/T757, 0)</f>
      </c>
      <c r="V757" s="16">
        <f>IFERROR(S757/E757, 0)</f>
      </c>
      <c r="W757" s="16">
        <f>IFERROR(T757/F757, 0)</f>
      </c>
      <c r="X757" s="17">
        <f>IFERROR(V757/W757, 0)</f>
      </c>
    </row>
    <row r="758" spans="1:24" x14ac:dyDescent="0.25">
      <c r="A758" s="8" t="s">
        <v>788</v>
      </c>
      <c r="B758" s="8" t="s">
        <v>811</v>
      </c>
      <c r="C758" s="8" t="s">
        <v>24</v>
      </c>
      <c r="D758" s="8" t="s">
        <v>812</v>
      </c>
      <c r="E758" s="9">
        <v>162.44</v>
      </c>
      <c r="F758" s="9">
        <v>0</v>
      </c>
      <c r="G758" s="10">
        <v>0</v>
      </c>
      <c r="H758" s="10">
        <v>0</v>
      </c>
      <c r="I758" s="11">
        <f>IFERROR(G758/H758, 0)</f>
      </c>
      <c r="J758" s="10">
        <v>0</v>
      </c>
      <c r="K758" s="10">
        <v>0</v>
      </c>
      <c r="L758" s="10">
        <v>0</v>
      </c>
      <c r="M758" s="12">
        <f>IFERROR(L758/K758, 0)</f>
      </c>
      <c r="N758" s="13">
        <f>IFERROR(J758/K758, 0)</f>
      </c>
      <c r="O758" s="10">
        <v>0</v>
      </c>
      <c r="P758" s="10">
        <v>0</v>
      </c>
      <c r="Q758" s="10">
        <v>0</v>
      </c>
      <c r="R758" s="11">
        <f>IFERROR(P758/Q758, 0)</f>
      </c>
      <c r="S758" s="10">
        <v>50671</v>
      </c>
      <c r="T758" s="10">
        <v>0</v>
      </c>
      <c r="U758" s="11">
        <f>IFERROR(S758/T758, 0)</f>
      </c>
      <c r="V758" s="10">
        <f>IFERROR(S758/E758, 0)</f>
      </c>
      <c r="W758" s="10">
        <f>IFERROR(T758/F758, 0)</f>
      </c>
      <c r="X758" s="11">
        <f>IFERROR(V758/W758, 0)</f>
      </c>
    </row>
    <row r="759" spans="1:24" x14ac:dyDescent="0.25">
      <c r="A759" s="8" t="s">
        <v>788</v>
      </c>
      <c r="B759" s="8" t="s">
        <v>811</v>
      </c>
      <c r="C759" s="8" t="s">
        <v>24</v>
      </c>
      <c r="D759" s="8" t="s">
        <v>813</v>
      </c>
      <c r="E759" s="9">
        <v>0</v>
      </c>
      <c r="F759" s="9">
        <v>0</v>
      </c>
      <c r="G759" s="10">
        <v>0</v>
      </c>
      <c r="H759" s="10">
        <v>0</v>
      </c>
      <c r="I759" s="11">
        <f>IFERROR(G759/H759, 0)</f>
      </c>
      <c r="J759" s="10">
        <v>0</v>
      </c>
      <c r="K759" s="10">
        <v>0</v>
      </c>
      <c r="L759" s="10">
        <v>0</v>
      </c>
      <c r="M759" s="12">
        <f>IFERROR(L759/K759, 0)</f>
      </c>
      <c r="N759" s="13">
        <f>IFERROR(J759/K759, 0)</f>
      </c>
      <c r="O759" s="10">
        <v>0</v>
      </c>
      <c r="P759" s="10">
        <v>0</v>
      </c>
      <c r="Q759" s="10">
        <v>0</v>
      </c>
      <c r="R759" s="11">
        <f>IFERROR(P759/Q759, 0)</f>
      </c>
      <c r="S759" s="10">
        <v>0</v>
      </c>
      <c r="T759" s="10">
        <v>0</v>
      </c>
      <c r="U759" s="11">
        <f>IFERROR(S759/T759, 0)</f>
      </c>
      <c r="V759" s="10">
        <f>IFERROR(S759/E759, 0)</f>
      </c>
      <c r="W759" s="10">
        <f>IFERROR(T759/F759, 0)</f>
      </c>
      <c r="X759" s="11">
        <f>IFERROR(V759/W759, 0)</f>
      </c>
    </row>
    <row r="760" spans="1:24" x14ac:dyDescent="0.25">
      <c r="A760" s="8" t="s">
        <v>788</v>
      </c>
      <c r="B760" s="8" t="s">
        <v>811</v>
      </c>
      <c r="C760" s="8" t="s">
        <v>24</v>
      </c>
      <c r="D760" s="8" t="s">
        <v>814</v>
      </c>
      <c r="E760" s="9">
        <v>2.74</v>
      </c>
      <c r="F760" s="9">
        <v>2.04</v>
      </c>
      <c r="G760" s="10">
        <v>0</v>
      </c>
      <c r="H760" s="10">
        <v>60.94962962962963</v>
      </c>
      <c r="I760" s="11">
        <f>IFERROR(G760/H760, 0)</f>
      </c>
      <c r="J760" s="10">
        <v>0</v>
      </c>
      <c r="K760" s="10">
        <v>0</v>
      </c>
      <c r="L760" s="10">
        <v>0</v>
      </c>
      <c r="M760" s="12">
        <f>IFERROR(L760/K760, 0)</f>
      </c>
      <c r="N760" s="13">
        <f>IFERROR(J760/K760, 0)</f>
      </c>
      <c r="O760" s="10">
        <v>0</v>
      </c>
      <c r="P760" s="10">
        <v>0</v>
      </c>
      <c r="Q760" s="10">
        <v>670.445925925926</v>
      </c>
      <c r="R760" s="11">
        <f>IFERROR(P760/Q760, 0)</f>
      </c>
      <c r="S760" s="10">
        <v>16134</v>
      </c>
      <c r="T760" s="10">
        <v>7599.455925925926</v>
      </c>
      <c r="U760" s="11">
        <f>IFERROR(S760/T760, 0)</f>
      </c>
      <c r="V760" s="10">
        <f>IFERROR(S760/E760, 0)</f>
      </c>
      <c r="W760" s="10">
        <f>IFERROR(T760/F760, 0)</f>
      </c>
      <c r="X760" s="11">
        <f>IFERROR(V760/W760, 0)</f>
      </c>
    </row>
    <row r="761" spans="1:24" x14ac:dyDescent="0.25">
      <c r="A761" s="8" t="s">
        <v>788</v>
      </c>
      <c r="B761" s="8" t="s">
        <v>811</v>
      </c>
      <c r="C761" s="8" t="s">
        <v>24</v>
      </c>
      <c r="D761" s="8" t="s">
        <v>815</v>
      </c>
      <c r="E761" s="9">
        <v>0</v>
      </c>
      <c r="F761" s="9">
        <v>0</v>
      </c>
      <c r="G761" s="10">
        <v>0</v>
      </c>
      <c r="H761" s="10">
        <v>0</v>
      </c>
      <c r="I761" s="11">
        <f>IFERROR(G761/H761, 0)</f>
      </c>
      <c r="J761" s="10">
        <v>0</v>
      </c>
      <c r="K761" s="10">
        <v>0</v>
      </c>
      <c r="L761" s="10">
        <v>0</v>
      </c>
      <c r="M761" s="12">
        <f>IFERROR(L761/K761, 0)</f>
      </c>
      <c r="N761" s="13">
        <f>IFERROR(J761/K761, 0)</f>
      </c>
      <c r="O761" s="10">
        <v>0</v>
      </c>
      <c r="P761" s="10">
        <v>0</v>
      </c>
      <c r="Q761" s="10">
        <v>0</v>
      </c>
      <c r="R761" s="11">
        <f>IFERROR(P761/Q761, 0)</f>
      </c>
      <c r="S761" s="10">
        <v>0</v>
      </c>
      <c r="T761" s="10">
        <v>0</v>
      </c>
      <c r="U761" s="11">
        <f>IFERROR(S761/T761, 0)</f>
      </c>
      <c r="V761" s="10">
        <f>IFERROR(S761/E761, 0)</f>
      </c>
      <c r="W761" s="10">
        <f>IFERROR(T761/F761, 0)</f>
      </c>
      <c r="X761" s="11">
        <f>IFERROR(V761/W761, 0)</f>
      </c>
    </row>
    <row r="762" spans="1:24" x14ac:dyDescent="0.25">
      <c r="A762" s="8" t="s">
        <v>788</v>
      </c>
      <c r="B762" s="8" t="s">
        <v>811</v>
      </c>
      <c r="C762" s="8" t="s">
        <v>24</v>
      </c>
      <c r="D762" s="8" t="s">
        <v>816</v>
      </c>
      <c r="E762" s="9">
        <v>110.05</v>
      </c>
      <c r="F762" s="9">
        <v>110.52</v>
      </c>
      <c r="G762" s="10">
        <v>0</v>
      </c>
      <c r="H762" s="10">
        <v>3305.515925925926</v>
      </c>
      <c r="I762" s="11">
        <f>IFERROR(G762/H762, 0)</f>
      </c>
      <c r="J762" s="10">
        <v>0</v>
      </c>
      <c r="K762" s="10">
        <v>0</v>
      </c>
      <c r="L762" s="10">
        <v>0</v>
      </c>
      <c r="M762" s="12">
        <f>IFERROR(L762/K762, 0)</f>
      </c>
      <c r="N762" s="13">
        <f>IFERROR(J762/K762, 0)</f>
      </c>
      <c r="O762" s="10">
        <v>0</v>
      </c>
      <c r="P762" s="10">
        <v>141227</v>
      </c>
      <c r="Q762" s="10">
        <v>36360.67518518519</v>
      </c>
      <c r="R762" s="11">
        <f>IFERROR(P762/Q762, 0)</f>
      </c>
      <c r="S762" s="10">
        <v>1196473</v>
      </c>
      <c r="T762" s="10">
        <v>412145.62518518517</v>
      </c>
      <c r="U762" s="11">
        <f>IFERROR(S762/T762, 0)</f>
      </c>
      <c r="V762" s="10">
        <f>IFERROR(S762/E762, 0)</f>
      </c>
      <c r="W762" s="10">
        <f>IFERROR(T762/F762, 0)</f>
      </c>
      <c r="X762" s="11">
        <f>IFERROR(V762/W762, 0)</f>
      </c>
    </row>
    <row r="763" spans="1:24" x14ac:dyDescent="0.25">
      <c r="A763" s="8" t="s">
        <v>788</v>
      </c>
      <c r="B763" s="8" t="s">
        <v>811</v>
      </c>
      <c r="C763" s="8" t="s">
        <v>24</v>
      </c>
      <c r="D763" s="8" t="s">
        <v>817</v>
      </c>
      <c r="E763" s="9">
        <v>767.87</v>
      </c>
      <c r="F763" s="9">
        <v>0</v>
      </c>
      <c r="G763" s="10">
        <v>0</v>
      </c>
      <c r="H763" s="10">
        <v>0</v>
      </c>
      <c r="I763" s="11">
        <f>IFERROR(G763/H763, 0)</f>
      </c>
      <c r="J763" s="10">
        <v>5</v>
      </c>
      <c r="K763" s="10">
        <v>2</v>
      </c>
      <c r="L763" s="10">
        <v>950</v>
      </c>
      <c r="M763" s="12">
        <f>IFERROR(L763/K763, 0)</f>
      </c>
      <c r="N763" s="13">
        <f>IFERROR(J763/K763, 0)</f>
      </c>
      <c r="O763" s="10">
        <v>6328</v>
      </c>
      <c r="P763" s="10">
        <v>21913</v>
      </c>
      <c r="Q763" s="10">
        <v>0</v>
      </c>
      <c r="R763" s="11">
        <f>IFERROR(P763/Q763, 0)</f>
      </c>
      <c r="S763" s="10">
        <v>106552</v>
      </c>
      <c r="T763" s="10">
        <v>0</v>
      </c>
      <c r="U763" s="11">
        <f>IFERROR(S763/T763, 0)</f>
      </c>
      <c r="V763" s="10">
        <f>IFERROR(S763/E763, 0)</f>
      </c>
      <c r="W763" s="10">
        <f>IFERROR(T763/F763, 0)</f>
      </c>
      <c r="X763" s="11">
        <f>IFERROR(V763/W763, 0)</f>
      </c>
    </row>
    <row r="764" spans="1:24" x14ac:dyDescent="0.25">
      <c r="A764" s="8" t="s">
        <v>788</v>
      </c>
      <c r="B764" s="8" t="s">
        <v>811</v>
      </c>
      <c r="C764" s="8" t="s">
        <v>24</v>
      </c>
      <c r="D764" s="8" t="s">
        <v>818</v>
      </c>
      <c r="E764" s="9">
        <v>1101.36</v>
      </c>
      <c r="F764" s="9">
        <v>1101.36</v>
      </c>
      <c r="G764" s="10">
        <v>0</v>
      </c>
      <c r="H764" s="10">
        <v>32938.822222222225</v>
      </c>
      <c r="I764" s="11">
        <f>IFERROR(G764/H764, 0)</f>
      </c>
      <c r="J764" s="10">
        <v>0</v>
      </c>
      <c r="K764" s="10">
        <v>0</v>
      </c>
      <c r="L764" s="10">
        <v>0</v>
      </c>
      <c r="M764" s="12">
        <f>IFERROR(L764/K764, 0)</f>
      </c>
      <c r="N764" s="13">
        <f>IFERROR(J764/K764, 0)</f>
      </c>
      <c r="O764" s="10">
        <v>0</v>
      </c>
      <c r="P764" s="10">
        <v>0</v>
      </c>
      <c r="Q764" s="10">
        <v>362327.0444444444</v>
      </c>
      <c r="R764" s="11">
        <f>IFERROR(P764/Q764, 0)</f>
      </c>
      <c r="S764" s="10">
        <v>0</v>
      </c>
      <c r="T764" s="10">
        <v>4106951.0444444446</v>
      </c>
      <c r="U764" s="11">
        <f>IFERROR(S764/T764, 0)</f>
      </c>
      <c r="V764" s="10">
        <f>IFERROR(S764/E764, 0)</f>
      </c>
      <c r="W764" s="10">
        <f>IFERROR(T764/F764, 0)</f>
      </c>
      <c r="X764" s="11">
        <f>IFERROR(V764/W764, 0)</f>
      </c>
    </row>
    <row r="765" spans="1:24" x14ac:dyDescent="0.25">
      <c r="A765" s="8" t="s">
        <v>788</v>
      </c>
      <c r="B765" s="8" t="s">
        <v>811</v>
      </c>
      <c r="C765" s="8" t="s">
        <v>24</v>
      </c>
      <c r="D765" s="8" t="s">
        <v>819</v>
      </c>
      <c r="E765" s="9">
        <v>1087</v>
      </c>
      <c r="F765" s="9">
        <v>1087</v>
      </c>
      <c r="G765" s="10">
        <v>12873</v>
      </c>
      <c r="H765" s="10">
        <v>32509.35185185185</v>
      </c>
      <c r="I765" s="11">
        <f>IFERROR(G765/H765, 0)</f>
      </c>
      <c r="J765" s="10">
        <v>25</v>
      </c>
      <c r="K765" s="10">
        <v>16</v>
      </c>
      <c r="L765" s="10">
        <v>5273</v>
      </c>
      <c r="M765" s="12">
        <f>IFERROR(L765/K765, 0)</f>
      </c>
      <c r="N765" s="13">
        <f>IFERROR(J765/K765, 0)</f>
      </c>
      <c r="O765" s="10">
        <v>0</v>
      </c>
      <c r="P765" s="10">
        <v>12873</v>
      </c>
      <c r="Q765" s="10">
        <v>357602.8703703704</v>
      </c>
      <c r="R765" s="11">
        <f>IFERROR(P765/Q765, 0)</f>
      </c>
      <c r="S765" s="10">
        <v>332653</v>
      </c>
      <c r="T765" s="10">
        <v>4053402.8703703703</v>
      </c>
      <c r="U765" s="11">
        <f>IFERROR(S765/T765, 0)</f>
      </c>
      <c r="V765" s="10">
        <f>IFERROR(S765/E765, 0)</f>
      </c>
      <c r="W765" s="10">
        <f>IFERROR(T765/F765, 0)</f>
      </c>
      <c r="X765" s="11">
        <f>IFERROR(V765/W765, 0)</f>
      </c>
    </row>
    <row r="766" spans="1:24" x14ac:dyDescent="0.25">
      <c r="A766" s="8" t="s">
        <v>788</v>
      </c>
      <c r="B766" s="8" t="s">
        <v>811</v>
      </c>
      <c r="C766" s="8" t="s">
        <v>24</v>
      </c>
      <c r="D766" s="8" t="s">
        <v>820</v>
      </c>
      <c r="E766" s="9">
        <v>0</v>
      </c>
      <c r="F766" s="9">
        <v>0</v>
      </c>
      <c r="G766" s="10">
        <v>0</v>
      </c>
      <c r="H766" s="10">
        <v>0</v>
      </c>
      <c r="I766" s="11">
        <f>IFERROR(G766/H766, 0)</f>
      </c>
      <c r="J766" s="10">
        <v>0</v>
      </c>
      <c r="K766" s="10">
        <v>0</v>
      </c>
      <c r="L766" s="10">
        <v>0</v>
      </c>
      <c r="M766" s="12">
        <f>IFERROR(L766/K766, 0)</f>
      </c>
      <c r="N766" s="13">
        <f>IFERROR(J766/K766, 0)</f>
      </c>
      <c r="O766" s="10">
        <v>0</v>
      </c>
      <c r="P766" s="10">
        <v>0</v>
      </c>
      <c r="Q766" s="10">
        <v>0</v>
      </c>
      <c r="R766" s="11">
        <f>IFERROR(P766/Q766, 0)</f>
      </c>
      <c r="S766" s="10">
        <v>0</v>
      </c>
      <c r="T766" s="10">
        <v>0</v>
      </c>
      <c r="U766" s="11">
        <f>IFERROR(S766/T766, 0)</f>
      </c>
      <c r="V766" s="10">
        <f>IFERROR(S766/E766, 0)</f>
      </c>
      <c r="W766" s="10">
        <f>IFERROR(T766/F766, 0)</f>
      </c>
      <c r="X766" s="11">
        <f>IFERROR(V766/W766, 0)</f>
      </c>
    </row>
    <row r="767" spans="1:24" x14ac:dyDescent="0.25">
      <c r="A767" s="8" t="s">
        <v>788</v>
      </c>
      <c r="B767" s="8" t="s">
        <v>811</v>
      </c>
      <c r="C767" s="8" t="s">
        <v>24</v>
      </c>
      <c r="D767" s="8" t="s">
        <v>821</v>
      </c>
      <c r="E767" s="9">
        <v>0</v>
      </c>
      <c r="F767" s="9">
        <v>0</v>
      </c>
      <c r="G767" s="10">
        <v>0</v>
      </c>
      <c r="H767" s="10">
        <v>0</v>
      </c>
      <c r="I767" s="11">
        <f>IFERROR(G767/H767, 0)</f>
      </c>
      <c r="J767" s="10">
        <v>0</v>
      </c>
      <c r="K767" s="10">
        <v>0</v>
      </c>
      <c r="L767" s="10">
        <v>0</v>
      </c>
      <c r="M767" s="12">
        <f>IFERROR(L767/K767, 0)</f>
      </c>
      <c r="N767" s="13">
        <f>IFERROR(J767/K767, 0)</f>
      </c>
      <c r="O767" s="10">
        <v>0</v>
      </c>
      <c r="P767" s="10">
        <v>0</v>
      </c>
      <c r="Q767" s="10">
        <v>0</v>
      </c>
      <c r="R767" s="11">
        <f>IFERROR(P767/Q767, 0)</f>
      </c>
      <c r="S767" s="10">
        <v>0</v>
      </c>
      <c r="T767" s="10">
        <v>0</v>
      </c>
      <c r="U767" s="11">
        <f>IFERROR(S767/T767, 0)</f>
      </c>
      <c r="V767" s="10">
        <f>IFERROR(S767/E767, 0)</f>
      </c>
      <c r="W767" s="10">
        <f>IFERROR(T767/F767, 0)</f>
      </c>
      <c r="X767" s="11">
        <f>IFERROR(V767/W767, 0)</f>
      </c>
    </row>
    <row r="768" spans="1:24" x14ac:dyDescent="0.25">
      <c r="A768" s="14" t="s">
        <v>822</v>
      </c>
      <c r="B768" s="14"/>
      <c r="C768" s="14"/>
      <c r="D768" s="14"/>
      <c r="E768" s="15">
        <f>SUM(E758:E767)</f>
      </c>
      <c r="F768" s="15">
        <f>SUM(F758:F767)</f>
      </c>
      <c r="G768" s="16">
        <f>SUM(G758:G767)</f>
      </c>
      <c r="H768" s="16">
        <f>SUM(H758:H767)</f>
      </c>
      <c r="I768" s="17">
        <f>IFERROR(G768/H768, 0)</f>
      </c>
      <c r="J768" s="16">
        <f>SUM(J758:J767)</f>
      </c>
      <c r="K768" s="16">
        <f>SUM(K758:K767)</f>
      </c>
      <c r="L768" s="16">
        <f>SUM(L758:L767)</f>
      </c>
      <c r="M768" s="18">
        <f>IFERROR(L768/K768, 0)</f>
      </c>
      <c r="N768" s="19">
        <f>IFERROR(J768/K768, 0)</f>
      </c>
      <c r="O768" s="16">
        <f>SUM(O758:O767)</f>
      </c>
      <c r="P768" s="16">
        <f>SUM(P758:P767)</f>
      </c>
      <c r="Q768" s="16">
        <f>SUM(Q758:Q767)</f>
      </c>
      <c r="R768" s="17">
        <f>IFERROR(P768/Q768, 0)</f>
      </c>
      <c r="S768" s="16">
        <f>SUM(S758:S767)</f>
      </c>
      <c r="T768" s="16">
        <f>SUM(T758:T767)</f>
      </c>
      <c r="U768" s="17">
        <f>IFERROR(S768/T768, 0)</f>
      </c>
      <c r="V768" s="16">
        <f>IFERROR(S768/E768, 0)</f>
      </c>
      <c r="W768" s="16">
        <f>IFERROR(T768/F768, 0)</f>
      </c>
      <c r="X768" s="17">
        <f>IFERROR(V768/W768, 0)</f>
      </c>
    </row>
    <row r="769" spans="1:24" x14ac:dyDescent="0.25">
      <c r="A769" s="20" t="s">
        <v>823</v>
      </c>
      <c r="B769" s="20"/>
      <c r="C769" s="20"/>
      <c r="D769" s="20"/>
      <c r="E769" s="21">
        <f>SUM(E757,E768)</f>
      </c>
      <c r="F769" s="21">
        <f>SUM(F757,F768)</f>
      </c>
      <c r="G769" s="22">
        <f>SUM(G757,G768)</f>
      </c>
      <c r="H769" s="22">
        <f>SUM(H757,H768)</f>
      </c>
      <c r="I769" s="23">
        <f>IFERROR(G769/H769, 0)</f>
      </c>
      <c r="J769" s="22">
        <f>SUM(J757,J768)</f>
      </c>
      <c r="K769" s="22">
        <f>SUM(K757,K768)</f>
      </c>
      <c r="L769" s="22">
        <f>SUM(L757,L768)</f>
      </c>
      <c r="M769" s="24">
        <f>IFERROR(L769/K769, 0)</f>
      </c>
      <c r="N769" s="25">
        <f>IFERROR(J769/K769, 0)</f>
      </c>
      <c r="O769" s="22">
        <f>SUM(O757,O768)</f>
      </c>
      <c r="P769" s="22">
        <f>SUM(P757,P768)</f>
      </c>
      <c r="Q769" s="22">
        <f>SUM(Q757,Q768)</f>
      </c>
      <c r="R769" s="23">
        <f>IFERROR(P769/Q769, 0)</f>
      </c>
      <c r="S769" s="22">
        <f>SUM(S757,S768)</f>
      </c>
      <c r="T769" s="22">
        <f>SUM(T757,T768)</f>
      </c>
      <c r="U769" s="23">
        <f>IFERROR(S769/T769, 0)</f>
      </c>
      <c r="V769" s="22">
        <f>IFERROR(S769/E769, 0)</f>
      </c>
      <c r="W769" s="22">
        <f>IFERROR(T769/F769, 0)</f>
      </c>
      <c r="X769" s="23">
        <f>IFERROR(V769/W769, 0)</f>
      </c>
    </row>
    <row r="770" spans="1:24" x14ac:dyDescent="0.25">
      <c r="A770" s="26" t="s">
        <v>824</v>
      </c>
      <c r="B770" s="26"/>
      <c r="C770" s="26"/>
      <c r="D770" s="26"/>
      <c r="E770" s="27">
        <f>SUM(E51,E75,E216,E224,E316,E430,E507,E668,E736,E769)</f>
      </c>
      <c r="F770" s="27">
        <f>SUM(F51,F75,F216,F224,F316,F430,F507,F668,F736,F769)</f>
      </c>
      <c r="G770" s="28">
        <f>SUM(G51,G75,G216,G224,G316,G430,G507,G668,G736,G769)</f>
      </c>
      <c r="H770" s="28">
        <f>SUM(H51,H75,H216,H224,H316,H430,H507,H668,H736,H769)</f>
      </c>
      <c r="I770" s="29">
        <f>IFERROR(G770/H770, 0)</f>
      </c>
      <c r="J770" s="28">
        <f>SUM(J51,J75,J216,J224,J316,J430,J507,J668,J736,J769)</f>
      </c>
      <c r="K770" s="28">
        <f>SUM(K51,K75,K216,K224,K316,K430,K507,K668,K736,K769)</f>
      </c>
      <c r="L770" s="28">
        <f>SUM(L51,L75,L216,L224,L316,L430,L507,L668,L736,L769)</f>
      </c>
      <c r="M770" s="30">
        <f>IFERROR(L770/K770, 0)</f>
      </c>
      <c r="N770" s="31">
        <f>IFERROR(J770/K770, 0)</f>
      </c>
      <c r="O770" s="28">
        <f>SUM(O51,O75,O216,O224,O316,O430,O507,O668,O736,O769)</f>
      </c>
      <c r="P770" s="28">
        <f>SUM(P51,P75,P216,P224,P316,P430,P507,P668,P736,P769)</f>
      </c>
      <c r="Q770" s="28">
        <f>SUM(Q51,Q75,Q216,Q224,Q316,Q430,Q507,Q668,Q736,Q769)</f>
      </c>
      <c r="R770" s="29">
        <f>IFERROR(P770/Q770, 0)</f>
      </c>
      <c r="S770" s="28">
        <f>SUM(S51,S75,S216,S224,S316,S430,S507,S668,S736,S769)</f>
      </c>
      <c r="T770" s="28">
        <f>SUM(T51,T75,T216,T224,T316,T430,T507,T668,T736,T769)</f>
      </c>
      <c r="U770" s="29">
        <f>IFERROR(S770/T770, 0)</f>
      </c>
      <c r="V770" s="28">
        <f>IFERROR(S770/E770, 0)</f>
      </c>
      <c r="W770" s="28">
        <f>IFERROR(T770/F770, 0)</f>
      </c>
      <c r="X770" s="29">
        <f>IFERROR(V770/W770, 0)</f>
      </c>
    </row>
  </sheetData>
  <mergeCells count="49">
    <mergeCell ref="E4:F4"/>
    <mergeCell ref="G4:O4"/>
    <mergeCell ref="P4:R4"/>
    <mergeCell ref="S4:U4"/>
    <mergeCell ref="V4:X4"/>
    <mergeCell ref="A4:A6"/>
    <mergeCell ref="B4:B6"/>
    <mergeCell ref="C4:C6"/>
    <mergeCell ref="D4:D6"/>
    <mergeCell ref="G5:I5"/>
    <mergeCell ref="J5:O5"/>
    <mergeCell ref="P5:R5"/>
    <mergeCell ref="S5:U5"/>
    <mergeCell ref="V5:X5"/>
    <mergeCell ref="E5:E6"/>
    <mergeCell ref="F5:F6"/>
    <mergeCell ref="A15:D15"/>
    <mergeCell ref="A39:D39"/>
    <mergeCell ref="A50:D50"/>
    <mergeCell ref="A51:D51"/>
    <mergeCell ref="A74:D74"/>
    <mergeCell ref="A75:D75"/>
    <mergeCell ref="A186:D186"/>
    <mergeCell ref="A215:D215"/>
    <mergeCell ref="A216:D216"/>
    <mergeCell ref="A223:D223"/>
    <mergeCell ref="A224:D224"/>
    <mergeCell ref="A237:D237"/>
    <mergeCell ref="A254:D254"/>
    <mergeCell ref="A260:D260"/>
    <mergeCell ref="A315:D315"/>
    <mergeCell ref="A316:D316"/>
    <mergeCell ref="A379:D379"/>
    <mergeCell ref="A429:D429"/>
    <mergeCell ref="A430:D430"/>
    <mergeCell ref="A438:D438"/>
    <mergeCell ref="A451:D451"/>
    <mergeCell ref="A455:D455"/>
    <mergeCell ref="A506:D506"/>
    <mergeCell ref="A507:D507"/>
    <mergeCell ref="A612:D612"/>
    <mergeCell ref="A667:D667"/>
    <mergeCell ref="A668:D668"/>
    <mergeCell ref="A735:D735"/>
    <mergeCell ref="A736:D736"/>
    <mergeCell ref="A757:D757"/>
    <mergeCell ref="A768:D768"/>
    <mergeCell ref="A769:D769"/>
    <mergeCell ref="A770:D770"/>
  </mergeCells>
  <conditionalFormatting sqref="I7:I770">
    <cfRule type="cellIs" dxfId="0" priority="1" operator="greaterThan">
      <formula>0.9999</formula>
    </cfRule>
    <cfRule type="cellIs" dxfId="1" priority="2" operator="between">
      <formula>0.9</formula>
      <formula>0.9999</formula>
    </cfRule>
    <cfRule type="cellIs" dxfId="2" priority="3" operator="lessThan">
      <formula>0.9</formula>
    </cfRule>
  </conditionalFormatting>
  <conditionalFormatting sqref="R7:R770">
    <cfRule type="cellIs" dxfId="3" priority="1" operator="greaterThan">
      <formula>0.9999</formula>
    </cfRule>
    <cfRule type="cellIs" dxfId="4" priority="2" operator="between">
      <formula>0.9</formula>
      <formula>0.9999</formula>
    </cfRule>
    <cfRule type="cellIs" dxfId="5" priority="3" operator="lessThan">
      <formula>0.9</formula>
    </cfRule>
  </conditionalFormatting>
  <conditionalFormatting sqref="U7:U770">
    <cfRule type="cellIs" dxfId="6" priority="1" operator="greaterThan">
      <formula>0.9999</formula>
    </cfRule>
    <cfRule type="cellIs" dxfId="7" priority="2" operator="between">
      <formula>0.9</formula>
      <formula>0.9999</formula>
    </cfRule>
    <cfRule type="cellIs" dxfId="8" priority="3" operator="lessThan">
      <formula>0.9</formula>
    </cfRule>
  </conditionalFormatting>
  <conditionalFormatting sqref="X7:X770">
    <cfRule type="cellIs" dxfId="9" priority="1" operator="greaterThan">
      <formula>0.9999</formula>
    </cfRule>
    <cfRule type="cellIs" dxfId="10" priority="2" operator="between">
      <formula>0.9</formula>
      <formula>0.9999</formula>
    </cfRule>
    <cfRule type="cellIs" dxfId="11" priority="3" operator="lessThan">
      <formula>0.9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2026-07-15T04:09:32Z</dcterms:created>
  <dcterms:modified xsi:type="dcterms:W3CDTF">2026-07-15T04:09:32Z</dcterms:modified>
</cp:coreProperties>
</file>